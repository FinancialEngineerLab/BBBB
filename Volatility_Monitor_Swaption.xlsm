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9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40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41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42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43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4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5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6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7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8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5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5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5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6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6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6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6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6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6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drawings/drawing5.xml" ContentType="application/vnd.openxmlformats-officedocument.drawing+xml"/>
  <Override PartName="/xl/charts/chart71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7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6.xml" ContentType="application/vnd.openxmlformats-officedocument.drawing+xml"/>
  <Override PartName="/xl/charts/chart7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개인 저장 폴더\변액헤지파트\신현진\"/>
    </mc:Choice>
  </mc:AlternateContent>
  <bookViews>
    <workbookView xWindow="0" yWindow="0" windowWidth="28800" windowHeight="12255" firstSheet="9" activeTab="9"/>
  </bookViews>
  <sheets>
    <sheet name="Thoery" sheetId="31" r:id="rId1"/>
    <sheet name="1-1)Swaption_Matrix" sheetId="22" r:id="rId2"/>
    <sheet name="1-1)Swaption_Matrix_prev" sheetId="35" r:id="rId3"/>
    <sheet name="1-1)Swaption_Matrix_Full_Normal" sheetId="37" r:id="rId4"/>
    <sheet name="1-1)Swaption_Full_Blck" sheetId="38" r:id="rId5"/>
    <sheet name="2)Swaption_Vol_TimeSeries_daily" sheetId="23" r:id="rId6"/>
    <sheet name="1-2)Swaption_strike_normal_skew" sheetId="32" r:id="rId7"/>
    <sheet name="1-2)Swaption_strike_black_skew" sheetId="39" r:id="rId8"/>
    <sheet name="1-3)Cap_Matrix (2)" sheetId="36" r:id="rId9"/>
    <sheet name="3) FX_implied_surface" sheetId="40" r:id="rId10"/>
    <sheet name="3)Equity_Implied_Vol" sheetId="34" r:id="rId11"/>
    <sheet name="Ticker_SwpationNormalVolSpread1" sheetId="33" r:id="rId12"/>
    <sheet name="Sheet1" sheetId="28" r:id="rId13"/>
    <sheet name="Sheet2" sheetId="29" r:id="rId14"/>
    <sheet name="2-1)Stock_VolSurface" sheetId="24" r:id="rId15"/>
  </sheets>
  <definedNames>
    <definedName name="_xlnm._FilterDatabase" localSheetId="12" hidden="1">Sheet1!$A$2:$K$20</definedName>
    <definedName name="BlackCSV" localSheetId="4">'1-1)Swaption_Full_Blck'!$AO$26:$AO$34</definedName>
    <definedName name="BlackCSV" localSheetId="3">'1-1)Swaption_Matrix_Full_Normal'!$AO$26:$AO$34</definedName>
    <definedName name="BlackCSV" localSheetId="2">'1-1)Swaption_Matrix_prev'!$AO$18:$AO$26</definedName>
    <definedName name="BlackCSV" localSheetId="7">'1-2)Swaption_strike_black_skew'!#REF!</definedName>
    <definedName name="BlackCSV" localSheetId="6">'1-2)Swaption_strike_normal_skew'!#REF!</definedName>
    <definedName name="BlackCSV">'1-1)Swaption_Matrix'!$AO$18:$AO$26</definedName>
    <definedName name="NormalCSV" localSheetId="4">'1-1)Swaption_Full_Blck'!$AO$37:$AO$45</definedName>
    <definedName name="NormalCSV" localSheetId="3">'1-1)Swaption_Matrix_Full_Normal'!$AO$37:$AO$45</definedName>
    <definedName name="NormalCSV" localSheetId="2">'1-1)Swaption_Matrix_prev'!$AO$29:$AO$37</definedName>
    <definedName name="NormalCSV" localSheetId="7">'1-2)Swaption_strike_black_skew'!#REF!</definedName>
    <definedName name="NormalCSV" localSheetId="6">'1-2)Swaption_strike_normal_skew'!#REF!</definedName>
    <definedName name="NormalCSV">'1-1)Swaption_Matrix'!$AO$29:$AO$37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37" l="1"/>
  <c r="N37" i="37"/>
  <c r="F33" i="37"/>
  <c r="J27" i="37"/>
  <c r="K36" i="37"/>
  <c r="I35" i="37"/>
  <c r="H34" i="37"/>
  <c r="L36" i="37"/>
  <c r="H26" i="37"/>
  <c r="M37" i="37"/>
  <c r="E33" i="37"/>
  <c r="N29" i="37"/>
  <c r="L28" i="37"/>
  <c r="C32" i="37"/>
  <c r="J35" i="37"/>
  <c r="D32" i="37"/>
  <c r="H35" i="37"/>
  <c r="N38" i="37"/>
  <c r="I27" i="37"/>
  <c r="K28" i="37"/>
  <c r="J36" i="37"/>
  <c r="N30" i="37"/>
  <c r="M29" i="37"/>
  <c r="L37" i="37"/>
  <c r="G26" i="37"/>
  <c r="F34" i="37"/>
  <c r="L29" i="37"/>
  <c r="D33" i="37"/>
  <c r="H28" i="37"/>
  <c r="J28" i="37"/>
  <c r="H27" i="37"/>
  <c r="M30" i="37"/>
  <c r="F35" i="37"/>
  <c r="H36" i="37"/>
  <c r="G35" i="37"/>
  <c r="F26" i="37"/>
  <c r="M38" i="37"/>
  <c r="K37" i="37"/>
  <c r="J37" i="37"/>
  <c r="C33" i="37"/>
  <c r="E26" i="37"/>
  <c r="K29" i="37"/>
  <c r="L30" i="37"/>
  <c r="L38" i="37"/>
  <c r="K38" i="37"/>
  <c r="G27" i="37"/>
  <c r="I28" i="37"/>
  <c r="J29" i="37"/>
  <c r="E34" i="37"/>
  <c r="N31" i="37"/>
  <c r="D26" i="37"/>
  <c r="I36" i="37"/>
  <c r="M31" i="37"/>
  <c r="I37" i="37"/>
  <c r="D34" i="37"/>
  <c r="F27" i="37"/>
  <c r="K30" i="37"/>
  <c r="E35" i="37"/>
  <c r="C34" i="37"/>
  <c r="G36" i="37"/>
  <c r="G28" i="37"/>
  <c r="I29" i="37"/>
  <c r="H37" i="37"/>
  <c r="H29" i="37"/>
  <c r="D35" i="37"/>
  <c r="N32" i="37"/>
  <c r="J30" i="37"/>
  <c r="D27" i="37"/>
  <c r="F36" i="37"/>
  <c r="I38" i="37"/>
  <c r="E36" i="37"/>
  <c r="G37" i="37"/>
  <c r="F28" i="37"/>
  <c r="L31" i="37"/>
  <c r="E27" i="37"/>
  <c r="M32" i="37"/>
  <c r="I30" i="37"/>
  <c r="D36" i="37"/>
  <c r="C27" i="37"/>
  <c r="C26" i="37"/>
  <c r="H38" i="37"/>
  <c r="E28" i="37"/>
  <c r="J38" i="37"/>
  <c r="K31" i="37"/>
  <c r="L32" i="37"/>
  <c r="C35" i="37"/>
  <c r="G29" i="37"/>
  <c r="N33" i="37"/>
  <c r="J31" i="37"/>
  <c r="F37" i="37"/>
  <c r="H30" i="37"/>
  <c r="F29" i="37"/>
  <c r="D28" i="37"/>
  <c r="G38" i="37"/>
  <c r="K32" i="37"/>
  <c r="D37" i="37"/>
  <c r="C28" i="37"/>
  <c r="M33" i="37"/>
  <c r="E37" i="37"/>
  <c r="G30" i="37"/>
  <c r="C36" i="37"/>
  <c r="C37" i="37"/>
  <c r="M34" i="37"/>
  <c r="F30" i="37"/>
  <c r="N34" i="37"/>
  <c r="I31" i="37"/>
  <c r="G31" i="37"/>
  <c r="J32" i="37"/>
  <c r="I32" i="37"/>
  <c r="E29" i="37"/>
  <c r="M26" i="37"/>
  <c r="N26" i="37"/>
  <c r="K33" i="37"/>
  <c r="H31" i="37"/>
  <c r="L33" i="37"/>
  <c r="C29" i="37"/>
  <c r="E38" i="37"/>
  <c r="D38" i="37"/>
  <c r="F38" i="37"/>
  <c r="D29" i="37"/>
  <c r="N35" i="37"/>
  <c r="E30" i="37"/>
  <c r="L34" i="37"/>
  <c r="J33" i="37"/>
  <c r="N27" i="37"/>
  <c r="J34" i="37"/>
  <c r="M27" i="37"/>
  <c r="H32" i="37"/>
  <c r="K34" i="37"/>
  <c r="K26" i="37"/>
  <c r="E31" i="37"/>
  <c r="H33" i="37"/>
  <c r="F32" i="37"/>
  <c r="N36" i="37"/>
  <c r="K35" i="37"/>
  <c r="E32" i="37"/>
  <c r="J26" i="37"/>
  <c r="G33" i="37"/>
  <c r="G32" i="37"/>
  <c r="D31" i="37"/>
  <c r="L26" i="37"/>
  <c r="D30" i="37"/>
  <c r="C38" i="37"/>
  <c r="F31" i="37"/>
  <c r="N28" i="37"/>
  <c r="M35" i="37"/>
  <c r="I34" i="37"/>
  <c r="L35" i="37"/>
  <c r="I33" i="37"/>
  <c r="C30" i="37"/>
  <c r="L27" i="37"/>
  <c r="I26" i="37"/>
  <c r="C31" i="37"/>
  <c r="M36" i="37"/>
  <c r="K27" i="37"/>
  <c r="M28" i="37"/>
  <c r="AA51" i="37"/>
  <c r="AA48" i="37"/>
  <c r="AA49" i="37"/>
  <c r="AA44" i="37"/>
  <c r="AA42" i="37"/>
  <c r="AA53" i="37"/>
  <c r="AA54" i="37"/>
  <c r="AA47" i="37"/>
  <c r="AA50" i="37"/>
  <c r="AA45" i="37"/>
  <c r="AA43" i="37"/>
  <c r="AA52" i="37"/>
  <c r="AA46" i="37"/>
  <c r="AA55" i="37"/>
  <c r="C18" i="22"/>
  <c r="U21" i="32"/>
  <c r="X38" i="32"/>
  <c r="U69" i="32"/>
  <c r="U15" i="32"/>
  <c r="Z38" i="32"/>
  <c r="U53" i="32"/>
  <c r="Y81" i="32"/>
  <c r="Y12" i="32"/>
  <c r="AB76" i="32"/>
  <c r="AD3" i="32"/>
  <c r="V11" i="32"/>
  <c r="AC8" i="32"/>
  <c r="T5" i="32"/>
  <c r="AB13" i="32"/>
  <c r="S10" i="32"/>
  <c r="W6" i="32"/>
  <c r="Z7" i="32"/>
  <c r="U16" i="32"/>
  <c r="R15" i="32"/>
  <c r="X17" i="32"/>
  <c r="AD19" i="32"/>
  <c r="AA18" i="32"/>
  <c r="AC24" i="32"/>
  <c r="T21" i="32"/>
  <c r="Z23" i="32"/>
  <c r="W22" i="32"/>
  <c r="V27" i="32"/>
  <c r="S26" i="32"/>
  <c r="R31" i="32"/>
  <c r="AB29" i="32"/>
  <c r="Y28" i="32"/>
  <c r="AA34" i="32"/>
  <c r="U32" i="32"/>
  <c r="X33" i="32"/>
  <c r="T37" i="32"/>
  <c r="AD35" i="32"/>
  <c r="W38" i="32"/>
  <c r="AC40" i="32"/>
  <c r="Z39" i="32"/>
  <c r="U48" i="32"/>
  <c r="AB45" i="32"/>
  <c r="X49" i="32"/>
  <c r="R47" i="32"/>
  <c r="V43" i="32"/>
  <c r="S42" i="32"/>
  <c r="Y44" i="32"/>
  <c r="AD51" i="32"/>
  <c r="AA50" i="32"/>
  <c r="T53" i="32"/>
  <c r="W54" i="32"/>
  <c r="Z55" i="32"/>
  <c r="AC56" i="32"/>
  <c r="S58" i="32"/>
  <c r="V59" i="32"/>
  <c r="Y60" i="32"/>
  <c r="AB61" i="32"/>
  <c r="U64" i="32"/>
  <c r="AA66" i="32"/>
  <c r="R63" i="32"/>
  <c r="X65" i="32"/>
  <c r="AD67" i="32"/>
  <c r="T69" i="32"/>
  <c r="Z71" i="32"/>
  <c r="S74" i="32"/>
  <c r="W70" i="32"/>
  <c r="AC72" i="32"/>
  <c r="Y76" i="32"/>
  <c r="V75" i="32"/>
  <c r="T85" i="32"/>
  <c r="U80" i="32"/>
  <c r="AB77" i="32"/>
  <c r="AA82" i="32"/>
  <c r="AD83" i="32"/>
  <c r="R79" i="32"/>
  <c r="W86" i="32"/>
  <c r="Z87" i="32"/>
  <c r="S90" i="32"/>
  <c r="X81" i="32"/>
  <c r="AB93" i="32"/>
  <c r="AC88" i="32"/>
  <c r="V91" i="32"/>
  <c r="Y92" i="32"/>
  <c r="R95" i="32"/>
  <c r="AA98" i="32"/>
  <c r="U96" i="32"/>
  <c r="X97" i="32"/>
  <c r="T101" i="32"/>
  <c r="Z103" i="32"/>
  <c r="AC104" i="32"/>
  <c r="AD99" i="32"/>
  <c r="S106" i="32"/>
  <c r="W102" i="32"/>
  <c r="Y108" i="32"/>
  <c r="V107" i="32"/>
  <c r="AA23" i="32"/>
  <c r="AB109" i="32"/>
  <c r="AD56" i="32"/>
  <c r="R36" i="32"/>
  <c r="S47" i="32"/>
  <c r="Z92" i="32"/>
  <c r="AA71" i="32"/>
  <c r="AA87" i="32"/>
  <c r="AD72" i="32"/>
  <c r="W91" i="32"/>
  <c r="S95" i="32"/>
  <c r="T74" i="32"/>
  <c r="AC93" i="32"/>
  <c r="Y97" i="32"/>
  <c r="V96" i="32"/>
  <c r="AB98" i="32"/>
  <c r="U101" i="32"/>
  <c r="R100" i="32"/>
  <c r="T106" i="32"/>
  <c r="AD104" i="32"/>
  <c r="X102" i="32"/>
  <c r="Z108" i="32"/>
  <c r="AA103" i="32"/>
  <c r="W107" i="32"/>
  <c r="AB7" i="32"/>
  <c r="AC109" i="32"/>
  <c r="S4" i="32"/>
  <c r="V5" i="32"/>
  <c r="R9" i="32"/>
  <c r="Y6" i="32"/>
  <c r="X11" i="32"/>
  <c r="U10" i="32"/>
  <c r="AA12" i="32"/>
  <c r="Y22" i="32"/>
  <c r="AD13" i="32"/>
  <c r="T15" i="32"/>
  <c r="S20" i="32"/>
  <c r="V21" i="32"/>
  <c r="AB23" i="32"/>
  <c r="W16" i="32"/>
  <c r="AC18" i="32"/>
  <c r="U26" i="32"/>
  <c r="Z17" i="32"/>
  <c r="R25" i="32"/>
  <c r="AA28" i="32"/>
  <c r="AD29" i="32"/>
  <c r="X27" i="32"/>
  <c r="T31" i="32"/>
  <c r="S36" i="32"/>
  <c r="W32" i="32"/>
  <c r="AC34" i="32"/>
  <c r="Y38" i="32"/>
  <c r="Z33" i="32"/>
  <c r="V37" i="32"/>
  <c r="R41" i="32"/>
  <c r="U42" i="32"/>
  <c r="AB39" i="32"/>
  <c r="X43" i="32"/>
  <c r="AA44" i="32"/>
  <c r="AD45" i="32"/>
  <c r="W48" i="32"/>
  <c r="T47" i="32"/>
  <c r="Z49" i="32"/>
  <c r="AC50" i="32"/>
  <c r="S52" i="32"/>
  <c r="U58" i="32"/>
  <c r="R57" i="32"/>
  <c r="V53" i="32"/>
  <c r="X59" i="32"/>
  <c r="AB55" i="32"/>
  <c r="Y54" i="32"/>
  <c r="T63" i="32"/>
  <c r="AD61" i="32"/>
  <c r="AA60" i="32"/>
  <c r="W64" i="32"/>
  <c r="Z65" i="32"/>
  <c r="AC66" i="32"/>
  <c r="S68" i="32"/>
  <c r="V69" i="32"/>
  <c r="R73" i="32"/>
  <c r="AB71" i="32"/>
  <c r="X75" i="32"/>
  <c r="Y70" i="32"/>
  <c r="AD77" i="32"/>
  <c r="U74" i="32"/>
  <c r="T79" i="32"/>
  <c r="AA76" i="32"/>
  <c r="AC82" i="32"/>
  <c r="W80" i="32"/>
  <c r="Z81" i="32"/>
  <c r="V85" i="32"/>
  <c r="S84" i="32"/>
  <c r="Y86" i="32"/>
  <c r="AB87" i="32"/>
  <c r="R89" i="32"/>
  <c r="W96" i="32"/>
  <c r="AD93" i="32"/>
  <c r="T95" i="32"/>
  <c r="U90" i="32"/>
  <c r="AA92" i="32"/>
  <c r="X91" i="32"/>
  <c r="V101" i="32"/>
  <c r="Z97" i="32"/>
  <c r="AB103" i="32"/>
  <c r="S100" i="32"/>
  <c r="AC98" i="32"/>
  <c r="Y102" i="32"/>
  <c r="R105" i="32"/>
  <c r="AA108" i="32"/>
  <c r="AD109" i="32"/>
  <c r="U106" i="32"/>
  <c r="X107" i="32"/>
  <c r="V32" i="32"/>
  <c r="W59" i="32"/>
  <c r="V16" i="32"/>
  <c r="Z6" i="32"/>
  <c r="AC77" i="32"/>
  <c r="V48" i="32"/>
  <c r="S41" i="32"/>
  <c r="AC23" i="32"/>
  <c r="Y59" i="32"/>
  <c r="U79" i="32"/>
  <c r="AC103" i="32"/>
  <c r="T9" i="32"/>
  <c r="R3" i="32"/>
  <c r="W10" i="32"/>
  <c r="S14" i="32"/>
  <c r="V15" i="32"/>
  <c r="Y16" i="32"/>
  <c r="AB17" i="32"/>
  <c r="Z11" i="32"/>
  <c r="AC12" i="32"/>
  <c r="X21" i="32"/>
  <c r="R19" i="32"/>
  <c r="U20" i="32"/>
  <c r="AA22" i="32"/>
  <c r="AD23" i="32"/>
  <c r="T25" i="32"/>
  <c r="W26" i="32"/>
  <c r="S30" i="32"/>
  <c r="AC28" i="32"/>
  <c r="Z27" i="32"/>
  <c r="U36" i="32"/>
  <c r="Y32" i="32"/>
  <c r="R35" i="32"/>
  <c r="V31" i="32"/>
  <c r="AB33" i="32"/>
  <c r="X37" i="32"/>
  <c r="AD39" i="32"/>
  <c r="AA38" i="32"/>
  <c r="W42" i="32"/>
  <c r="T41" i="32"/>
  <c r="Z43" i="32"/>
  <c r="S46" i="32"/>
  <c r="AC44" i="32"/>
  <c r="Y48" i="32"/>
  <c r="R51" i="32"/>
  <c r="V47" i="32"/>
  <c r="AB49" i="32"/>
  <c r="U52" i="32"/>
  <c r="X53" i="32"/>
  <c r="AD55" i="32"/>
  <c r="AA54" i="32"/>
  <c r="W58" i="32"/>
  <c r="T57" i="32"/>
  <c r="Z59" i="32"/>
  <c r="AC60" i="32"/>
  <c r="S62" i="32"/>
  <c r="V63" i="32"/>
  <c r="AB65" i="32"/>
  <c r="X69" i="32"/>
  <c r="R67" i="32"/>
  <c r="Y64" i="32"/>
  <c r="AD71" i="32"/>
  <c r="T73" i="32"/>
  <c r="U68" i="32"/>
  <c r="AA70" i="32"/>
  <c r="Z75" i="32"/>
  <c r="W74" i="32"/>
  <c r="AC76" i="32"/>
  <c r="V79" i="32"/>
  <c r="S78" i="32"/>
  <c r="Y80" i="32"/>
  <c r="R83" i="32"/>
  <c r="AB81" i="32"/>
  <c r="U84" i="32"/>
  <c r="X85" i="32"/>
  <c r="AD87" i="32"/>
  <c r="AA86" i="32"/>
  <c r="W90" i="32"/>
  <c r="T89" i="32"/>
  <c r="Y96" i="32"/>
  <c r="Z91" i="32"/>
  <c r="AC92" i="32"/>
  <c r="S94" i="32"/>
  <c r="R99" i="32"/>
  <c r="V95" i="32"/>
  <c r="AB97" i="32"/>
  <c r="W106" i="32"/>
  <c r="AA102" i="32"/>
  <c r="AD103" i="32"/>
  <c r="U100" i="32"/>
  <c r="AC108" i="32"/>
  <c r="X101" i="32"/>
  <c r="S110" i="32"/>
  <c r="T105" i="32"/>
  <c r="Z107" i="32"/>
  <c r="U5" i="32"/>
  <c r="AB34" i="32"/>
  <c r="AC61" i="32"/>
  <c r="X22" i="32"/>
  <c r="Y49" i="32"/>
  <c r="AB82" i="32"/>
  <c r="AC7" i="32"/>
  <c r="V74" i="32"/>
  <c r="Z22" i="32"/>
  <c r="V90" i="32"/>
  <c r="V106" i="32"/>
  <c r="T36" i="32"/>
  <c r="AB60" i="32"/>
  <c r="X48" i="32"/>
  <c r="S3" i="32"/>
  <c r="AA6" i="32"/>
  <c r="V4" i="32"/>
  <c r="AB6" i="32"/>
  <c r="Y5" i="32"/>
  <c r="U9" i="32"/>
  <c r="R8" i="32"/>
  <c r="X10" i="32"/>
  <c r="T14" i="32"/>
  <c r="AD12" i="32"/>
  <c r="Z16" i="32"/>
  <c r="AA11" i="32"/>
  <c r="W15" i="32"/>
  <c r="S19" i="32"/>
  <c r="V20" i="32"/>
  <c r="R24" i="32"/>
  <c r="Y21" i="32"/>
  <c r="AC17" i="32"/>
  <c r="AB22" i="32"/>
  <c r="X26" i="32"/>
  <c r="U25" i="32"/>
  <c r="AA27" i="32"/>
  <c r="T30" i="32"/>
  <c r="AD28" i="32"/>
  <c r="Y37" i="32"/>
  <c r="AB38" i="32"/>
  <c r="W31" i="32"/>
  <c r="S35" i="32"/>
  <c r="V36" i="32"/>
  <c r="Z32" i="32"/>
  <c r="AC33" i="32"/>
  <c r="R40" i="32"/>
  <c r="U41" i="32"/>
  <c r="X42" i="32"/>
  <c r="AA43" i="32"/>
  <c r="AD44" i="32"/>
  <c r="W63" i="32"/>
  <c r="Y53" i="32"/>
  <c r="T46" i="32"/>
  <c r="S51" i="32"/>
  <c r="W47" i="32"/>
  <c r="AC49" i="32"/>
  <c r="Z48" i="32"/>
  <c r="U57" i="32"/>
  <c r="R56" i="32"/>
  <c r="X58" i="32"/>
  <c r="V52" i="32"/>
  <c r="AB54" i="32"/>
  <c r="AD60" i="32"/>
  <c r="AA59" i="32"/>
  <c r="T62" i="32"/>
  <c r="Z64" i="32"/>
  <c r="AC65" i="32"/>
  <c r="S67" i="32"/>
  <c r="R72" i="32"/>
  <c r="X74" i="32"/>
  <c r="V68" i="32"/>
  <c r="Y69" i="32"/>
  <c r="AB70" i="32"/>
  <c r="U73" i="32"/>
  <c r="AA75" i="32"/>
  <c r="AD76" i="32"/>
  <c r="T78" i="32"/>
  <c r="W79" i="32"/>
  <c r="Z80" i="32"/>
  <c r="AC81" i="32"/>
  <c r="S83" i="32"/>
  <c r="V84" i="32"/>
  <c r="R88" i="32"/>
  <c r="Y85" i="32"/>
  <c r="X90" i="32"/>
  <c r="AB86" i="32"/>
  <c r="AD92" i="32"/>
  <c r="U89" i="32"/>
  <c r="T94" i="32"/>
  <c r="AC97" i="32"/>
  <c r="AA91" i="32"/>
  <c r="V100" i="32"/>
  <c r="W95" i="32"/>
  <c r="S99" i="32"/>
  <c r="Z96" i="32"/>
  <c r="Y101" i="32"/>
  <c r="AB102" i="32"/>
  <c r="R104" i="32"/>
  <c r="AA55" i="32"/>
  <c r="X106" i="32"/>
  <c r="AD108" i="32"/>
  <c r="T110" i="32"/>
  <c r="U105" i="32"/>
  <c r="AA107" i="32"/>
  <c r="S9" i="32"/>
  <c r="S79" i="32"/>
  <c r="V26" i="32"/>
  <c r="X64" i="32"/>
  <c r="AB44" i="32"/>
  <c r="Z86" i="32"/>
  <c r="Y107" i="32"/>
  <c r="W4" i="32"/>
  <c r="T3" i="32"/>
  <c r="X5" i="32"/>
  <c r="AC6" i="32"/>
  <c r="Z5" i="32"/>
  <c r="Y10" i="32"/>
  <c r="V9" i="32"/>
  <c r="AB11" i="32"/>
  <c r="U14" i="32"/>
  <c r="AA16" i="32"/>
  <c r="S8" i="32"/>
  <c r="X15" i="32"/>
  <c r="R13" i="32"/>
  <c r="AD17" i="32"/>
  <c r="T19" i="32"/>
  <c r="AB27" i="32"/>
  <c r="V25" i="32"/>
  <c r="W20" i="32"/>
  <c r="Z21" i="32"/>
  <c r="S24" i="32"/>
  <c r="Y26" i="32"/>
  <c r="AC22" i="32"/>
  <c r="R29" i="32"/>
  <c r="X31" i="32"/>
  <c r="U30" i="32"/>
  <c r="AD33" i="32"/>
  <c r="AA32" i="32"/>
  <c r="T35" i="32"/>
  <c r="W36" i="32"/>
  <c r="Z37" i="32"/>
  <c r="AC38" i="32"/>
  <c r="U46" i="32"/>
  <c r="V41" i="32"/>
  <c r="S40" i="32"/>
  <c r="AB43" i="32"/>
  <c r="Y42" i="32"/>
  <c r="X47" i="32"/>
  <c r="R45" i="32"/>
  <c r="T51" i="32"/>
  <c r="AA48" i="32"/>
  <c r="Z53" i="32"/>
  <c r="S56" i="32"/>
  <c r="AD49" i="32"/>
  <c r="W52" i="32"/>
  <c r="AC54" i="32"/>
  <c r="Y58" i="32"/>
  <c r="V57" i="32"/>
  <c r="AA64" i="32"/>
  <c r="U62" i="32"/>
  <c r="X63" i="32"/>
  <c r="AB59" i="32"/>
  <c r="T67" i="32"/>
  <c r="AD65" i="32"/>
  <c r="R61" i="32"/>
  <c r="W68" i="32"/>
  <c r="Z69" i="32"/>
  <c r="AC70" i="32"/>
  <c r="S72" i="32"/>
  <c r="V73" i="32"/>
  <c r="Y74" i="32"/>
  <c r="U78" i="32"/>
  <c r="R77" i="32"/>
  <c r="AB75" i="32"/>
  <c r="X79" i="32"/>
  <c r="AD81" i="32"/>
  <c r="AA80" i="32"/>
  <c r="T83" i="32"/>
  <c r="AC86" i="32"/>
  <c r="W84" i="32"/>
  <c r="V89" i="32"/>
  <c r="S88" i="32"/>
  <c r="Z85" i="32"/>
  <c r="Y106" i="32"/>
  <c r="Y90" i="32"/>
  <c r="AB91" i="32"/>
  <c r="R93" i="32"/>
  <c r="W100" i="32"/>
  <c r="U94" i="32"/>
  <c r="AD97" i="32"/>
  <c r="T99" i="32"/>
  <c r="Z101" i="32"/>
  <c r="X95" i="32"/>
  <c r="AA96" i="32"/>
  <c r="S104" i="32"/>
  <c r="V105" i="32"/>
  <c r="AC102" i="32"/>
  <c r="AB107" i="32"/>
  <c r="R109" i="32"/>
  <c r="Z44" i="32"/>
  <c r="U110" i="32"/>
  <c r="AC29" i="32"/>
  <c r="S15" i="32"/>
  <c r="AA17" i="32"/>
  <c r="W75" i="32"/>
  <c r="T58" i="32"/>
  <c r="T4" i="32"/>
  <c r="AB28" i="32"/>
  <c r="S73" i="32"/>
  <c r="AB108" i="32"/>
  <c r="Y43" i="32"/>
  <c r="Y91" i="32"/>
  <c r="S57" i="32"/>
  <c r="AD7" i="32"/>
  <c r="U3" i="32"/>
  <c r="X4" i="32"/>
  <c r="V14" i="32"/>
  <c r="AC11" i="32"/>
  <c r="S13" i="32"/>
  <c r="AA5" i="32"/>
  <c r="T8" i="32"/>
  <c r="AD6" i="32"/>
  <c r="Z10" i="32"/>
  <c r="W9" i="32"/>
  <c r="Y15" i="32"/>
  <c r="X20" i="32"/>
  <c r="AB16" i="32"/>
  <c r="R18" i="32"/>
  <c r="U19" i="32"/>
  <c r="AA21" i="32"/>
  <c r="W25" i="32"/>
  <c r="T24" i="32"/>
  <c r="AD22" i="32"/>
  <c r="AC27" i="32"/>
  <c r="Z26" i="32"/>
  <c r="V30" i="32"/>
  <c r="S29" i="32"/>
  <c r="Y31" i="32"/>
  <c r="AB32" i="32"/>
  <c r="U35" i="32"/>
  <c r="R34" i="32"/>
  <c r="X36" i="32"/>
  <c r="AA37" i="32"/>
  <c r="AB48" i="32"/>
  <c r="AD38" i="32"/>
  <c r="W41" i="32"/>
  <c r="Y47" i="32"/>
  <c r="T40" i="32"/>
  <c r="V46" i="32"/>
  <c r="AC43" i="32"/>
  <c r="R50" i="32"/>
  <c r="S45" i="32"/>
  <c r="X52" i="32"/>
  <c r="Z42" i="32"/>
  <c r="AA53" i="32"/>
  <c r="U51" i="32"/>
  <c r="AD54" i="32"/>
  <c r="T56" i="32"/>
  <c r="W57" i="32"/>
  <c r="V62" i="32"/>
  <c r="Z58" i="32"/>
  <c r="AB64" i="32"/>
  <c r="S61" i="32"/>
  <c r="AC59" i="32"/>
  <c r="Y63" i="32"/>
  <c r="X68" i="32"/>
  <c r="U67" i="32"/>
  <c r="R66" i="32"/>
  <c r="AA69" i="32"/>
  <c r="T72" i="32"/>
  <c r="AD70" i="32"/>
  <c r="Z74" i="32"/>
  <c r="W73" i="32"/>
  <c r="AC75" i="32"/>
  <c r="V78" i="32"/>
  <c r="S77" i="32"/>
  <c r="AA85" i="32"/>
  <c r="U83" i="32"/>
  <c r="X84" i="32"/>
  <c r="AD86" i="32"/>
  <c r="Y79" i="32"/>
  <c r="T88" i="32"/>
  <c r="R82" i="32"/>
  <c r="Z90" i="32"/>
  <c r="AB80" i="32"/>
  <c r="AC91" i="32"/>
  <c r="W89" i="32"/>
  <c r="V94" i="32"/>
  <c r="S93" i="32"/>
  <c r="Y95" i="32"/>
  <c r="U99" i="32"/>
  <c r="AA101" i="32"/>
  <c r="R98" i="32"/>
  <c r="T104" i="32"/>
  <c r="AB96" i="32"/>
  <c r="W105" i="32"/>
  <c r="X100" i="32"/>
  <c r="AD102" i="32"/>
  <c r="S109" i="32"/>
  <c r="Z106" i="32"/>
  <c r="AC107" i="32"/>
  <c r="V110" i="32"/>
  <c r="R4" i="32"/>
  <c r="R20" i="32"/>
  <c r="U37" i="32"/>
  <c r="AB50" i="32"/>
  <c r="R62" i="32"/>
  <c r="U31" i="32"/>
  <c r="Y75" i="32"/>
  <c r="V80" i="32"/>
  <c r="U47" i="32"/>
  <c r="V64" i="32"/>
  <c r="AB12" i="32"/>
  <c r="S89" i="32"/>
  <c r="U95" i="32"/>
  <c r="AB5" i="32"/>
  <c r="R110" i="32"/>
  <c r="V3" i="32"/>
  <c r="Y4" i="32"/>
  <c r="R7" i="32"/>
  <c r="AA10" i="32"/>
  <c r="T13" i="32"/>
  <c r="X9" i="32"/>
  <c r="U8" i="32"/>
  <c r="AD11" i="32"/>
  <c r="Z15" i="32"/>
  <c r="AC16" i="32"/>
  <c r="W14" i="32"/>
  <c r="S18" i="32"/>
  <c r="Y20" i="32"/>
  <c r="V19" i="32"/>
  <c r="R23" i="32"/>
  <c r="AB21" i="32"/>
  <c r="U24" i="32"/>
  <c r="X25" i="32"/>
  <c r="AA26" i="32"/>
  <c r="S34" i="32"/>
  <c r="Z31" i="32"/>
  <c r="AC32" i="32"/>
  <c r="AB37" i="32"/>
  <c r="AD27" i="32"/>
  <c r="T29" i="32"/>
  <c r="W30" i="32"/>
  <c r="V35" i="32"/>
  <c r="Y36" i="32"/>
  <c r="U40" i="32"/>
  <c r="R39" i="32"/>
  <c r="X41" i="32"/>
  <c r="AA42" i="32"/>
  <c r="Y52" i="32"/>
  <c r="AD43" i="32"/>
  <c r="Z47" i="32"/>
  <c r="W46" i="32"/>
  <c r="S50" i="32"/>
  <c r="T45" i="32"/>
  <c r="AB53" i="32"/>
  <c r="AC48" i="32"/>
  <c r="V51" i="32"/>
  <c r="R55" i="32"/>
  <c r="X57" i="32"/>
  <c r="U56" i="32"/>
  <c r="AA58" i="32"/>
  <c r="AD59" i="32"/>
  <c r="T61" i="32"/>
  <c r="Z63" i="32"/>
  <c r="W62" i="32"/>
  <c r="AC64" i="32"/>
  <c r="S66" i="32"/>
  <c r="Y68" i="32"/>
  <c r="R71" i="32"/>
  <c r="V67" i="32"/>
  <c r="U72" i="32"/>
  <c r="AB69" i="32"/>
  <c r="T77" i="32"/>
  <c r="AA74" i="32"/>
  <c r="X73" i="32"/>
  <c r="AD75" i="32"/>
  <c r="Z79" i="32"/>
  <c r="W78" i="32"/>
  <c r="AC80" i="32"/>
  <c r="Y84" i="32"/>
  <c r="R87" i="32"/>
  <c r="V83" i="32"/>
  <c r="S82" i="32"/>
  <c r="X89" i="32"/>
  <c r="AA90" i="32"/>
  <c r="W94" i="32"/>
  <c r="AD91" i="32"/>
  <c r="AB85" i="32"/>
  <c r="U88" i="32"/>
  <c r="T93" i="32"/>
  <c r="AC96" i="32"/>
  <c r="Z95" i="32"/>
  <c r="S98" i="32"/>
  <c r="Y100" i="32"/>
  <c r="V99" i="32"/>
  <c r="AB101" i="32"/>
  <c r="R103" i="32"/>
  <c r="U104" i="32"/>
  <c r="X105" i="32"/>
  <c r="AA106" i="32"/>
  <c r="AD107" i="32"/>
  <c r="T109" i="32"/>
  <c r="W110" i="32"/>
  <c r="W11" i="32"/>
  <c r="W27" i="32"/>
  <c r="S63" i="32"/>
  <c r="X54" i="32"/>
  <c r="AA39" i="32"/>
  <c r="T52" i="32"/>
  <c r="Z76" i="32"/>
  <c r="AD82" i="32"/>
  <c r="AA33" i="32"/>
  <c r="Y11" i="32"/>
  <c r="U4" i="32"/>
  <c r="S105" i="32"/>
  <c r="Z70" i="32"/>
  <c r="AC5" i="32"/>
  <c r="V8" i="32"/>
  <c r="W3" i="32"/>
  <c r="Z4" i="32"/>
  <c r="R94" i="32"/>
  <c r="S7" i="32"/>
  <c r="AB10" i="32"/>
  <c r="Y9" i="32"/>
  <c r="R12" i="32"/>
  <c r="AD16" i="32"/>
  <c r="U13" i="32"/>
  <c r="X14" i="32"/>
  <c r="AA15" i="32"/>
  <c r="T18" i="32"/>
  <c r="W19" i="32"/>
  <c r="Z20" i="32"/>
  <c r="AC21" i="32"/>
  <c r="V24" i="32"/>
  <c r="AB26" i="32"/>
  <c r="S23" i="32"/>
  <c r="Y25" i="32"/>
  <c r="R28" i="32"/>
  <c r="U29" i="32"/>
  <c r="AD32" i="32"/>
  <c r="AA31" i="32"/>
  <c r="W35" i="32"/>
  <c r="X30" i="32"/>
  <c r="T34" i="32"/>
  <c r="AC37" i="32"/>
  <c r="S39" i="32"/>
  <c r="Z36" i="32"/>
  <c r="AB42" i="32"/>
  <c r="U45" i="32"/>
  <c r="V40" i="32"/>
  <c r="R44" i="32"/>
  <c r="AA47" i="32"/>
  <c r="Y41" i="32"/>
  <c r="X46" i="32"/>
  <c r="AD48" i="32"/>
  <c r="V56" i="32"/>
  <c r="AC53" i="32"/>
  <c r="T50" i="32"/>
  <c r="S55" i="32"/>
  <c r="W51" i="32"/>
  <c r="Z52" i="32"/>
  <c r="Y57" i="32"/>
  <c r="AB58" i="32"/>
  <c r="R60" i="32"/>
  <c r="U61" i="32"/>
  <c r="X62" i="32"/>
  <c r="AA63" i="32"/>
  <c r="AD64" i="32"/>
  <c r="T66" i="32"/>
  <c r="AC69" i="32"/>
  <c r="Z68" i="32"/>
  <c r="W67" i="32"/>
  <c r="V72" i="32"/>
  <c r="AB74" i="32"/>
  <c r="R76" i="32"/>
  <c r="S71" i="32"/>
  <c r="U77" i="32"/>
  <c r="Y73" i="32"/>
  <c r="AA79" i="32"/>
  <c r="T82" i="32"/>
  <c r="U93" i="32"/>
  <c r="AD80" i="32"/>
  <c r="X78" i="32"/>
  <c r="W83" i="32"/>
  <c r="AC85" i="32"/>
  <c r="Z84" i="32"/>
  <c r="R92" i="32"/>
  <c r="AB90" i="32"/>
  <c r="S87" i="32"/>
  <c r="X94" i="32"/>
  <c r="Y89" i="32"/>
  <c r="V88" i="32"/>
  <c r="AA95" i="32"/>
  <c r="AD96" i="32"/>
  <c r="T98" i="32"/>
  <c r="Z100" i="32"/>
  <c r="W99" i="32"/>
  <c r="AC101" i="32"/>
  <c r="AB106" i="32"/>
  <c r="S103" i="32"/>
  <c r="Y105" i="32"/>
  <c r="V104" i="32"/>
  <c r="U109" i="32"/>
  <c r="T26" i="32"/>
  <c r="T10" i="32"/>
  <c r="R108" i="32"/>
  <c r="W37" i="32"/>
  <c r="AD40" i="32"/>
  <c r="AD88" i="32"/>
  <c r="X110" i="32"/>
  <c r="T20" i="32"/>
  <c r="W53" i="32"/>
  <c r="R68" i="32"/>
  <c r="T84" i="32"/>
  <c r="AD66" i="32"/>
  <c r="Z9" i="32"/>
  <c r="S12" i="32"/>
  <c r="AC10" i="32"/>
  <c r="V13" i="32"/>
  <c r="T7" i="32"/>
  <c r="AA4" i="32"/>
  <c r="AA97" i="32"/>
  <c r="W8" i="32"/>
  <c r="AD5" i="32"/>
  <c r="Y14" i="32"/>
  <c r="AB15" i="32"/>
  <c r="R17" i="32"/>
  <c r="U18" i="32"/>
  <c r="AA20" i="32"/>
  <c r="X19" i="32"/>
  <c r="AD21" i="32"/>
  <c r="T23" i="32"/>
  <c r="S28" i="32"/>
  <c r="Z25" i="32"/>
  <c r="R33" i="32"/>
  <c r="V29" i="32"/>
  <c r="W24" i="32"/>
  <c r="AC26" i="32"/>
  <c r="Y30" i="32"/>
  <c r="X35" i="32"/>
  <c r="AB31" i="32"/>
  <c r="U34" i="32"/>
  <c r="AD37" i="32"/>
  <c r="AA36" i="32"/>
  <c r="X51" i="32"/>
  <c r="Y46" i="32"/>
  <c r="AC42" i="32"/>
  <c r="S44" i="32"/>
  <c r="T39" i="32"/>
  <c r="V45" i="32"/>
  <c r="U50" i="32"/>
  <c r="Z41" i="32"/>
  <c r="R49" i="32"/>
  <c r="W40" i="32"/>
  <c r="AB47" i="32"/>
  <c r="AA52" i="32"/>
  <c r="AD53" i="32"/>
  <c r="T55" i="32"/>
  <c r="W56" i="32"/>
  <c r="S60" i="32"/>
  <c r="AC58" i="32"/>
  <c r="Z57" i="32"/>
  <c r="Y62" i="32"/>
  <c r="U66" i="32"/>
  <c r="R65" i="32"/>
  <c r="V61" i="32"/>
  <c r="T71" i="32"/>
  <c r="AC74" i="32"/>
  <c r="W72" i="32"/>
  <c r="AD69" i="32"/>
  <c r="X67" i="32"/>
  <c r="AB63" i="32"/>
  <c r="AA68" i="32"/>
  <c r="Z73" i="32"/>
  <c r="S76" i="32"/>
  <c r="X83" i="32"/>
  <c r="U82" i="32"/>
  <c r="R81" i="32"/>
  <c r="V77" i="32"/>
  <c r="AD85" i="32"/>
  <c r="AA84" i="32"/>
  <c r="Y78" i="32"/>
  <c r="T87" i="32"/>
  <c r="S92" i="32"/>
  <c r="AB79" i="32"/>
  <c r="W88" i="32"/>
  <c r="Z89" i="32"/>
  <c r="AC90" i="32"/>
  <c r="V93" i="32"/>
  <c r="Y94" i="32"/>
  <c r="AB95" i="32"/>
  <c r="X99" i="32"/>
  <c r="R97" i="32"/>
  <c r="AD101" i="32"/>
  <c r="T103" i="32"/>
  <c r="U98" i="32"/>
  <c r="V109" i="32"/>
  <c r="AC106" i="32"/>
  <c r="AA100" i="32"/>
  <c r="W104" i="32"/>
  <c r="Z12" i="32"/>
  <c r="S108" i="32"/>
  <c r="Z105" i="32"/>
  <c r="Y110" i="32"/>
  <c r="Z28" i="32"/>
  <c r="AD50" i="32"/>
  <c r="R14" i="32"/>
  <c r="W85" i="32"/>
  <c r="R6" i="32"/>
  <c r="X32" i="32"/>
  <c r="W43" i="32"/>
  <c r="T68" i="32"/>
  <c r="T100" i="32"/>
  <c r="Y65" i="32"/>
  <c r="X86" i="32"/>
  <c r="AA9" i="32"/>
  <c r="X8" i="32"/>
  <c r="AD10" i="32"/>
  <c r="T12" i="32"/>
  <c r="Z14" i="32"/>
  <c r="W13" i="32"/>
  <c r="AC15" i="32"/>
  <c r="V18" i="32"/>
  <c r="S17" i="32"/>
  <c r="AB20" i="32"/>
  <c r="R22" i="32"/>
  <c r="Y19" i="32"/>
  <c r="U23" i="32"/>
  <c r="AA25" i="32"/>
  <c r="T28" i="32"/>
  <c r="AD26" i="32"/>
  <c r="X24" i="32"/>
  <c r="AC13" i="32"/>
  <c r="AC31" i="32"/>
  <c r="Z30" i="32"/>
  <c r="W29" i="32"/>
  <c r="AD8" i="32"/>
  <c r="AA7" i="32"/>
  <c r="AB18" i="32"/>
  <c r="Y17" i="32"/>
  <c r="S33" i="32"/>
  <c r="T42" i="32"/>
  <c r="AB3" i="32"/>
  <c r="X16" i="32"/>
  <c r="AD24" i="32"/>
  <c r="S31" i="32"/>
  <c r="AC45" i="32"/>
  <c r="Y33" i="32"/>
  <c r="R52" i="32"/>
  <c r="Z60" i="32"/>
  <c r="X70" i="32"/>
  <c r="AB66" i="32"/>
  <c r="U85" i="32"/>
  <c r="R84" i="32"/>
  <c r="Y27" i="32"/>
  <c r="X6" i="32"/>
  <c r="T90" i="32"/>
  <c r="R30" i="32"/>
  <c r="R46" i="32"/>
  <c r="AC39" i="32"/>
  <c r="V42" i="32"/>
  <c r="R78" i="32"/>
  <c r="AD34" i="32"/>
  <c r="AA49" i="32"/>
  <c r="Z54" i="32"/>
  <c r="V58" i="32"/>
  <c r="AC55" i="32"/>
  <c r="W69" i="32"/>
  <c r="AC87" i="32"/>
  <c r="U63" i="32"/>
  <c r="AA81" i="32"/>
  <c r="AC71" i="32"/>
  <c r="AA65" i="32"/>
  <c r="X80" i="32"/>
  <c r="AB92" i="32"/>
  <c r="AD98" i="32"/>
  <c r="X96" i="32"/>
  <c r="AD18" i="32"/>
  <c r="X3" i="32"/>
  <c r="W21" i="32"/>
  <c r="W101" i="32"/>
  <c r="Z102" i="32"/>
  <c r="V34" i="32"/>
  <c r="S25" i="32"/>
  <c r="Y35" i="32"/>
  <c r="V10" i="32"/>
  <c r="AB36" i="32"/>
  <c r="AA41" i="32"/>
  <c r="U39" i="32"/>
  <c r="R38" i="32"/>
  <c r="Y51" i="32"/>
  <c r="X40" i="32"/>
  <c r="AD42" i="32"/>
  <c r="AB52" i="32"/>
  <c r="S49" i="32"/>
  <c r="T44" i="32"/>
  <c r="AC47" i="32"/>
  <c r="W45" i="32"/>
  <c r="U55" i="32"/>
  <c r="V50" i="32"/>
  <c r="AA57" i="32"/>
  <c r="R54" i="32"/>
  <c r="AD58" i="32"/>
  <c r="T60" i="32"/>
  <c r="Z46" i="32"/>
  <c r="X56" i="32"/>
  <c r="W61" i="32"/>
  <c r="Z62" i="32"/>
  <c r="V66" i="32"/>
  <c r="AB68" i="32"/>
  <c r="U71" i="32"/>
  <c r="S65" i="32"/>
  <c r="AC63" i="32"/>
  <c r="Y67" i="32"/>
  <c r="X72" i="32"/>
  <c r="R70" i="32"/>
  <c r="AA73" i="32"/>
  <c r="AD74" i="32"/>
  <c r="T76" i="32"/>
  <c r="W77" i="32"/>
  <c r="S81" i="32"/>
  <c r="Z78" i="32"/>
  <c r="AC79" i="32"/>
  <c r="X88" i="32"/>
  <c r="R86" i="32"/>
  <c r="V82" i="32"/>
  <c r="T92" i="32"/>
  <c r="AB84" i="32"/>
  <c r="U87" i="32"/>
  <c r="AD90" i="32"/>
  <c r="AA89" i="32"/>
  <c r="Y83" i="32"/>
  <c r="S97" i="32"/>
  <c r="Z94" i="32"/>
  <c r="AC95" i="32"/>
  <c r="W93" i="32"/>
  <c r="R102" i="32"/>
  <c r="V98" i="32"/>
  <c r="AB100" i="32"/>
  <c r="X104" i="32"/>
  <c r="Y99" i="32"/>
  <c r="AD106" i="32"/>
  <c r="T108" i="32"/>
  <c r="U103" i="32"/>
  <c r="AA105" i="32"/>
  <c r="W109" i="32"/>
  <c r="W5" i="32"/>
  <c r="U7" i="32"/>
  <c r="Z110" i="32"/>
  <c r="AB4" i="32"/>
  <c r="Z3" i="32"/>
  <c r="S6" i="32"/>
  <c r="X13" i="32"/>
  <c r="AC4" i="32"/>
  <c r="V7" i="32"/>
  <c r="R11" i="32"/>
  <c r="T17" i="32"/>
  <c r="U12" i="32"/>
  <c r="AA14" i="32"/>
  <c r="Y8" i="32"/>
  <c r="AB9" i="32"/>
  <c r="AD15" i="32"/>
  <c r="W18" i="32"/>
  <c r="AC20" i="32"/>
  <c r="Z19" i="32"/>
  <c r="S22" i="32"/>
  <c r="V23" i="32"/>
  <c r="X29" i="32"/>
  <c r="R27" i="32"/>
  <c r="AB25" i="32"/>
  <c r="AD31" i="32"/>
  <c r="Y24" i="32"/>
  <c r="U28" i="32"/>
  <c r="T33" i="32"/>
  <c r="AA30" i="32"/>
  <c r="V39" i="32"/>
  <c r="W34" i="32"/>
  <c r="AC36" i="32"/>
  <c r="Z35" i="32"/>
  <c r="S38" i="32"/>
  <c r="Y40" i="32"/>
  <c r="AB41" i="32"/>
  <c r="R43" i="32"/>
  <c r="X45" i="32"/>
  <c r="W50" i="32"/>
  <c r="U44" i="32"/>
  <c r="T49" i="32"/>
  <c r="AD47" i="32"/>
  <c r="Z51" i="32"/>
  <c r="AA46" i="32"/>
  <c r="AB57" i="32"/>
  <c r="R59" i="32"/>
  <c r="AC52" i="32"/>
  <c r="V55" i="32"/>
  <c r="S54" i="32"/>
  <c r="Y56" i="32"/>
  <c r="AD63" i="32"/>
  <c r="W66" i="32"/>
  <c r="U60" i="32"/>
  <c r="AA62" i="32"/>
  <c r="T65" i="32"/>
  <c r="AC68" i="32"/>
  <c r="X61" i="32"/>
  <c r="V71" i="32"/>
  <c r="S70" i="32"/>
  <c r="AB73" i="32"/>
  <c r="Z67" i="32"/>
  <c r="Y72" i="32"/>
  <c r="U76" i="32"/>
  <c r="R75" i="32"/>
  <c r="X77" i="32"/>
  <c r="AA78" i="32"/>
  <c r="AD79" i="32"/>
  <c r="T81" i="32"/>
  <c r="V87" i="32"/>
  <c r="W82" i="32"/>
  <c r="AA94" i="32"/>
  <c r="Z83" i="32"/>
  <c r="AC84" i="32"/>
  <c r="S86" i="32"/>
  <c r="AC100" i="32"/>
  <c r="Y88" i="32"/>
  <c r="AB89" i="32"/>
  <c r="R91" i="32"/>
  <c r="AD95" i="32"/>
  <c r="X93" i="32"/>
  <c r="U92" i="32"/>
  <c r="Z99" i="32"/>
  <c r="T97" i="32"/>
  <c r="V103" i="32"/>
  <c r="W98" i="32"/>
  <c r="AA3" i="32"/>
  <c r="AB105" i="32"/>
  <c r="R107" i="32"/>
  <c r="AD4" i="32"/>
  <c r="Y104" i="32"/>
  <c r="S102" i="32"/>
  <c r="U108" i="32"/>
  <c r="AA110" i="32"/>
  <c r="X109" i="32"/>
  <c r="T6" i="32"/>
  <c r="V12" i="32"/>
  <c r="W7" i="32"/>
  <c r="Z8" i="32"/>
  <c r="AC9" i="32"/>
  <c r="S11" i="32"/>
  <c r="Y13" i="32"/>
  <c r="AB14" i="32"/>
  <c r="U17" i="32"/>
  <c r="R16" i="32"/>
  <c r="X18" i="32"/>
  <c r="AA19" i="32"/>
  <c r="T22" i="32"/>
  <c r="W23" i="32"/>
  <c r="AD20" i="32"/>
  <c r="AB30" i="32"/>
  <c r="V28" i="32"/>
  <c r="Z24" i="32"/>
  <c r="S27" i="32"/>
  <c r="AC25" i="32"/>
  <c r="U33" i="32"/>
  <c r="T38" i="32"/>
  <c r="Y29" i="32"/>
  <c r="X34" i="32"/>
  <c r="Z40" i="32"/>
  <c r="W39" i="32"/>
  <c r="R32" i="32"/>
  <c r="AA35" i="32"/>
  <c r="AD36" i="32"/>
  <c r="AC41" i="32"/>
  <c r="X50" i="32"/>
  <c r="S43" i="32"/>
  <c r="U49" i="32"/>
  <c r="R48" i="32"/>
  <c r="V44" i="32"/>
  <c r="AA51" i="32"/>
  <c r="AB46" i="32"/>
  <c r="Y45" i="32"/>
  <c r="AD52" i="32"/>
  <c r="W55" i="32"/>
  <c r="T54" i="32"/>
  <c r="Z56" i="32"/>
  <c r="S59" i="32"/>
  <c r="AC57" i="32"/>
  <c r="T70" i="32"/>
  <c r="V60" i="32"/>
  <c r="R64" i="32"/>
  <c r="U65" i="32"/>
  <c r="Y61" i="32"/>
  <c r="AA67" i="32"/>
  <c r="W71" i="32"/>
  <c r="AB62" i="32"/>
  <c r="Z72" i="32"/>
  <c r="X66" i="32"/>
  <c r="S75" i="32"/>
  <c r="W87" i="32"/>
  <c r="Y77" i="32"/>
  <c r="AC73" i="32"/>
  <c r="AD68" i="32"/>
  <c r="R80" i="32"/>
  <c r="V76" i="32"/>
  <c r="AB78" i="32"/>
  <c r="Z88" i="32"/>
  <c r="U81" i="32"/>
  <c r="X82" i="32"/>
  <c r="S91" i="32"/>
  <c r="AC89" i="32"/>
  <c r="T86" i="32"/>
  <c r="AA83" i="32"/>
  <c r="AD84" i="32"/>
  <c r="V92" i="32"/>
  <c r="Y93" i="32"/>
  <c r="U97" i="32"/>
  <c r="AB94" i="32"/>
  <c r="R96" i="32"/>
  <c r="T102" i="32"/>
  <c r="S107" i="32"/>
  <c r="X98" i="32"/>
  <c r="Z104" i="32"/>
  <c r="AD100" i="32"/>
  <c r="V108" i="32"/>
  <c r="AA99" i="32"/>
  <c r="R5" i="32"/>
  <c r="W103" i="32"/>
  <c r="Y109" i="32"/>
  <c r="AA8" i="32"/>
  <c r="X7" i="32"/>
  <c r="AC105" i="32"/>
  <c r="AD9" i="32"/>
  <c r="U6" i="32"/>
  <c r="AB110" i="32"/>
  <c r="Y18" i="32"/>
  <c r="T11" i="32"/>
  <c r="S16" i="32"/>
  <c r="V17" i="32"/>
  <c r="AC14" i="32"/>
  <c r="AB19" i="32"/>
  <c r="Z13" i="32"/>
  <c r="R21" i="32"/>
  <c r="W12" i="32"/>
  <c r="X23" i="32"/>
  <c r="U22" i="32"/>
  <c r="AA24" i="32"/>
  <c r="AD25" i="32"/>
  <c r="T27" i="32"/>
  <c r="W28" i="32"/>
  <c r="S32" i="32"/>
  <c r="Y34" i="32"/>
  <c r="R37" i="32"/>
  <c r="AC30" i="32"/>
  <c r="Z29" i="32"/>
  <c r="U38" i="32"/>
  <c r="V33" i="32"/>
  <c r="AD41" i="32"/>
  <c r="X39" i="32"/>
  <c r="W44" i="32"/>
  <c r="AB35" i="32"/>
  <c r="T43" i="32"/>
  <c r="S48" i="32"/>
  <c r="X55" i="32"/>
  <c r="Z45" i="32"/>
  <c r="AA40" i="32"/>
  <c r="U54" i="32"/>
  <c r="AC46" i="32"/>
  <c r="AA56" i="32"/>
  <c r="R53" i="32"/>
  <c r="W60" i="32"/>
  <c r="AD57" i="32"/>
  <c r="V49" i="32"/>
  <c r="Y50" i="32"/>
  <c r="T59" i="32"/>
  <c r="AB51" i="32"/>
  <c r="Z61" i="32"/>
  <c r="AC62" i="32"/>
  <c r="V65" i="32"/>
  <c r="AC78" i="32"/>
  <c r="U70" i="32"/>
  <c r="S64" i="32"/>
  <c r="V81" i="32"/>
  <c r="R69" i="32"/>
  <c r="X71" i="32"/>
  <c r="AD73" i="32"/>
  <c r="T75" i="32"/>
  <c r="AB67" i="32"/>
  <c r="Y66" i="32"/>
  <c r="W76" i="32"/>
  <c r="AA72" i="32"/>
  <c r="W92" i="32"/>
  <c r="S80" i="32"/>
  <c r="R101" i="32"/>
  <c r="Z77" i="32"/>
  <c r="R85" i="32"/>
  <c r="Y82" i="32"/>
  <c r="AB83" i="32"/>
  <c r="AD89" i="32"/>
  <c r="V97" i="32"/>
  <c r="T91" i="32"/>
  <c r="S96" i="32"/>
  <c r="AA88" i="32"/>
  <c r="Z93" i="32"/>
  <c r="AB99" i="32"/>
  <c r="AC94" i="32"/>
  <c r="U86" i="32"/>
  <c r="Y98" i="32"/>
  <c r="X87" i="32"/>
  <c r="U102" i="32"/>
  <c r="AD105" i="32"/>
  <c r="AA104" i="32"/>
  <c r="W108" i="32"/>
  <c r="AC110" i="32"/>
  <c r="X103" i="32"/>
  <c r="V6" i="32"/>
  <c r="T107" i="32"/>
  <c r="Y3" i="32"/>
  <c r="Z109" i="32"/>
  <c r="AC3" i="32"/>
  <c r="AB8" i="32"/>
  <c r="U11" i="32"/>
  <c r="S5" i="32"/>
  <c r="AC19" i="32"/>
  <c r="Y7" i="32"/>
  <c r="X28" i="32"/>
  <c r="X12" i="32"/>
  <c r="R10" i="32"/>
  <c r="U27" i="32"/>
  <c r="R26" i="32"/>
  <c r="V22" i="32"/>
  <c r="Z18" i="32"/>
  <c r="S21" i="32"/>
  <c r="W17" i="32"/>
  <c r="AB24" i="32"/>
  <c r="Y23" i="32"/>
  <c r="AD14" i="32"/>
  <c r="AA13" i="32"/>
  <c r="AA29" i="32"/>
  <c r="T32" i="32"/>
  <c r="T16" i="32"/>
  <c r="AD30" i="32"/>
  <c r="W33" i="32"/>
  <c r="V38" i="32"/>
  <c r="AA45" i="32"/>
  <c r="U59" i="32"/>
  <c r="Y39" i="32"/>
  <c r="AC35" i="32"/>
  <c r="U43" i="32"/>
  <c r="AB40" i="32"/>
  <c r="W49" i="32"/>
  <c r="AB56" i="32"/>
  <c r="AD46" i="32"/>
  <c r="R58" i="32"/>
  <c r="X44" i="32"/>
  <c r="T64" i="32"/>
  <c r="S37" i="32"/>
  <c r="T48" i="32"/>
  <c r="Z34" i="32"/>
  <c r="R42" i="32"/>
  <c r="W65" i="32"/>
  <c r="AA61" i="32"/>
  <c r="Z50" i="32"/>
  <c r="V54" i="32"/>
  <c r="AD62" i="32"/>
  <c r="V70" i="32"/>
  <c r="Y55" i="32"/>
  <c r="X60" i="32"/>
  <c r="S69" i="32"/>
  <c r="Z66" i="32"/>
  <c r="S53" i="32"/>
  <c r="AC51" i="32"/>
  <c r="Y71" i="32"/>
  <c r="AC67" i="32"/>
  <c r="V102" i="32"/>
  <c r="T96" i="32"/>
  <c r="U107" i="32"/>
  <c r="AA109" i="32"/>
  <c r="X76" i="32"/>
  <c r="X92" i="32"/>
  <c r="Z82" i="32"/>
  <c r="AA93" i="32"/>
  <c r="U75" i="32"/>
  <c r="S101" i="32"/>
  <c r="AB72" i="32"/>
  <c r="T80" i="32"/>
  <c r="AC99" i="32"/>
  <c r="V86" i="32"/>
  <c r="S85" i="32"/>
  <c r="U91" i="32"/>
  <c r="W97" i="32"/>
  <c r="Z98" i="32"/>
  <c r="AC83" i="32"/>
  <c r="AA77" i="32"/>
  <c r="W81" i="32"/>
  <c r="R106" i="32"/>
  <c r="AD94" i="32"/>
  <c r="Y103" i="32"/>
  <c r="R74" i="32"/>
  <c r="AB88" i="32"/>
  <c r="Y87" i="32"/>
  <c r="R90" i="32"/>
  <c r="AD78" i="32"/>
  <c r="AB104" i="32"/>
  <c r="AD110" i="32"/>
  <c r="X108" i="32"/>
  <c r="Q4" i="39"/>
  <c r="R18" i="22"/>
  <c r="Q28" i="22"/>
  <c r="S30" i="22"/>
  <c r="H27" i="22"/>
  <c r="T30" i="22"/>
  <c r="K20" i="22"/>
  <c r="U23" i="22"/>
  <c r="T20" i="22"/>
  <c r="AB28" i="22"/>
  <c r="X21" i="22"/>
  <c r="J27" i="22"/>
  <c r="S21" i="22"/>
  <c r="S19" i="22"/>
  <c r="K23" i="22"/>
  <c r="X30" i="22"/>
  <c r="V30" i="22"/>
  <c r="G19" i="22"/>
  <c r="Q26" i="22"/>
  <c r="S22" i="22"/>
  <c r="U25" i="22"/>
  <c r="G24" i="22"/>
  <c r="W26" i="22"/>
  <c r="Q22" i="22"/>
  <c r="D25" i="22"/>
  <c r="AA30" i="22"/>
  <c r="AB27" i="22"/>
  <c r="R20" i="22"/>
  <c r="U19" i="22"/>
  <c r="X20" i="22"/>
  <c r="L21" i="22"/>
  <c r="J28" i="22"/>
  <c r="T18" i="22"/>
  <c r="M25" i="22"/>
  <c r="AB18" i="22"/>
  <c r="E27" i="22"/>
  <c r="J18" i="22"/>
  <c r="L30" i="22"/>
  <c r="V23" i="22"/>
  <c r="Z28" i="22"/>
  <c r="R26" i="22"/>
  <c r="AA18" i="22"/>
  <c r="AB24" i="22"/>
  <c r="I30" i="22"/>
  <c r="K27" i="22"/>
  <c r="H24" i="22"/>
  <c r="V25" i="22"/>
  <c r="K26" i="22"/>
  <c r="W20" i="22"/>
  <c r="X22" i="22"/>
  <c r="W30" i="22"/>
  <c r="C21" i="22"/>
  <c r="G20" i="22"/>
  <c r="AB26" i="22"/>
  <c r="V26" i="22"/>
  <c r="D21" i="22"/>
  <c r="E28" i="22"/>
  <c r="E20" i="22"/>
  <c r="D24" i="22"/>
  <c r="L25" i="22"/>
  <c r="K29" i="22"/>
  <c r="AA23" i="22"/>
  <c r="Q21" i="22"/>
  <c r="L19" i="22"/>
  <c r="X25" i="22"/>
  <c r="AA24" i="22"/>
  <c r="Q30" i="22"/>
  <c r="Q18" i="22"/>
  <c r="M22" i="22"/>
  <c r="F29" i="22"/>
  <c r="Q27" i="22"/>
  <c r="J22" i="22"/>
  <c r="F19" i="22"/>
  <c r="S18" i="22"/>
  <c r="E24" i="22"/>
  <c r="N25" i="22"/>
  <c r="L23" i="22"/>
  <c r="X24" i="22"/>
  <c r="U21" i="22"/>
  <c r="AB23" i="22"/>
  <c r="K21" i="22"/>
  <c r="Y30" i="22"/>
  <c r="M21" i="22"/>
  <c r="N20" i="22"/>
  <c r="Y25" i="22"/>
  <c r="L28" i="22"/>
  <c r="I24" i="22"/>
  <c r="D22" i="22"/>
  <c r="I26" i="22"/>
  <c r="X26" i="22"/>
  <c r="Z25" i="22"/>
  <c r="U18" i="22"/>
  <c r="E30" i="22"/>
  <c r="M27" i="22"/>
  <c r="Z23" i="22"/>
  <c r="U24" i="22"/>
  <c r="F18" i="22"/>
  <c r="F20" i="22"/>
  <c r="Z18" i="22"/>
  <c r="S20" i="22"/>
  <c r="X23" i="22"/>
  <c r="V21" i="22"/>
  <c r="I25" i="22"/>
  <c r="U26" i="22"/>
  <c r="Z30" i="22"/>
  <c r="C23" i="22"/>
  <c r="Q29" i="22"/>
  <c r="N26" i="22"/>
  <c r="V22" i="22"/>
  <c r="H29" i="22"/>
  <c r="W19" i="22"/>
  <c r="AB29" i="22"/>
  <c r="E25" i="22"/>
  <c r="I27" i="22"/>
  <c r="G29" i="22"/>
  <c r="K19" i="22"/>
  <c r="V19" i="22"/>
  <c r="K28" i="22"/>
  <c r="E21" i="22"/>
  <c r="H19" i="22"/>
  <c r="D23" i="22"/>
  <c r="AA22" i="22"/>
  <c r="E23" i="22"/>
  <c r="V27" i="22"/>
  <c r="I19" i="22"/>
  <c r="H18" i="22"/>
  <c r="N29" i="22"/>
  <c r="Y20" i="22"/>
  <c r="H28" i="22"/>
  <c r="AA20" i="22"/>
  <c r="G21" i="22"/>
  <c r="G28" i="22"/>
  <c r="E19" i="22"/>
  <c r="F25" i="22"/>
  <c r="I28" i="22"/>
  <c r="Z27" i="22"/>
  <c r="D19" i="22"/>
  <c r="R30" i="22"/>
  <c r="F26" i="22"/>
  <c r="I20" i="22"/>
  <c r="C22" i="22"/>
  <c r="T25" i="22"/>
  <c r="M29" i="22"/>
  <c r="Y23" i="22"/>
  <c r="M28" i="22"/>
  <c r="C28" i="22"/>
  <c r="I22" i="22"/>
  <c r="S26" i="22"/>
  <c r="H23" i="22"/>
  <c r="Y18" i="22"/>
  <c r="I23" i="22"/>
  <c r="R23" i="22"/>
  <c r="X27" i="22"/>
  <c r="Z19" i="22"/>
  <c r="T24" i="22"/>
  <c r="AA19" i="22"/>
  <c r="X28" i="22"/>
  <c r="Z29" i="22"/>
  <c r="T29" i="22"/>
  <c r="L27" i="22"/>
  <c r="W21" i="22"/>
  <c r="C24" i="22"/>
  <c r="X29" i="22"/>
  <c r="X18" i="22"/>
  <c r="L18" i="22"/>
  <c r="R28" i="22"/>
  <c r="F21" i="22"/>
  <c r="J25" i="22"/>
  <c r="U22" i="22"/>
  <c r="C27" i="22"/>
  <c r="AA21" i="22"/>
  <c r="C30" i="22"/>
  <c r="D18" i="22"/>
  <c r="N21" i="22"/>
  <c r="K30" i="22"/>
  <c r="Z22" i="22"/>
  <c r="K25" i="22"/>
  <c r="AB19" i="22"/>
  <c r="R22" i="22"/>
  <c r="W22" i="22"/>
  <c r="L22" i="22"/>
  <c r="T28" i="22"/>
  <c r="U20" i="22"/>
  <c r="E29" i="22"/>
  <c r="F28" i="22"/>
  <c r="S24" i="22"/>
  <c r="L24" i="22"/>
  <c r="W29" i="22"/>
  <c r="H30" i="22"/>
  <c r="M18" i="22"/>
  <c r="M24" i="22"/>
  <c r="AB22" i="22"/>
  <c r="R25" i="22"/>
  <c r="C20" i="22"/>
  <c r="E18" i="22"/>
  <c r="D28" i="22"/>
  <c r="D30" i="22"/>
  <c r="C29" i="22"/>
  <c r="W24" i="22"/>
  <c r="V28" i="22"/>
  <c r="J21" i="22"/>
  <c r="T19" i="22"/>
  <c r="V29" i="22"/>
  <c r="T22" i="22"/>
  <c r="H21" i="22"/>
  <c r="E26" i="22"/>
  <c r="M20" i="22"/>
  <c r="AB25" i="22"/>
  <c r="S28" i="22"/>
  <c r="N19" i="22"/>
  <c r="N23" i="22"/>
  <c r="H22" i="22"/>
  <c r="H26" i="22"/>
  <c r="J29" i="22"/>
  <c r="J30" i="22"/>
  <c r="E22" i="22"/>
  <c r="AB21" i="22"/>
  <c r="AA29" i="22"/>
  <c r="R29" i="22"/>
  <c r="U29" i="22"/>
  <c r="T23" i="22"/>
  <c r="V18" i="22"/>
  <c r="V24" i="22"/>
  <c r="Z21" i="22"/>
  <c r="G23" i="22"/>
  <c r="F22" i="22"/>
  <c r="T21" i="22"/>
  <c r="Y24" i="22"/>
  <c r="M26" i="22"/>
  <c r="I18" i="22"/>
  <c r="Y21" i="22"/>
  <c r="M19" i="22"/>
  <c r="R21" i="22"/>
  <c r="X19" i="22"/>
  <c r="F23" i="22"/>
  <c r="AB30" i="22"/>
  <c r="S23" i="22"/>
  <c r="H20" i="22"/>
  <c r="L20" i="22"/>
  <c r="N18" i="22"/>
  <c r="R19" i="22"/>
  <c r="I29" i="22"/>
  <c r="J19" i="22"/>
  <c r="Z24" i="22"/>
  <c r="N22" i="22"/>
  <c r="K22" i="22"/>
  <c r="N30" i="22"/>
  <c r="C25" i="22"/>
  <c r="Q25" i="22"/>
  <c r="Y19" i="22"/>
  <c r="Z20" i="22"/>
  <c r="W23" i="22"/>
  <c r="J26" i="22"/>
  <c r="AB20" i="22"/>
  <c r="AA26" i="22"/>
  <c r="W27" i="22"/>
  <c r="Y28" i="22"/>
  <c r="Z26" i="22"/>
  <c r="AA28" i="22"/>
  <c r="T26" i="22"/>
  <c r="Y26" i="22"/>
  <c r="M30" i="22"/>
  <c r="Q19" i="22"/>
  <c r="K18" i="22"/>
  <c r="D29" i="22"/>
  <c r="G26" i="22"/>
  <c r="U27" i="22"/>
  <c r="F30" i="22"/>
  <c r="U28" i="22"/>
  <c r="G25" i="22"/>
  <c r="Y27" i="22"/>
  <c r="I21" i="22"/>
  <c r="Q24" i="22"/>
  <c r="G27" i="22"/>
  <c r="F24" i="22"/>
  <c r="N24" i="22"/>
  <c r="L26" i="22"/>
  <c r="C26" i="22"/>
  <c r="N28" i="22"/>
  <c r="G30" i="22"/>
  <c r="Y29" i="22"/>
  <c r="R27" i="22"/>
  <c r="S25" i="22"/>
  <c r="R24" i="22"/>
  <c r="AA25" i="22"/>
  <c r="V20" i="22"/>
  <c r="T27" i="22"/>
  <c r="F27" i="22"/>
  <c r="W25" i="22"/>
  <c r="AA27" i="22"/>
  <c r="Q23" i="22"/>
  <c r="J23" i="22"/>
  <c r="N27" i="22"/>
  <c r="G22" i="22"/>
  <c r="K24" i="22"/>
  <c r="U30" i="22"/>
  <c r="W18" i="22"/>
  <c r="W28" i="22"/>
  <c r="S29" i="22"/>
  <c r="S27" i="22"/>
  <c r="Q20" i="22"/>
  <c r="M23" i="22"/>
  <c r="D26" i="22"/>
  <c r="D20" i="22"/>
  <c r="G18" i="22"/>
  <c r="C19" i="22"/>
  <c r="L29" i="22"/>
  <c r="J24" i="22"/>
  <c r="Y22" i="22"/>
  <c r="H25" i="22"/>
  <c r="D27" i="22"/>
  <c r="J20" i="22"/>
  <c r="AC47" i="23" l="1"/>
  <c r="AB47" i="23"/>
  <c r="AA47" i="23"/>
  <c r="Z47" i="23"/>
  <c r="Y47" i="23"/>
  <c r="X47" i="23"/>
  <c r="W47" i="23"/>
  <c r="V47" i="23"/>
  <c r="U47" i="23"/>
  <c r="T47" i="23"/>
  <c r="S47" i="23"/>
  <c r="R47" i="23"/>
  <c r="Q47" i="23"/>
  <c r="B47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B46" i="23"/>
  <c r="AC45" i="23"/>
  <c r="AB45" i="23"/>
  <c r="AA45" i="23"/>
  <c r="Z45" i="23"/>
  <c r="Y45" i="23"/>
  <c r="X45" i="23"/>
  <c r="W45" i="23"/>
  <c r="V45" i="23"/>
  <c r="U45" i="23"/>
  <c r="T45" i="23"/>
  <c r="S45" i="23"/>
  <c r="R45" i="23"/>
  <c r="Q45" i="23"/>
  <c r="B45" i="23"/>
  <c r="AC44" i="23"/>
  <c r="AB44" i="23"/>
  <c r="AA44" i="23"/>
  <c r="Z44" i="23"/>
  <c r="Y44" i="23"/>
  <c r="X44" i="23"/>
  <c r="W44" i="23"/>
  <c r="V44" i="23"/>
  <c r="U44" i="23"/>
  <c r="T44" i="23"/>
  <c r="S44" i="23"/>
  <c r="R44" i="23"/>
  <c r="Q44" i="23"/>
  <c r="B44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B43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B42" i="23"/>
  <c r="AC41" i="23"/>
  <c r="AB41" i="23"/>
  <c r="AA41" i="23"/>
  <c r="Z41" i="23"/>
  <c r="Y41" i="23"/>
  <c r="X41" i="23"/>
  <c r="W41" i="23"/>
  <c r="V41" i="23"/>
  <c r="U41" i="23"/>
  <c r="T41" i="23"/>
  <c r="S41" i="23"/>
  <c r="R41" i="23"/>
  <c r="Q41" i="23"/>
  <c r="B41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B40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B39" i="23"/>
  <c r="AC38" i="23"/>
  <c r="AB38" i="23"/>
  <c r="AA38" i="23"/>
  <c r="Z38" i="23"/>
  <c r="Y38" i="23"/>
  <c r="X38" i="23"/>
  <c r="W38" i="23"/>
  <c r="V38" i="23"/>
  <c r="U38" i="23"/>
  <c r="T38" i="23"/>
  <c r="S38" i="23"/>
  <c r="R38" i="23"/>
  <c r="Q38" i="23"/>
  <c r="B38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B37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Q36" i="23"/>
  <c r="B36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B35" i="23"/>
  <c r="AC34" i="23"/>
  <c r="AB34" i="23"/>
  <c r="AA34" i="23"/>
  <c r="Z34" i="23"/>
  <c r="Y34" i="23"/>
  <c r="X34" i="23"/>
  <c r="W34" i="23"/>
  <c r="V34" i="23"/>
  <c r="U34" i="23"/>
  <c r="T34" i="23"/>
  <c r="S34" i="23"/>
  <c r="R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B32" i="23"/>
  <c r="AC31" i="23"/>
  <c r="AB31" i="23"/>
  <c r="AA31" i="23"/>
  <c r="Z31" i="23"/>
  <c r="Y31" i="23"/>
  <c r="X31" i="23"/>
  <c r="W31" i="23"/>
  <c r="V31" i="23"/>
  <c r="U31" i="23"/>
  <c r="T31" i="23"/>
  <c r="S31" i="23"/>
  <c r="R31" i="23"/>
  <c r="Q31" i="23"/>
  <c r="B31" i="23"/>
  <c r="AC30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B30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B29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B28" i="23"/>
  <c r="AC27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B27" i="23"/>
  <c r="AC26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B26" i="23"/>
  <c r="AC25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B25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B24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B23" i="23"/>
  <c r="AC22" i="23"/>
  <c r="AB22" i="23"/>
  <c r="AA22" i="23"/>
  <c r="Z22" i="23"/>
  <c r="Y22" i="23"/>
  <c r="X22" i="23"/>
  <c r="W22" i="23"/>
  <c r="V22" i="23"/>
  <c r="U22" i="23"/>
  <c r="T22" i="23"/>
  <c r="S22" i="23"/>
  <c r="R22" i="23"/>
  <c r="Q22" i="23"/>
  <c r="B22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B21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B20" i="23"/>
  <c r="A20" i="23"/>
  <c r="AC19" i="23"/>
  <c r="AB19" i="23"/>
  <c r="AA19" i="23"/>
  <c r="Z19" i="23"/>
  <c r="Y19" i="23"/>
  <c r="X19" i="23"/>
  <c r="W19" i="23"/>
  <c r="V19" i="23"/>
  <c r="U19" i="23"/>
  <c r="T19" i="23"/>
  <c r="S19" i="23"/>
  <c r="R19" i="23"/>
  <c r="Q19" i="23"/>
  <c r="D2" i="23" s="1"/>
  <c r="P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B34" i="23" s="1"/>
  <c r="A19" i="23"/>
  <c r="B2" i="23"/>
  <c r="C30" i="35"/>
  <c r="E25" i="35"/>
  <c r="Q22" i="35"/>
  <c r="Q30" i="35"/>
  <c r="R27" i="35"/>
  <c r="R19" i="35"/>
  <c r="I28" i="35"/>
  <c r="H25" i="35"/>
  <c r="E20" i="35"/>
  <c r="E23" i="35"/>
  <c r="I23" i="35"/>
  <c r="D20" i="35"/>
  <c r="E30" i="35"/>
  <c r="V23" i="35"/>
  <c r="U18" i="35"/>
  <c r="M21" i="35"/>
  <c r="Y21" i="35"/>
  <c r="AB28" i="35"/>
  <c r="E18" i="35"/>
  <c r="D23" i="35"/>
  <c r="V20" i="35"/>
  <c r="M25" i="35"/>
  <c r="I25" i="35"/>
  <c r="Z25" i="35"/>
  <c r="D25" i="35"/>
  <c r="AB18" i="35"/>
  <c r="E19" i="35"/>
  <c r="L21" i="35"/>
  <c r="D30" i="35"/>
  <c r="G27" i="35"/>
  <c r="U27" i="35"/>
  <c r="V22" i="35"/>
  <c r="T19" i="35"/>
  <c r="D26" i="35"/>
  <c r="E21" i="35"/>
  <c r="W22" i="35"/>
  <c r="N19" i="35"/>
  <c r="V26" i="35"/>
  <c r="Y25" i="35"/>
  <c r="Q19" i="35"/>
  <c r="N23" i="35"/>
  <c r="S24" i="35"/>
  <c r="L28" i="35"/>
  <c r="AA24" i="35"/>
  <c r="T25" i="35"/>
  <c r="L23" i="35"/>
  <c r="D21" i="35"/>
  <c r="C20" i="35"/>
  <c r="AA28" i="35"/>
  <c r="C25" i="35"/>
  <c r="D22" i="35"/>
  <c r="AB30" i="35"/>
  <c r="AB26" i="35"/>
  <c r="T26" i="35"/>
  <c r="AB27" i="35"/>
  <c r="G24" i="35"/>
  <c r="C26" i="35"/>
  <c r="Y20" i="35"/>
  <c r="Q27" i="35"/>
  <c r="W23" i="35"/>
  <c r="J27" i="35"/>
  <c r="M20" i="35"/>
  <c r="Y28" i="35"/>
  <c r="E22" i="35"/>
  <c r="X26" i="35"/>
  <c r="S29" i="35"/>
  <c r="W21" i="35"/>
  <c r="F30" i="35"/>
  <c r="M30" i="35"/>
  <c r="W25" i="35"/>
  <c r="M23" i="35"/>
  <c r="R29" i="35"/>
  <c r="M28" i="35"/>
  <c r="F29" i="35"/>
  <c r="I19" i="35"/>
  <c r="S18" i="35"/>
  <c r="M24" i="35"/>
  <c r="I27" i="35"/>
  <c r="C28" i="35"/>
  <c r="E24" i="35"/>
  <c r="T24" i="35"/>
  <c r="R20" i="35"/>
  <c r="S21" i="35"/>
  <c r="AB19" i="35"/>
  <c r="Z27" i="35"/>
  <c r="K28" i="35"/>
  <c r="H24" i="35"/>
  <c r="F21" i="35"/>
  <c r="S27" i="35"/>
  <c r="C22" i="35"/>
  <c r="J22" i="35"/>
  <c r="F26" i="35"/>
  <c r="Y29" i="35"/>
  <c r="K20" i="35"/>
  <c r="W18" i="35"/>
  <c r="W28" i="35"/>
  <c r="R25" i="35"/>
  <c r="M18" i="35"/>
  <c r="AB24" i="35"/>
  <c r="X28" i="35"/>
  <c r="R18" i="35"/>
  <c r="AA20" i="35"/>
  <c r="T23" i="35"/>
  <c r="AA18" i="35"/>
  <c r="AA19" i="35"/>
  <c r="H27" i="35"/>
  <c r="N18" i="35"/>
  <c r="R26" i="35"/>
  <c r="H20" i="35"/>
  <c r="Y26" i="35"/>
  <c r="X30" i="35"/>
  <c r="H30" i="35"/>
  <c r="J28" i="35"/>
  <c r="X21" i="35"/>
  <c r="V29" i="35"/>
  <c r="I21" i="35"/>
  <c r="AA22" i="35"/>
  <c r="Z29" i="35"/>
  <c r="Q28" i="35"/>
  <c r="T29" i="35"/>
  <c r="Q26" i="35"/>
  <c r="V30" i="35"/>
  <c r="J23" i="35"/>
  <c r="T21" i="35"/>
  <c r="T30" i="35"/>
  <c r="C21" i="35"/>
  <c r="AA25" i="35"/>
  <c r="X23" i="35"/>
  <c r="L30" i="35"/>
  <c r="I30" i="35"/>
  <c r="W24" i="35"/>
  <c r="X18" i="35"/>
  <c r="K29" i="35"/>
  <c r="Y18" i="35"/>
  <c r="I20" i="35"/>
  <c r="H21" i="35"/>
  <c r="I18" i="35"/>
  <c r="N20" i="35"/>
  <c r="M19" i="35"/>
  <c r="X24" i="35"/>
  <c r="Y19" i="35"/>
  <c r="V19" i="35"/>
  <c r="F23" i="35"/>
  <c r="U22" i="35"/>
  <c r="V25" i="35"/>
  <c r="D27" i="35"/>
  <c r="AA29" i="35"/>
  <c r="Y23" i="35"/>
  <c r="H19" i="35"/>
  <c r="K25" i="35"/>
  <c r="Z30" i="35"/>
  <c r="W29" i="35"/>
  <c r="G26" i="35"/>
  <c r="J19" i="35"/>
  <c r="R21" i="35"/>
  <c r="D18" i="35"/>
  <c r="N26" i="35"/>
  <c r="G25" i="35"/>
  <c r="Z22" i="35"/>
  <c r="G22" i="35"/>
  <c r="X22" i="35"/>
  <c r="L25" i="35"/>
  <c r="H26" i="35"/>
  <c r="V18" i="35"/>
  <c r="AA26" i="35"/>
  <c r="C18" i="35"/>
  <c r="Q29" i="35"/>
  <c r="F28" i="35"/>
  <c r="V27" i="35"/>
  <c r="D28" i="35"/>
  <c r="Y24" i="35"/>
  <c r="S19" i="35"/>
  <c r="AB23" i="35"/>
  <c r="K27" i="35"/>
  <c r="Z20" i="35"/>
  <c r="L27" i="35"/>
  <c r="AA23" i="35"/>
  <c r="U30" i="35"/>
  <c r="Z23" i="35"/>
  <c r="AB20" i="35"/>
  <c r="L19" i="35"/>
  <c r="AB25" i="35"/>
  <c r="Q24" i="35"/>
  <c r="R23" i="35"/>
  <c r="K22" i="35"/>
  <c r="Y30" i="35"/>
  <c r="Q21" i="35"/>
  <c r="J25" i="35"/>
  <c r="F22" i="35"/>
  <c r="K30" i="35"/>
  <c r="Q25" i="35"/>
  <c r="N27" i="35"/>
  <c r="L24" i="35"/>
  <c r="K24" i="35"/>
  <c r="H23" i="35"/>
  <c r="F27" i="35"/>
  <c r="E26" i="35"/>
  <c r="U23" i="35"/>
  <c r="Q20" i="35"/>
  <c r="S26" i="35"/>
  <c r="X20" i="35"/>
  <c r="G18" i="35"/>
  <c r="L26" i="35"/>
  <c r="N28" i="35"/>
  <c r="G21" i="35"/>
  <c r="K18" i="35"/>
  <c r="J20" i="35"/>
  <c r="Y22" i="35"/>
  <c r="AB21" i="35"/>
  <c r="J29" i="35"/>
  <c r="V24" i="35"/>
  <c r="T22" i="35"/>
  <c r="W20" i="35"/>
  <c r="K21" i="35"/>
  <c r="Z26" i="35"/>
  <c r="E28" i="35"/>
  <c r="U19" i="35"/>
  <c r="D29" i="35"/>
  <c r="Z24" i="35"/>
  <c r="N24" i="35"/>
  <c r="Z18" i="35"/>
  <c r="AB29" i="35"/>
  <c r="L18" i="35"/>
  <c r="M26" i="35"/>
  <c r="T27" i="35"/>
  <c r="I24" i="35"/>
  <c r="F19" i="35"/>
  <c r="G29" i="35"/>
  <c r="X19" i="35"/>
  <c r="U20" i="35"/>
  <c r="G20" i="35"/>
  <c r="N30" i="35"/>
  <c r="V28" i="35"/>
  <c r="S20" i="35"/>
  <c r="J21" i="35"/>
  <c r="U24" i="35"/>
  <c r="D19" i="35"/>
  <c r="K23" i="35"/>
  <c r="F24" i="35"/>
  <c r="U25" i="35"/>
  <c r="X29" i="35"/>
  <c r="R22" i="35"/>
  <c r="L29" i="35"/>
  <c r="F18" i="35"/>
  <c r="R30" i="35"/>
  <c r="W26" i="35"/>
  <c r="Z28" i="35"/>
  <c r="J18" i="35"/>
  <c r="G19" i="35"/>
  <c r="G30" i="35"/>
  <c r="N21" i="35"/>
  <c r="E29" i="35"/>
  <c r="S25" i="35"/>
  <c r="C19" i="35"/>
  <c r="D24" i="35"/>
  <c r="AA27" i="35"/>
  <c r="Z19" i="35"/>
  <c r="W27" i="35"/>
  <c r="T18" i="35"/>
  <c r="AB22" i="35"/>
  <c r="Q18" i="35"/>
  <c r="M29" i="35"/>
  <c r="Y27" i="35"/>
  <c r="R24" i="35"/>
  <c r="J26" i="35"/>
  <c r="H28" i="35"/>
  <c r="S30" i="35"/>
  <c r="H18" i="35"/>
  <c r="H29" i="35"/>
  <c r="Z21" i="35"/>
  <c r="W19" i="35"/>
  <c r="T28" i="35"/>
  <c r="Q23" i="35"/>
  <c r="G23" i="35"/>
  <c r="C23" i="35"/>
  <c r="U28" i="35"/>
  <c r="J24" i="35"/>
  <c r="H22" i="35"/>
  <c r="AA30" i="35"/>
  <c r="S22" i="35"/>
  <c r="I29" i="35"/>
  <c r="M22" i="35"/>
  <c r="N22" i="35"/>
  <c r="V21" i="35"/>
  <c r="I26" i="35"/>
  <c r="X25" i="35"/>
  <c r="C27" i="35"/>
  <c r="W30" i="35"/>
  <c r="U26" i="35"/>
  <c r="L20" i="35"/>
  <c r="U29" i="35"/>
  <c r="X27" i="35"/>
  <c r="T20" i="35"/>
  <c r="L22" i="35"/>
  <c r="G28" i="35"/>
  <c r="K26" i="35"/>
  <c r="S23" i="35"/>
  <c r="K19" i="35"/>
  <c r="M27" i="35"/>
  <c r="U21" i="35"/>
  <c r="E27" i="35"/>
  <c r="AA21" i="35"/>
  <c r="N29" i="35"/>
  <c r="J30" i="35"/>
  <c r="C24" i="35"/>
  <c r="N25" i="35"/>
  <c r="F25" i="35"/>
  <c r="C29" i="35"/>
  <c r="F20" i="35"/>
  <c r="R28" i="35"/>
  <c r="I22" i="35"/>
  <c r="S28" i="35"/>
  <c r="K22" i="23" l="1"/>
  <c r="K6" i="23" s="1"/>
  <c r="N45" i="23"/>
  <c r="AB14" i="23" s="1"/>
  <c r="J29" i="23"/>
  <c r="J13" i="23" s="1"/>
  <c r="H29" i="23"/>
  <c r="H13" i="23" s="1"/>
  <c r="G40" i="23"/>
  <c r="U9" i="23" s="1"/>
  <c r="C45" i="23"/>
  <c r="Q14" i="23" s="1"/>
  <c r="J38" i="23"/>
  <c r="X7" i="23" s="1"/>
  <c r="D35" i="23"/>
  <c r="R4" i="23" s="1"/>
  <c r="E47" i="23"/>
  <c r="S16" i="23" s="1"/>
  <c r="G21" i="23"/>
  <c r="G5" i="23" s="1"/>
  <c r="E36" i="23"/>
  <c r="S5" i="23" s="1"/>
  <c r="F37" i="23"/>
  <c r="T6" i="23" s="1"/>
  <c r="E38" i="23"/>
  <c r="S7" i="23" s="1"/>
  <c r="F47" i="23"/>
  <c r="T16" i="23" s="1"/>
  <c r="K25" i="23"/>
  <c r="K9" i="23" s="1"/>
  <c r="E39" i="23"/>
  <c r="S8" i="23" s="1"/>
  <c r="G26" i="23"/>
  <c r="G10" i="23" s="1"/>
  <c r="I43" i="23"/>
  <c r="W12" i="23" s="1"/>
  <c r="G42" i="23"/>
  <c r="U11" i="23" s="1"/>
  <c r="C39" i="23"/>
  <c r="Q8" i="23" s="1"/>
  <c r="C43" i="23"/>
  <c r="Q12" i="23" s="1"/>
  <c r="J47" i="23"/>
  <c r="X16" i="23" s="1"/>
  <c r="H47" i="23"/>
  <c r="V16" i="23" s="1"/>
  <c r="D27" i="23"/>
  <c r="D11" i="23" s="1"/>
  <c r="D37" i="23"/>
  <c r="R6" i="23" s="1"/>
  <c r="M47" i="23"/>
  <c r="G36" i="23"/>
  <c r="U5" i="23" s="1"/>
  <c r="L23" i="23"/>
  <c r="L7" i="23" s="1"/>
  <c r="J30" i="23"/>
  <c r="J14" i="23" s="1"/>
  <c r="N44" i="23"/>
  <c r="AB13" i="23" s="1"/>
  <c r="M27" i="23"/>
  <c r="M11" i="23" s="1"/>
  <c r="L32" i="23"/>
  <c r="L16" i="23" s="1"/>
  <c r="J20" i="23"/>
  <c r="J4" i="23" s="1"/>
  <c r="J37" i="23"/>
  <c r="N35" i="23"/>
  <c r="AB4" i="23" s="1"/>
  <c r="E29" i="23"/>
  <c r="E13" i="23" s="1"/>
  <c r="L45" i="23"/>
  <c r="Z14" i="23" s="1"/>
  <c r="F35" i="23"/>
  <c r="T4" i="23" s="1"/>
  <c r="I32" i="23"/>
  <c r="D43" i="23"/>
  <c r="R12" i="23" s="1"/>
  <c r="K28" i="23"/>
  <c r="K12" i="23" s="1"/>
  <c r="K29" i="23"/>
  <c r="K13" i="23" s="1"/>
  <c r="N41" i="23"/>
  <c r="AB10" i="23" s="1"/>
  <c r="M35" i="23"/>
  <c r="AA4" i="23" s="1"/>
  <c r="H26" i="23"/>
  <c r="H10" i="23" s="1"/>
  <c r="H40" i="23"/>
  <c r="V9" i="23" s="1"/>
  <c r="G22" i="23"/>
  <c r="G6" i="23" s="1"/>
  <c r="D23" i="23"/>
  <c r="D7" i="23" s="1"/>
  <c r="I47" i="23"/>
  <c r="W16" i="23" s="1"/>
  <c r="J39" i="23"/>
  <c r="X8" i="23" s="1"/>
  <c r="I37" i="23"/>
  <c r="W6" i="23" s="1"/>
  <c r="C23" i="23"/>
  <c r="H42" i="23"/>
  <c r="V11" i="23" s="1"/>
  <c r="N43" i="23"/>
  <c r="AB12" i="23" s="1"/>
  <c r="E30" i="23"/>
  <c r="E14" i="23" s="1"/>
  <c r="H43" i="23"/>
  <c r="V12" i="23" s="1"/>
  <c r="E22" i="23"/>
  <c r="E6" i="23" s="1"/>
  <c r="L27" i="23"/>
  <c r="L11" i="23" s="1"/>
  <c r="K31" i="23"/>
  <c r="K15" i="23" s="1"/>
  <c r="D26" i="23"/>
  <c r="D10" i="23" s="1"/>
  <c r="M40" i="23"/>
  <c r="AA9" i="23" s="1"/>
  <c r="M24" i="23"/>
  <c r="M8" i="23" s="1"/>
  <c r="L21" i="23"/>
  <c r="L5" i="23" s="1"/>
  <c r="J42" i="23"/>
  <c r="X11" i="23" s="1"/>
  <c r="C38" i="23"/>
  <c r="Q7" i="23" s="1"/>
  <c r="C47" i="23"/>
  <c r="Q16" i="23" s="1"/>
  <c r="F31" i="23"/>
  <c r="F15" i="23" s="1"/>
  <c r="M41" i="23"/>
  <c r="AA10" i="23" s="1"/>
  <c r="C35" i="23"/>
  <c r="Q4" i="23" s="1"/>
  <c r="E35" i="23"/>
  <c r="E26" i="23"/>
  <c r="E10" i="23" s="1"/>
  <c r="C44" i="23"/>
  <c r="Q13" i="23" s="1"/>
  <c r="F21" i="23"/>
  <c r="F5" i="23" s="1"/>
  <c r="L25" i="23"/>
  <c r="L9" i="23" s="1"/>
  <c r="J24" i="23"/>
  <c r="J8" i="23" s="1"/>
  <c r="M23" i="23"/>
  <c r="M7" i="23" s="1"/>
  <c r="N22" i="23"/>
  <c r="N6" i="23" s="1"/>
  <c r="I26" i="23"/>
  <c r="I10" i="23" s="1"/>
  <c r="K42" i="23"/>
  <c r="Y11" i="23" s="1"/>
  <c r="N40" i="23"/>
  <c r="AB9" i="23" s="1"/>
  <c r="G38" i="23"/>
  <c r="N27" i="23"/>
  <c r="N11" i="23" s="1"/>
  <c r="D24" i="23"/>
  <c r="D8" i="23" s="1"/>
  <c r="K23" i="23"/>
  <c r="K7" i="23" s="1"/>
  <c r="J41" i="23"/>
  <c r="X10" i="23" s="1"/>
  <c r="I28" i="23"/>
  <c r="I12" i="23" s="1"/>
  <c r="L30" i="23"/>
  <c r="L14" i="23" s="1"/>
  <c r="K47" i="23"/>
  <c r="Y16" i="23" s="1"/>
  <c r="J43" i="23"/>
  <c r="M29" i="23"/>
  <c r="M13" i="23" s="1"/>
  <c r="E32" i="23"/>
  <c r="E16" i="23" s="1"/>
  <c r="L42" i="23"/>
  <c r="Z11" i="23" s="1"/>
  <c r="G35" i="23"/>
  <c r="U4" i="23" s="1"/>
  <c r="F20" i="23"/>
  <c r="F4" i="23" s="1"/>
  <c r="F22" i="23"/>
  <c r="F6" i="23" s="1"/>
  <c r="I27" i="23"/>
  <c r="I11" i="23" s="1"/>
  <c r="L35" i="23"/>
  <c r="L40" i="23"/>
  <c r="H38" i="23"/>
  <c r="V7" i="23" s="1"/>
  <c r="H31" i="23"/>
  <c r="E37" i="23"/>
  <c r="S6" i="23" s="1"/>
  <c r="G43" i="23"/>
  <c r="U12" i="23" s="1"/>
  <c r="C25" i="23"/>
  <c r="C9" i="23" s="1"/>
  <c r="J40" i="23"/>
  <c r="X9" i="23" s="1"/>
  <c r="G41" i="23"/>
  <c r="U10" i="23" s="1"/>
  <c r="K21" i="23"/>
  <c r="K5" i="23" s="1"/>
  <c r="L47" i="23"/>
  <c r="Z16" i="23" s="1"/>
  <c r="E23" i="23"/>
  <c r="E7" i="23" s="1"/>
  <c r="H21" i="23"/>
  <c r="H5" i="23" s="1"/>
  <c r="G31" i="23"/>
  <c r="G15" i="23" s="1"/>
  <c r="C46" i="23"/>
  <c r="Q15" i="23" s="1"/>
  <c r="N28" i="23"/>
  <c r="N12" i="23" s="1"/>
  <c r="E27" i="23"/>
  <c r="E11" i="23" s="1"/>
  <c r="I36" i="23"/>
  <c r="W5" i="23" s="1"/>
  <c r="H39" i="23"/>
  <c r="V8" i="23" s="1"/>
  <c r="K30" i="23"/>
  <c r="K14" i="23" s="1"/>
  <c r="I29" i="23"/>
  <c r="I13" i="23" s="1"/>
  <c r="D25" i="23"/>
  <c r="D9" i="23" s="1"/>
  <c r="N46" i="23"/>
  <c r="AB15" i="23" s="1"/>
  <c r="H36" i="23"/>
  <c r="V5" i="23" s="1"/>
  <c r="H20" i="23"/>
  <c r="H4" i="23" s="1"/>
  <c r="H44" i="23"/>
  <c r="V13" i="23" s="1"/>
  <c r="I21" i="23"/>
  <c r="I5" i="23" s="1"/>
  <c r="M39" i="23"/>
  <c r="E25" i="23"/>
  <c r="E9" i="23" s="1"/>
  <c r="H30" i="23"/>
  <c r="H14" i="23" s="1"/>
  <c r="N31" i="23"/>
  <c r="N15" i="23" s="1"/>
  <c r="G23" i="23"/>
  <c r="G7" i="23" s="1"/>
  <c r="E21" i="23"/>
  <c r="E5" i="23" s="1"/>
  <c r="I30" i="23"/>
  <c r="I14" i="23" s="1"/>
  <c r="K37" i="23"/>
  <c r="Y6" i="23" s="1"/>
  <c r="M31" i="23"/>
  <c r="M15" i="23" s="1"/>
  <c r="G30" i="23"/>
  <c r="G14" i="23" s="1"/>
  <c r="C24" i="23"/>
  <c r="C8" i="23" s="1"/>
  <c r="F28" i="23"/>
  <c r="I22" i="23"/>
  <c r="I6" i="23" s="1"/>
  <c r="C20" i="23"/>
  <c r="C4" i="23" s="1"/>
  <c r="K40" i="23"/>
  <c r="Y9" i="23" s="1"/>
  <c r="C30" i="23"/>
  <c r="C14" i="23" s="1"/>
  <c r="F42" i="23"/>
  <c r="T11" i="23" s="1"/>
  <c r="D21" i="23"/>
  <c r="D5" i="23" s="1"/>
  <c r="F27" i="23"/>
  <c r="F11" i="23" s="1"/>
  <c r="I24" i="23"/>
  <c r="I8" i="23" s="1"/>
  <c r="H25" i="23"/>
  <c r="H9" i="23" s="1"/>
  <c r="M37" i="23"/>
  <c r="AA6" i="23" s="1"/>
  <c r="L44" i="23"/>
  <c r="Z13" i="23" s="1"/>
  <c r="E43" i="23"/>
  <c r="S12" i="23" s="1"/>
  <c r="I25" i="23"/>
  <c r="I9" i="23" s="1"/>
  <c r="D47" i="23"/>
  <c r="M30" i="23"/>
  <c r="K35" i="23"/>
  <c r="Y4" i="23" s="1"/>
  <c r="D40" i="23"/>
  <c r="R9" i="23" s="1"/>
  <c r="J44" i="23"/>
  <c r="L36" i="23"/>
  <c r="Z5" i="23" s="1"/>
  <c r="F41" i="23"/>
  <c r="T10" i="23" s="1"/>
  <c r="C26" i="23"/>
  <c r="C10" i="23" s="1"/>
  <c r="J45" i="23"/>
  <c r="X14" i="23" s="1"/>
  <c r="M36" i="23"/>
  <c r="AA5" i="23" s="1"/>
  <c r="L46" i="23"/>
  <c r="Z15" i="23" s="1"/>
  <c r="D20" i="23"/>
  <c r="L29" i="23"/>
  <c r="L13" i="23" s="1"/>
  <c r="F46" i="23"/>
  <c r="F23" i="23"/>
  <c r="F7" i="23" s="1"/>
  <c r="J27" i="23"/>
  <c r="J11" i="23" s="1"/>
  <c r="C32" i="23"/>
  <c r="C16" i="23" s="1"/>
  <c r="J46" i="23"/>
  <c r="X15" i="23" s="1"/>
  <c r="L20" i="23"/>
  <c r="L4" i="23" s="1"/>
  <c r="M38" i="23"/>
  <c r="AA7" i="23" s="1"/>
  <c r="N23" i="23"/>
  <c r="N7" i="23" s="1"/>
  <c r="I38" i="23"/>
  <c r="W7" i="23" s="1"/>
  <c r="J35" i="23"/>
  <c r="X4" i="23" s="1"/>
  <c r="D45" i="23"/>
  <c r="R14" i="23" s="1"/>
  <c r="C29" i="23"/>
  <c r="C13" i="23" s="1"/>
  <c r="L24" i="23"/>
  <c r="L8" i="23" s="1"/>
  <c r="G39" i="23"/>
  <c r="U8" i="23" s="1"/>
  <c r="K27" i="23"/>
  <c r="K11" i="23" s="1"/>
  <c r="K32" i="23"/>
  <c r="K16" i="23" s="1"/>
  <c r="L39" i="23"/>
  <c r="Z8" i="23" s="1"/>
  <c r="N36" i="23"/>
  <c r="AB5" i="23" s="1"/>
  <c r="G37" i="23"/>
  <c r="U6" i="23" s="1"/>
  <c r="D39" i="23"/>
  <c r="R8" i="23" s="1"/>
  <c r="I39" i="23"/>
  <c r="W8" i="23" s="1"/>
  <c r="F45" i="23"/>
  <c r="T14" i="23" s="1"/>
  <c r="E31" i="23"/>
  <c r="E15" i="23" s="1"/>
  <c r="F30" i="23"/>
  <c r="H32" i="23"/>
  <c r="H16" i="23" s="1"/>
  <c r="L26" i="23"/>
  <c r="L10" i="23" s="1"/>
  <c r="E41" i="23"/>
  <c r="S10" i="23" s="1"/>
  <c r="I46" i="23"/>
  <c r="W15" i="23" s="1"/>
  <c r="C22" i="23"/>
  <c r="C6" i="23" s="1"/>
  <c r="M26" i="23"/>
  <c r="M10" i="23" s="1"/>
  <c r="C31" i="23"/>
  <c r="C15" i="23" s="1"/>
  <c r="M20" i="23"/>
  <c r="M4" i="23" s="1"/>
  <c r="E20" i="23"/>
  <c r="E4" i="23" s="1"/>
  <c r="N39" i="23"/>
  <c r="AB8" i="23" s="1"/>
  <c r="D30" i="23"/>
  <c r="D14" i="23" s="1"/>
  <c r="F39" i="23"/>
  <c r="T8" i="23" s="1"/>
  <c r="H24" i="23"/>
  <c r="H8" i="23" s="1"/>
  <c r="H46" i="23"/>
  <c r="V15" i="23" s="1"/>
  <c r="D32" i="23"/>
  <c r="D16" i="23" s="1"/>
  <c r="E28" i="23"/>
  <c r="E12" i="23" s="1"/>
  <c r="D42" i="23"/>
  <c r="R11" i="23" s="1"/>
  <c r="H23" i="23"/>
  <c r="H7" i="23" s="1"/>
  <c r="I41" i="23"/>
  <c r="W10" i="23" s="1"/>
  <c r="N21" i="23"/>
  <c r="N5" i="23" s="1"/>
  <c r="H45" i="23"/>
  <c r="V14" i="23" s="1"/>
  <c r="J23" i="23"/>
  <c r="J7" i="23" s="1"/>
  <c r="N25" i="23"/>
  <c r="N9" i="23" s="1"/>
  <c r="M22" i="23"/>
  <c r="E45" i="23"/>
  <c r="S14" i="23" s="1"/>
  <c r="E24" i="23"/>
  <c r="E8" i="23" s="1"/>
  <c r="N42" i="23"/>
  <c r="AB11" i="23" s="1"/>
  <c r="F36" i="23"/>
  <c r="T5" i="23" s="1"/>
  <c r="J31" i="23"/>
  <c r="J15" i="23" s="1"/>
  <c r="H28" i="23"/>
  <c r="H12" i="23" s="1"/>
  <c r="J32" i="23"/>
  <c r="J16" i="23" s="1"/>
  <c r="M46" i="23"/>
  <c r="AA15" i="23" s="1"/>
  <c r="D46" i="23"/>
  <c r="R15" i="23" s="1"/>
  <c r="G46" i="23"/>
  <c r="U15" i="23" s="1"/>
  <c r="H41" i="23"/>
  <c r="V10" i="23" s="1"/>
  <c r="N38" i="23"/>
  <c r="AB7" i="23" s="1"/>
  <c r="M28" i="23"/>
  <c r="M12" i="23" s="1"/>
  <c r="G25" i="23"/>
  <c r="G9" i="23" s="1"/>
  <c r="F24" i="23"/>
  <c r="F8" i="23" s="1"/>
  <c r="F40" i="23"/>
  <c r="T9" i="23" s="1"/>
  <c r="K38" i="23"/>
  <c r="Y7" i="23" s="1"/>
  <c r="F25" i="23"/>
  <c r="K41" i="23"/>
  <c r="Y10" i="23" s="1"/>
  <c r="I31" i="23"/>
  <c r="I15" i="23" s="1"/>
  <c r="J36" i="23"/>
  <c r="X5" i="23" s="1"/>
  <c r="M21" i="23"/>
  <c r="M5" i="23" s="1"/>
  <c r="H35" i="23"/>
  <c r="V4" i="23" s="1"/>
  <c r="N20" i="23"/>
  <c r="N4" i="23" s="1"/>
  <c r="L22" i="23"/>
  <c r="L6" i="23" s="1"/>
  <c r="N47" i="23"/>
  <c r="AB16" i="23" s="1"/>
  <c r="D38" i="23"/>
  <c r="R7" i="23" s="1"/>
  <c r="I20" i="23"/>
  <c r="I4" i="23" s="1"/>
  <c r="J21" i="23"/>
  <c r="J5" i="23" s="1"/>
  <c r="F38" i="23"/>
  <c r="T7" i="23" s="1"/>
  <c r="E40" i="23"/>
  <c r="S9" i="23" s="1"/>
  <c r="N32" i="23"/>
  <c r="N16" i="23" s="1"/>
  <c r="L38" i="23"/>
  <c r="H22" i="23"/>
  <c r="H6" i="23" s="1"/>
  <c r="K24" i="23"/>
  <c r="K8" i="23" s="1"/>
  <c r="N24" i="23"/>
  <c r="N8" i="23" s="1"/>
  <c r="D36" i="23"/>
  <c r="R5" i="23" s="1"/>
  <c r="C27" i="23"/>
  <c r="C11" i="23" s="1"/>
  <c r="L41" i="23"/>
  <c r="Z10" i="23" s="1"/>
  <c r="L37" i="23"/>
  <c r="Z6" i="23" s="1"/>
  <c r="M43" i="23"/>
  <c r="AA12" i="23" s="1"/>
  <c r="K36" i="23"/>
  <c r="Y5" i="23" s="1"/>
  <c r="J28" i="23"/>
  <c r="J12" i="23" s="1"/>
  <c r="I40" i="23"/>
  <c r="W9" i="23" s="1"/>
  <c r="M32" i="23"/>
  <c r="M16" i="23" s="1"/>
  <c r="M45" i="23"/>
  <c r="AA14" i="23" s="1"/>
  <c r="G28" i="23"/>
  <c r="G12" i="23" s="1"/>
  <c r="F32" i="23"/>
  <c r="F16" i="23" s="1"/>
  <c r="I23" i="23"/>
  <c r="I7" i="23" s="1"/>
  <c r="I44" i="23"/>
  <c r="W13" i="23" s="1"/>
  <c r="C36" i="23"/>
  <c r="Q5" i="23" s="1"/>
  <c r="N37" i="23"/>
  <c r="AB6" i="23" s="1"/>
  <c r="L43" i="23"/>
  <c r="Z12" i="23" s="1"/>
  <c r="D31" i="23"/>
  <c r="D15" i="23" s="1"/>
  <c r="G44" i="23"/>
  <c r="U13" i="23" s="1"/>
  <c r="G45" i="23"/>
  <c r="U14" i="23" s="1"/>
  <c r="K45" i="23"/>
  <c r="Y14" i="23" s="1"/>
  <c r="G27" i="23"/>
  <c r="G11" i="23" s="1"/>
  <c r="C28" i="23"/>
  <c r="C12" i="23" s="1"/>
  <c r="C42" i="23"/>
  <c r="Q11" i="23" s="1"/>
  <c r="N26" i="23"/>
  <c r="N10" i="23" s="1"/>
  <c r="K43" i="23"/>
  <c r="Y12" i="23" s="1"/>
  <c r="K20" i="23"/>
  <c r="K4" i="23" s="1"/>
  <c r="G29" i="23"/>
  <c r="L28" i="23"/>
  <c r="L12" i="23" s="1"/>
  <c r="F43" i="23"/>
  <c r="T12" i="23" s="1"/>
  <c r="N30" i="23"/>
  <c r="N14" i="23" s="1"/>
  <c r="F26" i="23"/>
  <c r="F10" i="23" s="1"/>
  <c r="C41" i="23"/>
  <c r="Q10" i="23" s="1"/>
  <c r="K44" i="23"/>
  <c r="G32" i="23"/>
  <c r="G16" i="23" s="1"/>
  <c r="K46" i="23"/>
  <c r="Y15" i="23" s="1"/>
  <c r="D29" i="23"/>
  <c r="D13" i="23" s="1"/>
  <c r="D44" i="23"/>
  <c r="D28" i="23"/>
  <c r="D12" i="23" s="1"/>
  <c r="J25" i="23"/>
  <c r="J9" i="23" s="1"/>
  <c r="I45" i="23"/>
  <c r="W14" i="23" s="1"/>
  <c r="J22" i="23"/>
  <c r="J6" i="23" s="1"/>
  <c r="K39" i="23"/>
  <c r="Y8" i="23" s="1"/>
  <c r="J26" i="23"/>
  <c r="J10" i="23" s="1"/>
  <c r="I42" i="23"/>
  <c r="W11" i="23" s="1"/>
  <c r="F44" i="23"/>
  <c r="T13" i="23" s="1"/>
  <c r="G24" i="23"/>
  <c r="G8" i="23" s="1"/>
  <c r="H37" i="23"/>
  <c r="V6" i="23" s="1"/>
  <c r="M44" i="23"/>
  <c r="AA13" i="23" s="1"/>
  <c r="E44" i="23"/>
  <c r="S13" i="23" s="1"/>
  <c r="H27" i="23"/>
  <c r="H11" i="23" s="1"/>
  <c r="K26" i="23"/>
  <c r="K10" i="23" s="1"/>
  <c r="M25" i="23"/>
  <c r="M9" i="23" s="1"/>
  <c r="E42" i="23"/>
  <c r="S11" i="23" s="1"/>
  <c r="C37" i="23"/>
  <c r="Q6" i="23" s="1"/>
  <c r="E46" i="23"/>
  <c r="S15" i="23" s="1"/>
  <c r="G47" i="23"/>
  <c r="U16" i="23" s="1"/>
  <c r="D41" i="23"/>
  <c r="R10" i="23" s="1"/>
  <c r="L31" i="23"/>
  <c r="L15" i="23" s="1"/>
  <c r="D22" i="23"/>
  <c r="D6" i="23" s="1"/>
  <c r="C40" i="23"/>
  <c r="Q9" i="23" s="1"/>
  <c r="C21" i="23"/>
  <c r="C5" i="23" s="1"/>
  <c r="G20" i="23"/>
  <c r="G4" i="23" s="1"/>
  <c r="I35" i="23"/>
  <c r="W4" i="23" s="1"/>
  <c r="M42" i="23"/>
  <c r="AA11" i="23" s="1"/>
  <c r="N29" i="23"/>
  <c r="N13" i="23" s="1"/>
  <c r="F29" i="23"/>
  <c r="F13" i="23" s="1"/>
  <c r="M14" i="23"/>
  <c r="M6" i="23"/>
  <c r="G13" i="23"/>
  <c r="C7" i="23"/>
  <c r="I16" i="23"/>
  <c r="Z7" i="23"/>
  <c r="X12" i="23"/>
  <c r="F12" i="23"/>
  <c r="H15" i="23"/>
  <c r="Z4" i="23"/>
  <c r="R16" i="23"/>
  <c r="F9" i="23"/>
  <c r="X6" i="23"/>
  <c r="Z9" i="23"/>
  <c r="R13" i="23"/>
  <c r="F14" i="23"/>
  <c r="X13" i="23"/>
  <c r="T15" i="23"/>
  <c r="S4" i="23"/>
  <c r="U7" i="23"/>
  <c r="AA8" i="23"/>
  <c r="Y13" i="23"/>
  <c r="AA16" i="23"/>
  <c r="Q34" i="23"/>
  <c r="AA35" i="22"/>
  <c r="AA38" i="22"/>
  <c r="AA40" i="22"/>
  <c r="AA44" i="22"/>
  <c r="AA47" i="22"/>
  <c r="AA36" i="22"/>
  <c r="AA41" i="22"/>
  <c r="AA45" i="22"/>
  <c r="AA34" i="22"/>
  <c r="AA37" i="22"/>
  <c r="AA39" i="22"/>
  <c r="AA43" i="22"/>
  <c r="AA42" i="22"/>
  <c r="AA46" i="22"/>
  <c r="U51" i="22"/>
  <c r="T51" i="22"/>
  <c r="U50" i="22"/>
  <c r="T50" i="22"/>
  <c r="U49" i="22"/>
  <c r="T49" i="22"/>
  <c r="U48" i="22"/>
  <c r="T48" i="22"/>
  <c r="U47" i="22"/>
  <c r="T47" i="22"/>
  <c r="U46" i="22"/>
  <c r="T46" i="22"/>
  <c r="U45" i="22"/>
  <c r="T45" i="22"/>
  <c r="U44" i="22"/>
  <c r="T44" i="22"/>
  <c r="U43" i="22"/>
  <c r="T43" i="22"/>
  <c r="V42" i="22"/>
  <c r="U42" i="22"/>
  <c r="T42" i="22"/>
  <c r="V41" i="22"/>
  <c r="U41" i="22"/>
  <c r="T41" i="22"/>
  <c r="V40" i="22"/>
  <c r="U40" i="22"/>
  <c r="T40" i="22"/>
  <c r="V39" i="22"/>
  <c r="U39" i="22"/>
  <c r="T39" i="22"/>
  <c r="V38" i="22"/>
  <c r="U38" i="22"/>
  <c r="T38" i="22"/>
  <c r="V37" i="22"/>
  <c r="U37" i="22"/>
  <c r="T37" i="22"/>
  <c r="V36" i="22"/>
  <c r="U36" i="22"/>
  <c r="T36" i="22"/>
  <c r="V35" i="22"/>
  <c r="U35" i="22"/>
  <c r="T35" i="22"/>
  <c r="V34" i="22"/>
  <c r="U34" i="22"/>
  <c r="T34" i="22"/>
  <c r="AJ24" i="22" l="1"/>
  <c r="AM18" i="22"/>
  <c r="B35" i="22"/>
  <c r="W36" i="22" s="1"/>
  <c r="AG35" i="22"/>
  <c r="AH30" i="22"/>
  <c r="AL19" i="22"/>
  <c r="AF31" i="22"/>
  <c r="AJ20" i="22"/>
  <c r="AH21" i="22"/>
  <c r="AF22" i="22"/>
  <c r="AM34" i="22"/>
  <c r="AH35" i="22"/>
  <c r="AL24" i="22"/>
  <c r="AM36" i="22"/>
  <c r="AK37" i="22"/>
  <c r="AI29" i="22"/>
  <c r="AL36" i="22"/>
  <c r="AM19" i="22"/>
  <c r="AL37" i="22"/>
  <c r="AH22" i="22"/>
  <c r="AJ30" i="22"/>
  <c r="AI31" i="22"/>
  <c r="AM20" i="22"/>
  <c r="AG32" i="22"/>
  <c r="C38" i="22"/>
  <c r="W48" i="22" s="1"/>
  <c r="AK21" i="22"/>
  <c r="AE33" i="22"/>
  <c r="C37" i="22"/>
  <c r="W47" i="22" s="1"/>
  <c r="AI22" i="22"/>
  <c r="AG23" i="22"/>
  <c r="AJ35" i="22"/>
  <c r="AG25" i="22"/>
  <c r="AE26" i="22"/>
  <c r="C33" i="22"/>
  <c r="W43" i="22" s="1"/>
  <c r="AF35" i="22"/>
  <c r="AJ29" i="22"/>
  <c r="C34" i="22"/>
  <c r="W44" i="22" s="1"/>
  <c r="AF25" i="22"/>
  <c r="C40" i="22"/>
  <c r="W50" i="22" s="1"/>
  <c r="AK29" i="22"/>
  <c r="C39" i="22"/>
  <c r="W49" i="22" s="1"/>
  <c r="AH32" i="22"/>
  <c r="AL21" i="22"/>
  <c r="AF33" i="22"/>
  <c r="AJ22" i="22"/>
  <c r="C36" i="22"/>
  <c r="W46" i="22" s="1"/>
  <c r="AH23" i="22"/>
  <c r="AH25" i="22"/>
  <c r="AF26" i="22"/>
  <c r="AL34" i="22"/>
  <c r="AI35" i="22"/>
  <c r="AL29" i="22"/>
  <c r="AJ31" i="22"/>
  <c r="AI32" i="22"/>
  <c r="AM21" i="22"/>
  <c r="AG33" i="22"/>
  <c r="AK22" i="22"/>
  <c r="AE34" i="22"/>
  <c r="AI23" i="22"/>
  <c r="AE36" i="22"/>
  <c r="AI25" i="22"/>
  <c r="AG26" i="22"/>
  <c r="AH20" i="22"/>
  <c r="AE22" i="22"/>
  <c r="AM24" i="22"/>
  <c r="AJ21" i="22"/>
  <c r="AM29" i="22"/>
  <c r="B41" i="22"/>
  <c r="W42" i="22" s="1"/>
  <c r="AK30" i="22"/>
  <c r="AH33" i="22"/>
  <c r="AL22" i="22"/>
  <c r="AF34" i="22"/>
  <c r="AJ23" i="22"/>
  <c r="AK35" i="22"/>
  <c r="B34" i="22"/>
  <c r="W35" i="22" s="1"/>
  <c r="AF36" i="22"/>
  <c r="AJ25" i="22"/>
  <c r="AH26" i="22"/>
  <c r="AL18" i="22"/>
  <c r="AK34" i="22"/>
  <c r="AE31" i="22"/>
  <c r="AE32" i="22"/>
  <c r="C41" i="22"/>
  <c r="W51" i="22" s="1"/>
  <c r="AE18" i="22"/>
  <c r="B40" i="22"/>
  <c r="W41" i="22" s="1"/>
  <c r="AL30" i="22"/>
  <c r="B38" i="22"/>
  <c r="W39" i="22" s="1"/>
  <c r="AJ32" i="22"/>
  <c r="B37" i="22"/>
  <c r="W38" i="22" s="1"/>
  <c r="AI33" i="22"/>
  <c r="AM22" i="22"/>
  <c r="AG34" i="22"/>
  <c r="AK23" i="22"/>
  <c r="AL35" i="22"/>
  <c r="AG36" i="22"/>
  <c r="AK25" i="22"/>
  <c r="B33" i="22"/>
  <c r="W34" i="22" s="1"/>
  <c r="AE37" i="22"/>
  <c r="AI26" i="22"/>
  <c r="AK36" i="22"/>
  <c r="AK19" i="22"/>
  <c r="AG22" i="22"/>
  <c r="AF32" i="22"/>
  <c r="AF18" i="22"/>
  <c r="AM30" i="22"/>
  <c r="AK31" i="22"/>
  <c r="B39" i="22"/>
  <c r="W40" i="22" s="1"/>
  <c r="B36" i="22"/>
  <c r="W37" i="22" s="1"/>
  <c r="AH34" i="22"/>
  <c r="AL23" i="22"/>
  <c r="AM35" i="22"/>
  <c r="AH36" i="22"/>
  <c r="AL25" i="22"/>
  <c r="AF37" i="22"/>
  <c r="AJ26" i="22"/>
  <c r="AF30" i="22"/>
  <c r="AK24" i="22"/>
  <c r="AE23" i="22"/>
  <c r="AF23" i="22"/>
  <c r="AG18" i="22"/>
  <c r="AE19" i="22"/>
  <c r="AL31" i="22"/>
  <c r="AJ33" i="22"/>
  <c r="AI34" i="22"/>
  <c r="AM23" i="22"/>
  <c r="AE24" i="22"/>
  <c r="AI36" i="22"/>
  <c r="AM25" i="22"/>
  <c r="AG37" i="22"/>
  <c r="AK26" i="22"/>
  <c r="AJ19" i="22"/>
  <c r="AG30" i="22"/>
  <c r="AG31" i="22"/>
  <c r="AE25" i="22"/>
  <c r="AH31" i="22"/>
  <c r="AH18" i="22"/>
  <c r="AF19" i="22"/>
  <c r="AM31" i="22"/>
  <c r="AK32" i="22"/>
  <c r="AF24" i="22"/>
  <c r="AH37" i="22"/>
  <c r="AL26" i="22"/>
  <c r="AH29" i="22"/>
  <c r="AK20" i="22"/>
  <c r="AE29" i="22"/>
  <c r="AI18" i="22"/>
  <c r="AG19" i="22"/>
  <c r="AE20" i="22"/>
  <c r="AL32" i="22"/>
  <c r="AJ34" i="22"/>
  <c r="C35" i="22"/>
  <c r="W45" i="22" s="1"/>
  <c r="AG24" i="22"/>
  <c r="AJ36" i="22"/>
  <c r="AI37" i="22"/>
  <c r="AM26" i="22"/>
  <c r="AF21" i="22"/>
  <c r="AI20" i="22"/>
  <c r="AI21" i="22"/>
  <c r="AF29" i="22"/>
  <c r="AJ18" i="22"/>
  <c r="AH19" i="22"/>
  <c r="AF20" i="22"/>
  <c r="AM32" i="22"/>
  <c r="AK33" i="22"/>
  <c r="AH24" i="22"/>
  <c r="AM33" i="22"/>
  <c r="AG21" i="22"/>
  <c r="AI30" i="22"/>
  <c r="AL20" i="22"/>
  <c r="AM37" i="22"/>
  <c r="AG29" i="22"/>
  <c r="AK18" i="22"/>
  <c r="AE30" i="22"/>
  <c r="AI19" i="22"/>
  <c r="AG20" i="22"/>
  <c r="AE21" i="22"/>
  <c r="AL33" i="22"/>
  <c r="AE35" i="22"/>
  <c r="AI24" i="22"/>
  <c r="AJ37" i="22"/>
  <c r="AO21" i="22" l="1"/>
  <c r="AO30" i="22"/>
  <c r="AO22" i="22"/>
  <c r="AO35" i="22"/>
  <c r="AO32" i="22"/>
  <c r="AO24" i="22"/>
  <c r="AO34" i="22"/>
  <c r="AO19" i="22"/>
  <c r="AO36" i="22"/>
  <c r="AO33" i="22"/>
  <c r="AO25" i="22"/>
  <c r="AO23" i="22"/>
  <c r="AO20" i="22"/>
  <c r="AO18" i="22"/>
  <c r="AO37" i="22"/>
  <c r="AO29" i="22"/>
  <c r="AO31" i="22"/>
  <c r="AO26" i="22"/>
  <c r="Q110" i="39"/>
  <c r="Q113" i="39"/>
  <c r="B113" i="39"/>
  <c r="V118" i="39"/>
  <c r="AA157" i="39"/>
  <c r="V164" i="39"/>
  <c r="T168" i="39"/>
  <c r="AA138" i="39"/>
  <c r="S130" i="39"/>
  <c r="U174" i="39"/>
  <c r="Z181" i="39"/>
  <c r="U154" i="39"/>
  <c r="T116" i="39"/>
  <c r="X187" i="39"/>
  <c r="Z145" i="39"/>
  <c r="AA140" i="39"/>
  <c r="Z129" i="39"/>
  <c r="AA144" i="39"/>
  <c r="X127" i="39"/>
  <c r="S175" i="39"/>
  <c r="V144" i="39"/>
  <c r="U180" i="39"/>
  <c r="X191" i="39"/>
  <c r="Z198" i="39"/>
  <c r="T147" i="39"/>
  <c r="AA149" i="39"/>
  <c r="R205" i="39"/>
  <c r="S152" i="39"/>
  <c r="S200" i="39"/>
  <c r="U206" i="39"/>
  <c r="Z197" i="39"/>
  <c r="T179" i="39"/>
  <c r="Y170" i="39"/>
  <c r="T195" i="39"/>
  <c r="V185" i="39"/>
  <c r="R173" i="39"/>
  <c r="V117" i="39"/>
  <c r="S174" i="39"/>
  <c r="Z139" i="39"/>
  <c r="W148" i="39"/>
  <c r="W132" i="39"/>
  <c r="T131" i="39"/>
  <c r="V169" i="39"/>
  <c r="X143" i="39"/>
  <c r="W180" i="39"/>
  <c r="AA176" i="39"/>
  <c r="Z165" i="39"/>
  <c r="R189" i="39"/>
  <c r="Z149" i="39"/>
  <c r="T163" i="39"/>
  <c r="X159" i="39"/>
  <c r="W175" i="39"/>
  <c r="V137" i="39"/>
  <c r="R158" i="39"/>
  <c r="AA128" i="39"/>
  <c r="R125" i="39"/>
  <c r="V121" i="39"/>
  <c r="Z133" i="39"/>
  <c r="T174" i="39"/>
  <c r="R157" i="39"/>
  <c r="Z122" i="39"/>
  <c r="Y138" i="39"/>
  <c r="Z160" i="39"/>
  <c r="U126" i="39"/>
  <c r="Y171" i="39"/>
  <c r="V126" i="39"/>
  <c r="S120" i="39"/>
  <c r="Z117" i="39"/>
  <c r="V196" i="39"/>
  <c r="Y197" i="39"/>
  <c r="Z150" i="39"/>
  <c r="W116" i="39"/>
  <c r="Y181" i="39"/>
  <c r="T190" i="39"/>
  <c r="S195" i="39"/>
  <c r="T115" i="39"/>
  <c r="AC217" i="39"/>
  <c r="AB217" i="39"/>
  <c r="T132" i="39"/>
  <c r="W191" i="39"/>
  <c r="U185" i="39"/>
  <c r="Z176" i="39"/>
  <c r="U142" i="39"/>
  <c r="R184" i="39"/>
  <c r="S217" i="39"/>
  <c r="S211" i="39"/>
  <c r="S163" i="39"/>
  <c r="V180" i="39"/>
  <c r="W164" i="39"/>
  <c r="U153" i="39"/>
  <c r="S179" i="39"/>
  <c r="U169" i="39"/>
  <c r="R168" i="39"/>
  <c r="AA155" i="39"/>
  <c r="W143" i="39"/>
  <c r="Z144" i="39"/>
  <c r="AA171" i="39"/>
  <c r="W159" i="39"/>
  <c r="T135" i="39"/>
  <c r="Y165" i="39"/>
  <c r="Z132" i="39"/>
  <c r="Y149" i="39"/>
  <c r="R176" i="39"/>
  <c r="T158" i="39"/>
  <c r="V148" i="39"/>
  <c r="V154" i="39"/>
  <c r="T142" i="39"/>
  <c r="X138" i="39"/>
  <c r="S147" i="39"/>
  <c r="AA139" i="39"/>
  <c r="R152" i="39"/>
  <c r="S210" i="39"/>
  <c r="R136" i="39"/>
  <c r="Y133" i="39"/>
  <c r="R180" i="39"/>
  <c r="V132" i="39"/>
  <c r="U196" i="39"/>
  <c r="Z128" i="39"/>
  <c r="AA133" i="39"/>
  <c r="V175" i="39"/>
  <c r="T126" i="39"/>
  <c r="T122" i="39"/>
  <c r="AA123" i="39"/>
  <c r="X122" i="39"/>
  <c r="U121" i="39"/>
  <c r="R131" i="39"/>
  <c r="U148" i="39"/>
  <c r="X197" i="39"/>
  <c r="W186" i="39"/>
  <c r="V207" i="39"/>
  <c r="W170" i="39"/>
  <c r="AA161" i="39"/>
  <c r="X202" i="39"/>
  <c r="Y192" i="39"/>
  <c r="Y186" i="39"/>
  <c r="W202" i="39"/>
  <c r="X181" i="39"/>
  <c r="V191" i="39"/>
  <c r="T185" i="39"/>
  <c r="S190" i="39"/>
  <c r="AA192" i="39"/>
  <c r="S169" i="39"/>
  <c r="AA182" i="39"/>
  <c r="X213" i="39"/>
  <c r="Y176" i="39"/>
  <c r="X121" i="39"/>
  <c r="Z208" i="39"/>
  <c r="R179" i="39"/>
  <c r="Z155" i="39"/>
  <c r="S158" i="39"/>
  <c r="Z203" i="39"/>
  <c r="Y160" i="39"/>
  <c r="W207" i="39"/>
  <c r="T169" i="39"/>
  <c r="X186" i="39"/>
  <c r="AA166" i="39"/>
  <c r="X165" i="39"/>
  <c r="V159" i="39"/>
  <c r="W154" i="39"/>
  <c r="AA117" i="39"/>
  <c r="Y144" i="39"/>
  <c r="X149" i="39"/>
  <c r="R147" i="39"/>
  <c r="T153" i="39"/>
  <c r="Z182" i="39"/>
  <c r="S142" i="39"/>
  <c r="X117" i="39"/>
  <c r="AA204" i="39"/>
  <c r="W195" i="39"/>
  <c r="T137" i="39"/>
  <c r="V127" i="39"/>
  <c r="Z140" i="39"/>
  <c r="T170" i="39"/>
  <c r="AA134" i="39"/>
  <c r="Z187" i="39"/>
  <c r="X133" i="39"/>
  <c r="S148" i="39"/>
  <c r="W160" i="39"/>
  <c r="X193" i="39"/>
  <c r="AA118" i="39"/>
  <c r="U132" i="39"/>
  <c r="U137" i="39"/>
  <c r="Z214" i="39"/>
  <c r="Z167" i="39"/>
  <c r="W122" i="39"/>
  <c r="Z123" i="39"/>
  <c r="X206" i="39"/>
  <c r="R211" i="39"/>
  <c r="R210" i="39"/>
  <c r="V190" i="39"/>
  <c r="X208" i="39"/>
  <c r="R190" i="39"/>
  <c r="T148" i="39"/>
  <c r="S201" i="39"/>
  <c r="U175" i="39"/>
  <c r="T121" i="39"/>
  <c r="Y128" i="39"/>
  <c r="S185" i="39"/>
  <c r="R216" i="39"/>
  <c r="Z116" i="39"/>
  <c r="U191" i="39"/>
  <c r="R137" i="39"/>
  <c r="R120" i="39"/>
  <c r="T206" i="39"/>
  <c r="X192" i="39"/>
  <c r="W197" i="39"/>
  <c r="Y203" i="39"/>
  <c r="X160" i="39"/>
  <c r="V202" i="39"/>
  <c r="R207" i="39"/>
  <c r="R196" i="39"/>
  <c r="AA158" i="39"/>
  <c r="Y187" i="39"/>
  <c r="S182" i="39"/>
  <c r="AA177" i="39"/>
  <c r="AA193" i="39"/>
  <c r="W181" i="39"/>
  <c r="S126" i="39"/>
  <c r="Y209" i="39"/>
  <c r="V186" i="39"/>
  <c r="T180" i="39"/>
  <c r="U164" i="39"/>
  <c r="R174" i="39"/>
  <c r="X176" i="39"/>
  <c r="V143" i="39"/>
  <c r="R142" i="39"/>
  <c r="AA167" i="39"/>
  <c r="R115" i="39"/>
  <c r="AA151" i="39"/>
  <c r="W142" i="39"/>
  <c r="W138" i="39"/>
  <c r="Y155" i="39"/>
  <c r="AC192" i="39"/>
  <c r="AB192" i="39"/>
  <c r="U159" i="39"/>
  <c r="Z134" i="39"/>
  <c r="Z166" i="39"/>
  <c r="Y139" i="39"/>
  <c r="AA145" i="39"/>
  <c r="AA198" i="39"/>
  <c r="W213" i="39"/>
  <c r="T157" i="39"/>
  <c r="S153" i="39"/>
  <c r="U202" i="39"/>
  <c r="U127" i="39"/>
  <c r="W133" i="39"/>
  <c r="S121" i="39"/>
  <c r="AA119" i="39"/>
  <c r="R163" i="39"/>
  <c r="R201" i="39"/>
  <c r="R126" i="39"/>
  <c r="T207" i="39"/>
  <c r="W117" i="39"/>
  <c r="U201" i="39"/>
  <c r="T196" i="39"/>
  <c r="Z118" i="39"/>
  <c r="V211" i="39"/>
  <c r="V138" i="39"/>
  <c r="T164" i="39"/>
  <c r="Z209" i="39"/>
  <c r="AC153" i="39"/>
  <c r="AB153" i="39"/>
  <c r="Z193" i="39"/>
  <c r="Z156" i="39"/>
  <c r="U212" i="39"/>
  <c r="S206" i="39"/>
  <c r="Y214" i="39"/>
  <c r="T191" i="39"/>
  <c r="U207" i="39"/>
  <c r="S137" i="39"/>
  <c r="V197" i="39"/>
  <c r="S164" i="39"/>
  <c r="W208" i="39"/>
  <c r="AA188" i="39"/>
  <c r="U186" i="39"/>
  <c r="S196" i="39"/>
  <c r="Y182" i="39"/>
  <c r="W192" i="39"/>
  <c r="X209" i="39"/>
  <c r="R132" i="39"/>
  <c r="U117" i="39"/>
  <c r="R185" i="39"/>
  <c r="Z161" i="39"/>
  <c r="W203" i="39"/>
  <c r="W176" i="39"/>
  <c r="Y204" i="39"/>
  <c r="X171" i="39"/>
  <c r="V165" i="39"/>
  <c r="T159" i="39"/>
  <c r="T175" i="39"/>
  <c r="S180" i="39"/>
  <c r="U122" i="39"/>
  <c r="Z121" i="39"/>
  <c r="X155" i="39"/>
  <c r="Y166" i="39"/>
  <c r="AA194" i="39"/>
  <c r="AA150" i="39"/>
  <c r="U190" i="39"/>
  <c r="R169" i="39"/>
  <c r="X123" i="39"/>
  <c r="V149" i="39"/>
  <c r="AA156" i="39"/>
  <c r="Y161" i="39"/>
  <c r="X139" i="39"/>
  <c r="S132" i="39"/>
  <c r="U138" i="39"/>
  <c r="Y134" i="39"/>
  <c r="AC186" i="39"/>
  <c r="AB186" i="39"/>
  <c r="AC152" i="39"/>
  <c r="AB152" i="39"/>
  <c r="S116" i="39"/>
  <c r="U211" i="39"/>
  <c r="W128" i="39"/>
  <c r="AA124" i="39"/>
  <c r="Y190" i="39"/>
  <c r="T143" i="39"/>
  <c r="AA172" i="39"/>
  <c r="Z210" i="39"/>
  <c r="V181" i="39"/>
  <c r="Y213" i="39"/>
  <c r="U205" i="39"/>
  <c r="S212" i="39"/>
  <c r="AA129" i="39"/>
  <c r="AA209" i="39"/>
  <c r="U213" i="39"/>
  <c r="R121" i="39"/>
  <c r="T202" i="39"/>
  <c r="X214" i="39"/>
  <c r="R153" i="39"/>
  <c r="V208" i="39"/>
  <c r="Y212" i="39"/>
  <c r="T201" i="39"/>
  <c r="Y118" i="39"/>
  <c r="U165" i="39"/>
  <c r="T183" i="39"/>
  <c r="S207" i="39"/>
  <c r="V213" i="39"/>
  <c r="X198" i="39"/>
  <c r="AA199" i="39"/>
  <c r="Y123" i="39"/>
  <c r="T127" i="39"/>
  <c r="W187" i="39"/>
  <c r="V160" i="39"/>
  <c r="Z204" i="39"/>
  <c r="R212" i="39"/>
  <c r="S191" i="39"/>
  <c r="R191" i="39"/>
  <c r="U149" i="39"/>
  <c r="X166" i="39"/>
  <c r="Y193" i="39"/>
  <c r="Z188" i="39"/>
  <c r="Y154" i="39"/>
  <c r="V192" i="39"/>
  <c r="T186" i="39"/>
  <c r="AA183" i="39"/>
  <c r="W171" i="39"/>
  <c r="Z124" i="39"/>
  <c r="AA215" i="39"/>
  <c r="Z183" i="39"/>
  <c r="X182" i="39"/>
  <c r="R116" i="39"/>
  <c r="U181" i="39"/>
  <c r="Y177" i="39"/>
  <c r="U197" i="39"/>
  <c r="AC184" i="39"/>
  <c r="AB184" i="39"/>
  <c r="V153" i="39"/>
  <c r="Z172" i="39"/>
  <c r="AC163" i="39"/>
  <c r="AB163" i="39"/>
  <c r="AC121" i="39"/>
  <c r="AB121" i="39"/>
  <c r="V205" i="39"/>
  <c r="T154" i="39"/>
  <c r="X144" i="39"/>
  <c r="R164" i="39"/>
  <c r="Y157" i="39"/>
  <c r="R148" i="39"/>
  <c r="W139" i="39"/>
  <c r="W123" i="39"/>
  <c r="W149" i="39"/>
  <c r="X134" i="39"/>
  <c r="T181" i="39"/>
  <c r="Y129" i="39"/>
  <c r="Y145" i="39"/>
  <c r="X152" i="39"/>
  <c r="R186" i="39"/>
  <c r="S127" i="39"/>
  <c r="W155" i="39"/>
  <c r="X118" i="39"/>
  <c r="AA135" i="39"/>
  <c r="AC204" i="39"/>
  <c r="AB204" i="39"/>
  <c r="AA203" i="39"/>
  <c r="U133" i="39"/>
  <c r="Y208" i="39"/>
  <c r="R193" i="39"/>
  <c r="U214" i="39"/>
  <c r="T138" i="39"/>
  <c r="T197" i="39"/>
  <c r="AC119" i="39"/>
  <c r="AB119" i="39"/>
  <c r="T213" i="39"/>
  <c r="Z215" i="39"/>
  <c r="Z192" i="39"/>
  <c r="R206" i="39"/>
  <c r="W214" i="39"/>
  <c r="Y120" i="39"/>
  <c r="S186" i="39"/>
  <c r="AC174" i="39"/>
  <c r="AB174" i="39"/>
  <c r="S215" i="39"/>
  <c r="AA214" i="39"/>
  <c r="V184" i="39"/>
  <c r="X170" i="39"/>
  <c r="R195" i="39"/>
  <c r="AA178" i="39"/>
  <c r="X128" i="39"/>
  <c r="U208" i="39"/>
  <c r="AC202" i="39"/>
  <c r="AB202" i="39"/>
  <c r="V203" i="39"/>
  <c r="Z199" i="39"/>
  <c r="V187" i="39"/>
  <c r="U176" i="39"/>
  <c r="W125" i="39"/>
  <c r="AA141" i="39"/>
  <c r="S159" i="39"/>
  <c r="Y172" i="39"/>
  <c r="W157" i="39"/>
  <c r="R144" i="39"/>
  <c r="W198" i="39"/>
  <c r="AA210" i="39"/>
  <c r="Z151" i="39"/>
  <c r="Y188" i="39"/>
  <c r="Z135" i="39"/>
  <c r="U192" i="39"/>
  <c r="X177" i="39"/>
  <c r="R127" i="39"/>
  <c r="W200" i="39"/>
  <c r="W182" i="39"/>
  <c r="X161" i="39"/>
  <c r="T167" i="39"/>
  <c r="W177" i="39"/>
  <c r="AC131" i="39"/>
  <c r="AB131" i="39"/>
  <c r="T187" i="39"/>
  <c r="Z190" i="39"/>
  <c r="W129" i="39"/>
  <c r="AC162" i="39"/>
  <c r="AB162" i="39"/>
  <c r="V135" i="39"/>
  <c r="X140" i="39"/>
  <c r="AC123" i="39"/>
  <c r="AB123" i="39"/>
  <c r="AC139" i="39"/>
  <c r="AB139" i="39"/>
  <c r="AC166" i="39"/>
  <c r="AB166" i="39"/>
  <c r="S165" i="39"/>
  <c r="AC185" i="39"/>
  <c r="AB185" i="39"/>
  <c r="V170" i="39"/>
  <c r="X173" i="39"/>
  <c r="AC154" i="39"/>
  <c r="AB154" i="39"/>
  <c r="AC142" i="39"/>
  <c r="AB142" i="39"/>
  <c r="U143" i="39"/>
  <c r="U172" i="39"/>
  <c r="AC156" i="39"/>
  <c r="AB156" i="39"/>
  <c r="T172" i="39"/>
  <c r="AC209" i="39"/>
  <c r="AB209" i="39"/>
  <c r="AC168" i="39"/>
  <c r="AB168" i="39"/>
  <c r="AC136" i="39"/>
  <c r="AB136" i="39"/>
  <c r="AC196" i="39"/>
  <c r="AB196" i="39"/>
  <c r="S202" i="39"/>
  <c r="AC125" i="39"/>
  <c r="AB125" i="39"/>
  <c r="AC188" i="39"/>
  <c r="AB188" i="39"/>
  <c r="AC200" i="39"/>
  <c r="AB200" i="39"/>
  <c r="AC203" i="39"/>
  <c r="AB203" i="39"/>
  <c r="AC137" i="39"/>
  <c r="AB137" i="39"/>
  <c r="AC170" i="39"/>
  <c r="AB170" i="39"/>
  <c r="AC140" i="39"/>
  <c r="AB140" i="39"/>
  <c r="AC198" i="39"/>
  <c r="AB198" i="39"/>
  <c r="W144" i="39"/>
  <c r="AC176" i="39"/>
  <c r="AB176" i="39"/>
  <c r="AC124" i="39"/>
  <c r="AB124" i="39"/>
  <c r="AC183" i="39"/>
  <c r="AB183" i="39"/>
  <c r="V212" i="39"/>
  <c r="AC122" i="39"/>
  <c r="AB122" i="39"/>
  <c r="AA174" i="39"/>
  <c r="AC117" i="39"/>
  <c r="AB117" i="39"/>
  <c r="W146" i="39"/>
  <c r="AC189" i="39"/>
  <c r="AB189" i="39"/>
  <c r="AC116" i="39"/>
  <c r="AB116" i="39"/>
  <c r="AC181" i="39"/>
  <c r="AB181" i="39"/>
  <c r="AC167" i="39"/>
  <c r="AB167" i="39"/>
  <c r="AC199" i="39"/>
  <c r="AB199" i="39"/>
  <c r="AC213" i="39"/>
  <c r="AB213" i="39"/>
  <c r="AC180" i="39"/>
  <c r="AB180" i="39"/>
  <c r="S143" i="39"/>
  <c r="AC134" i="39"/>
  <c r="AB134" i="39"/>
  <c r="AC182" i="39"/>
  <c r="AB182" i="39"/>
  <c r="AC214" i="39"/>
  <c r="AB214" i="39"/>
  <c r="AC151" i="39"/>
  <c r="AB151" i="39"/>
  <c r="AC179" i="39"/>
  <c r="AB179" i="39"/>
  <c r="AA120" i="39"/>
  <c r="AC212" i="39"/>
  <c r="AB212" i="39"/>
  <c r="AC165" i="39"/>
  <c r="AB165" i="39"/>
  <c r="U114" i="39"/>
  <c r="AC132" i="39"/>
  <c r="AB132" i="39"/>
  <c r="AC143" i="39"/>
  <c r="AB143" i="39"/>
  <c r="AC178" i="39"/>
  <c r="AB178" i="39"/>
  <c r="AC164" i="39"/>
  <c r="AB164" i="39"/>
  <c r="AC118" i="39"/>
  <c r="AB118" i="39"/>
  <c r="AC150" i="39"/>
  <c r="AB150" i="39"/>
  <c r="AC215" i="39"/>
  <c r="AB215" i="39"/>
  <c r="Z212" i="39"/>
  <c r="X150" i="39"/>
  <c r="AC197" i="39"/>
  <c r="AB197" i="39"/>
  <c r="AA116" i="39"/>
  <c r="AC208" i="39"/>
  <c r="AB208" i="39"/>
  <c r="AC160" i="39"/>
  <c r="AB160" i="39"/>
  <c r="S208" i="39"/>
  <c r="U170" i="39"/>
  <c r="AC159" i="39"/>
  <c r="AB159" i="39"/>
  <c r="X163" i="39"/>
  <c r="S161" i="39"/>
  <c r="AC148" i="39"/>
  <c r="AB148" i="39"/>
  <c r="AC169" i="39"/>
  <c r="AB169" i="39"/>
  <c r="Y115" i="39"/>
  <c r="AC115" i="39"/>
  <c r="AB115" i="39"/>
  <c r="R118" i="39"/>
  <c r="V157" i="39"/>
  <c r="AC194" i="39"/>
  <c r="AB194" i="39"/>
  <c r="AC206" i="39"/>
  <c r="AB206" i="39"/>
  <c r="AC211" i="39"/>
  <c r="AB211" i="39"/>
  <c r="AC114" i="39"/>
  <c r="AB114" i="39"/>
  <c r="AC210" i="39"/>
  <c r="AB210" i="39"/>
  <c r="T119" i="39"/>
  <c r="AC144" i="39"/>
  <c r="AB144" i="39"/>
  <c r="AC161" i="39"/>
  <c r="AB161" i="39"/>
  <c r="AC177" i="39"/>
  <c r="AB177" i="39"/>
  <c r="AC146" i="39"/>
  <c r="AB146" i="39"/>
  <c r="AC187" i="39"/>
  <c r="AB187" i="39"/>
  <c r="AC155" i="39"/>
  <c r="AB155" i="39"/>
  <c r="X147" i="39"/>
  <c r="Y150" i="39"/>
  <c r="AC193" i="39"/>
  <c r="AB193" i="39"/>
  <c r="AC173" i="39"/>
  <c r="AB173" i="39"/>
  <c r="AA132" i="39"/>
  <c r="V125" i="39"/>
  <c r="Y142" i="39"/>
  <c r="AC175" i="39"/>
  <c r="AB175" i="39"/>
  <c r="AC191" i="39"/>
  <c r="AB191" i="39"/>
  <c r="X115" i="39"/>
  <c r="AC127" i="39"/>
  <c r="AB127" i="39"/>
  <c r="S155" i="39"/>
  <c r="AC172" i="39"/>
  <c r="AB172" i="39"/>
  <c r="Z169" i="39"/>
  <c r="V173" i="39"/>
  <c r="AC158" i="39"/>
  <c r="AB158" i="39"/>
  <c r="S124" i="39"/>
  <c r="T212" i="39"/>
  <c r="U162" i="39"/>
  <c r="U130" i="39"/>
  <c r="AC216" i="39"/>
  <c r="AB216" i="39"/>
  <c r="AC171" i="39"/>
  <c r="AB171" i="39"/>
  <c r="Z146" i="39"/>
  <c r="X131" i="39"/>
  <c r="V141" i="39"/>
  <c r="S204" i="39"/>
  <c r="U161" i="39"/>
  <c r="U183" i="39"/>
  <c r="T144" i="39"/>
  <c r="Y158" i="39"/>
  <c r="T209" i="39"/>
  <c r="R133" i="39"/>
  <c r="U146" i="39"/>
  <c r="R166" i="39"/>
  <c r="AA148" i="39"/>
  <c r="T151" i="39"/>
  <c r="AA164" i="39"/>
  <c r="X188" i="39"/>
  <c r="V177" i="39"/>
  <c r="U178" i="39"/>
  <c r="T188" i="39"/>
  <c r="R177" i="39"/>
  <c r="Z185" i="39"/>
  <c r="W210" i="39"/>
  <c r="T165" i="39"/>
  <c r="AC133" i="39"/>
  <c r="AB133" i="39"/>
  <c r="W168" i="39"/>
  <c r="Y147" i="39"/>
  <c r="Y174" i="39"/>
  <c r="X195" i="39"/>
  <c r="AA212" i="39"/>
  <c r="R134" i="39"/>
  <c r="X184" i="39"/>
  <c r="AC120" i="39"/>
  <c r="AB120" i="39"/>
  <c r="Z201" i="39"/>
  <c r="S188" i="39"/>
  <c r="T199" i="39"/>
  <c r="Y206" i="39"/>
  <c r="X211" i="39"/>
  <c r="X216" i="39"/>
  <c r="AC145" i="39"/>
  <c r="AB145" i="39"/>
  <c r="V189" i="39"/>
  <c r="U194" i="39"/>
  <c r="R161" i="39"/>
  <c r="Z163" i="39"/>
  <c r="W216" i="39"/>
  <c r="AC129" i="39"/>
  <c r="AB129" i="39"/>
  <c r="AA179" i="39"/>
  <c r="X199" i="39"/>
  <c r="Y205" i="39"/>
  <c r="AA180" i="39"/>
  <c r="T215" i="39"/>
  <c r="Z213" i="39"/>
  <c r="V146" i="39"/>
  <c r="V198" i="39"/>
  <c r="T149" i="39"/>
  <c r="R155" i="39"/>
  <c r="R198" i="39"/>
  <c r="U135" i="39"/>
  <c r="W178" i="39"/>
  <c r="V210" i="39"/>
  <c r="S198" i="39"/>
  <c r="T124" i="39"/>
  <c r="AA121" i="39"/>
  <c r="Z126" i="39"/>
  <c r="W141" i="39"/>
  <c r="Z142" i="39"/>
  <c r="T140" i="39"/>
  <c r="W140" i="39"/>
  <c r="Z158" i="39"/>
  <c r="X179" i="39"/>
  <c r="AC149" i="39"/>
  <c r="AB149" i="39"/>
  <c r="Z147" i="39"/>
  <c r="AC190" i="39"/>
  <c r="AB190" i="39"/>
  <c r="X168" i="39"/>
  <c r="V178" i="39"/>
  <c r="AC201" i="39"/>
  <c r="AB201" i="39"/>
  <c r="V133" i="39"/>
  <c r="U167" i="39"/>
  <c r="AA137" i="39"/>
  <c r="R200" i="39"/>
  <c r="AA169" i="39"/>
  <c r="AC195" i="39"/>
  <c r="AB195" i="39"/>
  <c r="T156" i="39"/>
  <c r="U151" i="39"/>
  <c r="R145" i="39"/>
  <c r="Z184" i="39"/>
  <c r="Z174" i="39"/>
  <c r="W120" i="39"/>
  <c r="R175" i="39"/>
  <c r="Y163" i="39"/>
  <c r="X162" i="39"/>
  <c r="X136" i="39"/>
  <c r="Z141" i="39"/>
  <c r="AC141" i="39"/>
  <c r="AB141" i="39"/>
  <c r="Y179" i="39"/>
  <c r="S177" i="39"/>
  <c r="R123" i="39"/>
  <c r="U119" i="39"/>
  <c r="T214" i="39"/>
  <c r="Y195" i="39"/>
  <c r="Y136" i="39"/>
  <c r="Z200" i="39"/>
  <c r="V194" i="39"/>
  <c r="W189" i="39"/>
  <c r="AA185" i="39"/>
  <c r="V176" i="39"/>
  <c r="S193" i="39"/>
  <c r="U177" i="39"/>
  <c r="X200" i="39"/>
  <c r="Z206" i="39"/>
  <c r="W119" i="39"/>
  <c r="Y189" i="39"/>
  <c r="AA153" i="39"/>
  <c r="R214" i="39"/>
  <c r="AA201" i="39"/>
  <c r="R149" i="39"/>
  <c r="AA125" i="39"/>
  <c r="R128" i="39"/>
  <c r="T204" i="39"/>
  <c r="U199" i="39"/>
  <c r="U210" i="39"/>
  <c r="S203" i="39"/>
  <c r="Y211" i="39"/>
  <c r="W205" i="39"/>
  <c r="AC128" i="39"/>
  <c r="AB128" i="39"/>
  <c r="W124" i="39"/>
  <c r="R208" i="39"/>
  <c r="AA206" i="39"/>
  <c r="V128" i="39"/>
  <c r="R209" i="39"/>
  <c r="Y216" i="39"/>
  <c r="X210" i="39"/>
  <c r="X215" i="39"/>
  <c r="AA196" i="39"/>
  <c r="W209" i="39"/>
  <c r="AC147" i="39"/>
  <c r="AB147" i="39"/>
  <c r="Z211" i="39"/>
  <c r="T210" i="39"/>
  <c r="W136" i="39"/>
  <c r="S216" i="39"/>
  <c r="T129" i="39"/>
  <c r="U215" i="39"/>
  <c r="X129" i="39"/>
  <c r="Z115" i="39"/>
  <c r="S187" i="39"/>
  <c r="U124" i="39"/>
  <c r="Z131" i="39"/>
  <c r="AA126" i="39"/>
  <c r="V119" i="39"/>
  <c r="W134" i="39"/>
  <c r="U140" i="39"/>
  <c r="Z216" i="39"/>
  <c r="S166" i="39"/>
  <c r="X141" i="39"/>
  <c r="AA142" i="39"/>
  <c r="V114" i="39"/>
  <c r="T161" i="39"/>
  <c r="S150" i="39"/>
  <c r="U156" i="39"/>
  <c r="R171" i="39"/>
  <c r="S131" i="39"/>
  <c r="W130" i="39"/>
  <c r="Y152" i="39"/>
  <c r="T145" i="39"/>
  <c r="S192" i="39"/>
  <c r="X157" i="39"/>
  <c r="AC205" i="39"/>
  <c r="AB205" i="39"/>
  <c r="W145" i="39"/>
  <c r="Z153" i="39"/>
  <c r="V130" i="39"/>
  <c r="V167" i="39"/>
  <c r="AA200" i="39"/>
  <c r="AA195" i="39"/>
  <c r="Y184" i="39"/>
  <c r="V209" i="39"/>
  <c r="S129" i="39"/>
  <c r="W162" i="39"/>
  <c r="W194" i="39"/>
  <c r="U188" i="39"/>
  <c r="AC138" i="39"/>
  <c r="AB138" i="39"/>
  <c r="Y200" i="39"/>
  <c r="AA131" i="39"/>
  <c r="R117" i="39"/>
  <c r="V199" i="39"/>
  <c r="Z195" i="39"/>
  <c r="R203" i="39"/>
  <c r="Y124" i="39"/>
  <c r="Y131" i="39"/>
  <c r="Z179" i="39"/>
  <c r="X205" i="39"/>
  <c r="R187" i="39"/>
  <c r="Y162" i="39"/>
  <c r="T113" i="39"/>
  <c r="U204" i="39"/>
  <c r="X113" i="39"/>
  <c r="X114" i="39"/>
  <c r="R160" i="39"/>
  <c r="Y168" i="39"/>
  <c r="V215" i="39"/>
  <c r="R182" i="39"/>
  <c r="Y146" i="39"/>
  <c r="U150" i="39"/>
  <c r="AC157" i="39"/>
  <c r="AB157" i="39"/>
  <c r="V214" i="39"/>
  <c r="AA211" i="39"/>
  <c r="V124" i="39"/>
  <c r="Z120" i="39"/>
  <c r="R138" i="39"/>
  <c r="W173" i="39"/>
  <c r="S140" i="39"/>
  <c r="R197" i="39"/>
  <c r="AA115" i="39"/>
  <c r="W166" i="39"/>
  <c r="U129" i="39"/>
  <c r="R129" i="39"/>
  <c r="U145" i="39"/>
  <c r="AA216" i="39"/>
  <c r="R113" i="39"/>
  <c r="S123" i="39"/>
  <c r="T177" i="39"/>
  <c r="Z136" i="39"/>
  <c r="W135" i="39"/>
  <c r="T193" i="39"/>
  <c r="S172" i="39"/>
  <c r="T134" i="39"/>
  <c r="AA147" i="39"/>
  <c r="V140" i="39"/>
  <c r="V156" i="39"/>
  <c r="T118" i="39"/>
  <c r="X146" i="39"/>
  <c r="Y141" i="39"/>
  <c r="AC126" i="39"/>
  <c r="AB126" i="39"/>
  <c r="Y194" i="39"/>
  <c r="R143" i="39"/>
  <c r="T150" i="39"/>
  <c r="T155" i="39"/>
  <c r="AA184" i="39"/>
  <c r="V115" i="39"/>
  <c r="X178" i="39"/>
  <c r="S145" i="39"/>
  <c r="R150" i="39"/>
  <c r="U209" i="39"/>
  <c r="AA173" i="39"/>
  <c r="T203" i="39"/>
  <c r="S181" i="39"/>
  <c r="AA168" i="39"/>
  <c r="W204" i="39"/>
  <c r="S144" i="39"/>
  <c r="T208" i="39"/>
  <c r="V129" i="39"/>
  <c r="Y114" i="39"/>
  <c r="W156" i="39"/>
  <c r="U118" i="39"/>
  <c r="W114" i="39"/>
  <c r="AC207" i="39"/>
  <c r="AB207" i="39"/>
  <c r="AA114" i="39"/>
  <c r="V195" i="39"/>
  <c r="V182" i="39"/>
  <c r="X125" i="39"/>
  <c r="X135" i="39"/>
  <c r="X167" i="39"/>
  <c r="U193" i="39"/>
  <c r="S170" i="39"/>
  <c r="S128" i="39"/>
  <c r="U134" i="39"/>
  <c r="Z207" i="39"/>
  <c r="R204" i="39"/>
  <c r="X151" i="39"/>
  <c r="Y130" i="39"/>
  <c r="U216" i="39"/>
  <c r="S156" i="39"/>
  <c r="AA152" i="39"/>
  <c r="V172" i="39"/>
  <c r="AA163" i="39"/>
  <c r="S160" i="39"/>
  <c r="R165" i="39"/>
  <c r="Z137" i="39"/>
  <c r="Z157" i="39"/>
  <c r="W172" i="39"/>
  <c r="T166" i="39"/>
  <c r="S197" i="39"/>
  <c r="T182" i="39"/>
  <c r="X119" i="39"/>
  <c r="Y178" i="39"/>
  <c r="V188" i="39"/>
  <c r="R192" i="39"/>
  <c r="W184" i="39"/>
  <c r="R139" i="39"/>
  <c r="X120" i="39"/>
  <c r="T139" i="39"/>
  <c r="Z189" i="39"/>
  <c r="X130" i="39"/>
  <c r="R181" i="39"/>
  <c r="S134" i="39"/>
  <c r="Z130" i="39"/>
  <c r="Z173" i="39"/>
  <c r="T171" i="39"/>
  <c r="X183" i="39"/>
  <c r="AA130" i="39"/>
  <c r="W188" i="39"/>
  <c r="R213" i="39"/>
  <c r="V161" i="39"/>
  <c r="S171" i="39"/>
  <c r="V193" i="39"/>
  <c r="Y140" i="39"/>
  <c r="Z114" i="39"/>
  <c r="S178" i="39"/>
  <c r="Z194" i="39"/>
  <c r="X172" i="39"/>
  <c r="U198" i="39"/>
  <c r="W151" i="39"/>
  <c r="S176" i="39"/>
  <c r="S213" i="39"/>
  <c r="X124" i="39"/>
  <c r="V162" i="39"/>
  <c r="W183" i="39"/>
  <c r="Y167" i="39"/>
  <c r="V150" i="39"/>
  <c r="Y119" i="39"/>
  <c r="S194" i="39"/>
  <c r="Y151" i="39"/>
  <c r="S146" i="39"/>
  <c r="U123" i="39"/>
  <c r="X189" i="39"/>
  <c r="U139" i="39"/>
  <c r="Y135" i="39"/>
  <c r="S117" i="39"/>
  <c r="Z178" i="39"/>
  <c r="Z162" i="39"/>
  <c r="X156" i="39"/>
  <c r="W118" i="39"/>
  <c r="T160" i="39"/>
  <c r="Y210" i="39"/>
  <c r="T176" i="39"/>
  <c r="Y215" i="39"/>
  <c r="AA207" i="39"/>
  <c r="Z113" i="39"/>
  <c r="T198" i="39"/>
  <c r="U160" i="39"/>
  <c r="V166" i="39"/>
  <c r="U203" i="39"/>
  <c r="W199" i="39"/>
  <c r="W193" i="39"/>
  <c r="X204" i="39"/>
  <c r="U187" i="39"/>
  <c r="Z175" i="39"/>
  <c r="Z119" i="39"/>
  <c r="R202" i="39"/>
  <c r="R122" i="39"/>
  <c r="AA189" i="39"/>
  <c r="T133" i="39"/>
  <c r="U128" i="39"/>
  <c r="W152" i="39"/>
  <c r="Y173" i="39"/>
  <c r="R159" i="39"/>
  <c r="X132" i="39"/>
  <c r="V123" i="39"/>
  <c r="S138" i="39"/>
  <c r="X194" i="39"/>
  <c r="T117" i="39"/>
  <c r="V171" i="39"/>
  <c r="S184" i="39"/>
  <c r="Z168" i="39"/>
  <c r="U171" i="39"/>
  <c r="AA205" i="39"/>
  <c r="R156" i="39"/>
  <c r="X145" i="39"/>
  <c r="W206" i="39"/>
  <c r="S122" i="39"/>
  <c r="V139" i="39"/>
  <c r="Y126" i="39"/>
  <c r="S154" i="39"/>
  <c r="W150" i="39"/>
  <c r="Y183" i="39"/>
  <c r="V204" i="39"/>
  <c r="Z180" i="39"/>
  <c r="Y125" i="39"/>
  <c r="Y156" i="39"/>
  <c r="AA190" i="39"/>
  <c r="V155" i="39"/>
  <c r="V113" i="39"/>
  <c r="AA136" i="39"/>
  <c r="V134" i="39"/>
  <c r="Z152" i="39"/>
  <c r="S218" i="39"/>
  <c r="V151" i="39"/>
  <c r="AC113" i="39"/>
  <c r="AB113" i="39"/>
  <c r="U113" i="39"/>
  <c r="S214" i="39"/>
  <c r="AA113" i="39"/>
  <c r="S139" i="39"/>
  <c r="S219" i="39"/>
  <c r="U155" i="39"/>
  <c r="R170" i="39"/>
  <c r="W161" i="39"/>
  <c r="S118" i="39"/>
  <c r="U144" i="39"/>
  <c r="R130" i="39"/>
  <c r="U182" i="39"/>
  <c r="Y116" i="39"/>
  <c r="T192" i="39"/>
  <c r="W215" i="39"/>
  <c r="S113" i="39"/>
  <c r="T128" i="39"/>
  <c r="Z125" i="39"/>
  <c r="T123" i="39"/>
  <c r="S149" i="39"/>
  <c r="W113" i="39"/>
  <c r="Y113" i="39"/>
  <c r="S133" i="39"/>
  <c r="V183" i="39"/>
  <c r="U166" i="39"/>
  <c r="V145" i="39"/>
  <c r="AA146" i="39"/>
  <c r="R154" i="39"/>
  <c r="W167" i="39"/>
  <c r="Z205" i="39"/>
  <c r="Z171" i="39"/>
  <c r="S141" i="39"/>
  <c r="W127" i="39"/>
  <c r="AC130" i="39"/>
  <c r="AB130" i="39"/>
  <c r="W196" i="39"/>
  <c r="X175" i="39"/>
  <c r="X154" i="39"/>
  <c r="V142" i="39"/>
  <c r="X207" i="39"/>
  <c r="Y199" i="39"/>
  <c r="U115" i="39"/>
  <c r="W212" i="39"/>
  <c r="R114" i="39"/>
  <c r="Y202" i="39"/>
  <c r="X212" i="39"/>
  <c r="T211" i="39"/>
  <c r="S209" i="39"/>
  <c r="Y143" i="39"/>
  <c r="W121" i="39"/>
  <c r="W137" i="39"/>
  <c r="S125" i="39"/>
  <c r="AC219" i="39"/>
  <c r="AB219" i="39"/>
  <c r="U158" i="39"/>
  <c r="U131" i="39"/>
  <c r="W218" i="39"/>
  <c r="AA181" i="39"/>
  <c r="V116" i="39"/>
  <c r="Z138" i="39"/>
  <c r="AA160" i="39"/>
  <c r="T136" i="39"/>
  <c r="U147" i="39"/>
  <c r="Z177" i="39"/>
  <c r="AA162" i="39"/>
  <c r="AA159" i="39"/>
  <c r="X148" i="39"/>
  <c r="Y127" i="39"/>
  <c r="W153" i="39"/>
  <c r="W185" i="39"/>
  <c r="S157" i="39"/>
  <c r="Y175" i="39"/>
  <c r="V158" i="39"/>
  <c r="T152" i="39"/>
  <c r="R162" i="39"/>
  <c r="Z170" i="39"/>
  <c r="Z186" i="39"/>
  <c r="X164" i="39"/>
  <c r="X180" i="39"/>
  <c r="AA165" i="39"/>
  <c r="U163" i="39"/>
  <c r="V122" i="39"/>
  <c r="Z202" i="39"/>
  <c r="R146" i="39"/>
  <c r="W201" i="39"/>
  <c r="R215" i="39"/>
  <c r="W169" i="39"/>
  <c r="R194" i="39"/>
  <c r="Y191" i="39"/>
  <c r="U195" i="39"/>
  <c r="AA197" i="39"/>
  <c r="S205" i="39"/>
  <c r="W126" i="39"/>
  <c r="Y207" i="39"/>
  <c r="AA213" i="39"/>
  <c r="T205" i="39"/>
  <c r="X201" i="39"/>
  <c r="T216" i="39"/>
  <c r="W211" i="39"/>
  <c r="T125" i="39"/>
  <c r="Z127" i="39"/>
  <c r="R119" i="39"/>
  <c r="Y117" i="39"/>
  <c r="S114" i="39"/>
  <c r="U189" i="39"/>
  <c r="U136" i="39"/>
  <c r="R151" i="39"/>
  <c r="V147" i="39"/>
  <c r="X137" i="39"/>
  <c r="AC135" i="39"/>
  <c r="AB135" i="39"/>
  <c r="U152" i="39"/>
  <c r="Z143" i="39"/>
  <c r="W158" i="39"/>
  <c r="T173" i="39"/>
  <c r="S173" i="39"/>
  <c r="V163" i="39"/>
  <c r="R167" i="39"/>
  <c r="U168" i="39"/>
  <c r="Y164" i="39"/>
  <c r="Y132" i="39"/>
  <c r="U184" i="39"/>
  <c r="Y180" i="39"/>
  <c r="S162" i="39"/>
  <c r="V206" i="39"/>
  <c r="X116" i="39"/>
  <c r="AA186" i="39"/>
  <c r="Z159" i="39"/>
  <c r="W174" i="39"/>
  <c r="AA154" i="39"/>
  <c r="S115" i="39"/>
  <c r="U200" i="39"/>
  <c r="V201" i="39"/>
  <c r="V179" i="39"/>
  <c r="AA143" i="39"/>
  <c r="Y196" i="39"/>
  <c r="V216" i="39"/>
  <c r="T189" i="39"/>
  <c r="R141" i="39"/>
  <c r="S136" i="39"/>
  <c r="AA122" i="39"/>
  <c r="Y217" i="39"/>
  <c r="T114" i="39"/>
  <c r="W115" i="39"/>
  <c r="S119" i="39"/>
  <c r="AA208" i="39"/>
  <c r="V136" i="39"/>
  <c r="R124" i="39"/>
  <c r="T130" i="39"/>
  <c r="T146" i="39"/>
  <c r="S135" i="39"/>
  <c r="V120" i="39"/>
  <c r="AA187" i="39"/>
  <c r="Y121" i="39"/>
  <c r="U125" i="39"/>
  <c r="W131" i="39"/>
  <c r="Y137" i="39"/>
  <c r="V152" i="39"/>
  <c r="T120" i="39"/>
  <c r="U141" i="39"/>
  <c r="V218" i="39"/>
  <c r="R140" i="39"/>
  <c r="Z148" i="39"/>
  <c r="V131" i="39"/>
  <c r="S199" i="39"/>
  <c r="Z154" i="39"/>
  <c r="U157" i="39"/>
  <c r="X203" i="39"/>
  <c r="Z191" i="39"/>
  <c r="W163" i="39"/>
  <c r="S151" i="39"/>
  <c r="Y201" i="39"/>
  <c r="S183" i="39"/>
  <c r="X158" i="39"/>
  <c r="Y153" i="39"/>
  <c r="T178" i="39"/>
  <c r="AA175" i="39"/>
  <c r="R188" i="39"/>
  <c r="U173" i="39"/>
  <c r="Y198" i="39"/>
  <c r="W179" i="39"/>
  <c r="Y185" i="39"/>
  <c r="R178" i="39"/>
  <c r="V168" i="39"/>
  <c r="Y169" i="39"/>
  <c r="R199" i="39"/>
  <c r="W165" i="39"/>
  <c r="Z164" i="39"/>
  <c r="S168" i="39"/>
  <c r="T194" i="39"/>
  <c r="X190" i="39"/>
  <c r="X196" i="39"/>
  <c r="U116" i="39"/>
  <c r="X218" i="39"/>
  <c r="AA191" i="39"/>
  <c r="X185" i="39"/>
  <c r="S167" i="39"/>
  <c r="R135" i="39"/>
  <c r="Z196" i="39"/>
  <c r="Z219" i="39"/>
  <c r="V219" i="39"/>
  <c r="R218" i="39"/>
  <c r="T219" i="39"/>
  <c r="Y218" i="39"/>
  <c r="AA218" i="39"/>
  <c r="W190" i="39"/>
  <c r="X174" i="39"/>
  <c r="AA170" i="39"/>
  <c r="X169" i="39"/>
  <c r="X142" i="39"/>
  <c r="X219" i="39"/>
  <c r="V200" i="39"/>
  <c r="W217" i="39"/>
  <c r="T200" i="39"/>
  <c r="Z217" i="39"/>
  <c r="R219" i="39"/>
  <c r="R172" i="39"/>
  <c r="T218" i="39"/>
  <c r="Y148" i="39"/>
  <c r="U219" i="39"/>
  <c r="T184" i="39"/>
  <c r="AA127" i="39"/>
  <c r="W219" i="39"/>
  <c r="Q144" i="39"/>
  <c r="W147" i="39"/>
  <c r="Q217" i="39"/>
  <c r="Y219" i="39"/>
  <c r="R183" i="39"/>
  <c r="Y159" i="39"/>
  <c r="Y122" i="39"/>
  <c r="AA202" i="39"/>
  <c r="AA217" i="39"/>
  <c r="AC218" i="39"/>
  <c r="AB218" i="39"/>
  <c r="U217" i="39"/>
  <c r="AA219" i="39"/>
  <c r="T141" i="39"/>
  <c r="S189" i="39"/>
  <c r="X217" i="39"/>
  <c r="T217" i="39"/>
  <c r="T162" i="39"/>
  <c r="R217" i="39"/>
  <c r="V217" i="39"/>
  <c r="Z218" i="39"/>
  <c r="U218" i="39"/>
  <c r="V174" i="39"/>
  <c r="X153" i="39"/>
  <c r="X126" i="39"/>
  <c r="U179" i="39"/>
  <c r="U120" i="39"/>
  <c r="Q198" i="39"/>
  <c r="C113" i="39"/>
  <c r="D113" i="39"/>
  <c r="E113" i="39"/>
  <c r="F113" i="39"/>
  <c r="G113" i="39"/>
  <c r="H113" i="39"/>
  <c r="I113" i="39"/>
  <c r="J113" i="39"/>
  <c r="K113" i="39"/>
  <c r="L113" i="39"/>
  <c r="M113" i="39"/>
  <c r="N113" i="39"/>
  <c r="O113" i="39"/>
  <c r="C114" i="39"/>
  <c r="D114" i="39"/>
  <c r="E114" i="39"/>
  <c r="F114" i="39"/>
  <c r="G114" i="39"/>
  <c r="H114" i="39"/>
  <c r="I114" i="39"/>
  <c r="J114" i="39"/>
  <c r="K114" i="39"/>
  <c r="L114" i="39"/>
  <c r="M114" i="39"/>
  <c r="N114" i="39"/>
  <c r="O114" i="39"/>
  <c r="C115" i="39"/>
  <c r="D115" i="39"/>
  <c r="E115" i="39"/>
  <c r="F115" i="39"/>
  <c r="G115" i="39"/>
  <c r="H115" i="39"/>
  <c r="I115" i="39"/>
  <c r="J115" i="39"/>
  <c r="K115" i="39"/>
  <c r="L115" i="39"/>
  <c r="M115" i="39"/>
  <c r="N115" i="39"/>
  <c r="O115" i="39"/>
  <c r="C116" i="39"/>
  <c r="D116" i="39"/>
  <c r="E116" i="39"/>
  <c r="F116" i="39"/>
  <c r="G116" i="39"/>
  <c r="H116" i="39"/>
  <c r="I116" i="39"/>
  <c r="J116" i="39"/>
  <c r="K116" i="39"/>
  <c r="L116" i="39"/>
  <c r="M116" i="39"/>
  <c r="N116" i="39"/>
  <c r="O116" i="39"/>
  <c r="C117" i="39"/>
  <c r="D117" i="39"/>
  <c r="E117" i="39"/>
  <c r="F117" i="39"/>
  <c r="G117" i="39"/>
  <c r="H117" i="39"/>
  <c r="I117" i="39"/>
  <c r="J117" i="39"/>
  <c r="K117" i="39"/>
  <c r="L117" i="39"/>
  <c r="M117" i="39"/>
  <c r="N117" i="39"/>
  <c r="O117" i="39"/>
  <c r="C118" i="39"/>
  <c r="D118" i="39"/>
  <c r="E118" i="39"/>
  <c r="F118" i="39"/>
  <c r="G118" i="39"/>
  <c r="H118" i="39"/>
  <c r="I118" i="39"/>
  <c r="J118" i="39"/>
  <c r="K118" i="39"/>
  <c r="L118" i="39"/>
  <c r="M118" i="39"/>
  <c r="N118" i="39"/>
  <c r="O118" i="39"/>
  <c r="C119" i="39"/>
  <c r="D119" i="39"/>
  <c r="E119" i="39"/>
  <c r="F119" i="39"/>
  <c r="G119" i="39"/>
  <c r="H119" i="39"/>
  <c r="I119" i="39"/>
  <c r="J119" i="39"/>
  <c r="K119" i="39"/>
  <c r="L119" i="39"/>
  <c r="M119" i="39"/>
  <c r="N119" i="39"/>
  <c r="O119" i="39"/>
  <c r="C120" i="39"/>
  <c r="D120" i="39"/>
  <c r="E120" i="39"/>
  <c r="F120" i="39"/>
  <c r="G120" i="39"/>
  <c r="H120" i="39"/>
  <c r="I120" i="39"/>
  <c r="J120" i="39"/>
  <c r="K120" i="39"/>
  <c r="L120" i="39"/>
  <c r="M120" i="39"/>
  <c r="N120" i="39"/>
  <c r="O120" i="39"/>
  <c r="C121" i="39"/>
  <c r="D121" i="39"/>
  <c r="E121" i="39"/>
  <c r="F121" i="39"/>
  <c r="G121" i="39"/>
  <c r="H121" i="39"/>
  <c r="I121" i="39"/>
  <c r="J121" i="39"/>
  <c r="K121" i="39"/>
  <c r="L121" i="39"/>
  <c r="M121" i="39"/>
  <c r="N121" i="39"/>
  <c r="O121" i="39"/>
  <c r="C122" i="39"/>
  <c r="D122" i="39"/>
  <c r="E122" i="39"/>
  <c r="F122" i="39"/>
  <c r="G122" i="39"/>
  <c r="H122" i="39"/>
  <c r="I122" i="39"/>
  <c r="J122" i="39"/>
  <c r="K122" i="39"/>
  <c r="L122" i="39"/>
  <c r="M122" i="39"/>
  <c r="N122" i="39"/>
  <c r="O122" i="39"/>
  <c r="C123" i="39"/>
  <c r="D123" i="39"/>
  <c r="E123" i="39"/>
  <c r="F123" i="39"/>
  <c r="G123" i="39"/>
  <c r="H123" i="39"/>
  <c r="I123" i="39"/>
  <c r="J123" i="39"/>
  <c r="K123" i="39"/>
  <c r="L123" i="39"/>
  <c r="M123" i="39"/>
  <c r="N123" i="39"/>
  <c r="O123" i="39"/>
  <c r="C124" i="39"/>
  <c r="D124" i="39"/>
  <c r="E124" i="39"/>
  <c r="F124" i="39"/>
  <c r="G124" i="39"/>
  <c r="H124" i="39"/>
  <c r="I124" i="39"/>
  <c r="J124" i="39"/>
  <c r="K124" i="39"/>
  <c r="L124" i="39"/>
  <c r="M124" i="39"/>
  <c r="N124" i="39"/>
  <c r="O124" i="39"/>
  <c r="C125" i="39"/>
  <c r="D125" i="39"/>
  <c r="E125" i="39"/>
  <c r="F125" i="39"/>
  <c r="G125" i="39"/>
  <c r="H125" i="39"/>
  <c r="I125" i="39"/>
  <c r="J125" i="39"/>
  <c r="K125" i="39"/>
  <c r="L125" i="39"/>
  <c r="M125" i="39"/>
  <c r="N125" i="39"/>
  <c r="O125" i="39"/>
  <c r="C126" i="39"/>
  <c r="D126" i="39"/>
  <c r="E126" i="39"/>
  <c r="F126" i="39"/>
  <c r="G126" i="39"/>
  <c r="H126" i="39"/>
  <c r="I126" i="39"/>
  <c r="J126" i="39"/>
  <c r="K126" i="39"/>
  <c r="L126" i="39"/>
  <c r="M126" i="39"/>
  <c r="N126" i="39"/>
  <c r="O126" i="39"/>
  <c r="C127" i="39"/>
  <c r="D127" i="39"/>
  <c r="E127" i="39"/>
  <c r="F127" i="39"/>
  <c r="G127" i="39"/>
  <c r="H127" i="39"/>
  <c r="I127" i="39"/>
  <c r="J127" i="39"/>
  <c r="K127" i="39"/>
  <c r="L127" i="39"/>
  <c r="M127" i="39"/>
  <c r="N127" i="39"/>
  <c r="O127" i="39"/>
  <c r="C128" i="39"/>
  <c r="D128" i="39"/>
  <c r="E128" i="39"/>
  <c r="F128" i="39"/>
  <c r="G128" i="39"/>
  <c r="H128" i="39"/>
  <c r="I128" i="39"/>
  <c r="J128" i="39"/>
  <c r="K128" i="39"/>
  <c r="L128" i="39"/>
  <c r="M128" i="39"/>
  <c r="N128" i="39"/>
  <c r="O128" i="39"/>
  <c r="C129" i="39"/>
  <c r="D129" i="39"/>
  <c r="E129" i="39"/>
  <c r="F129" i="39"/>
  <c r="G129" i="39"/>
  <c r="H129" i="39"/>
  <c r="I129" i="39"/>
  <c r="J129" i="39"/>
  <c r="K129" i="39"/>
  <c r="L129" i="39"/>
  <c r="M129" i="39"/>
  <c r="N129" i="39"/>
  <c r="O129" i="39"/>
  <c r="C130" i="39"/>
  <c r="D130" i="39"/>
  <c r="E130" i="39"/>
  <c r="F130" i="39"/>
  <c r="G130" i="39"/>
  <c r="H130" i="39"/>
  <c r="I130" i="39"/>
  <c r="J130" i="39"/>
  <c r="K130" i="39"/>
  <c r="L130" i="39"/>
  <c r="M130" i="39"/>
  <c r="N130" i="39"/>
  <c r="O130" i="39"/>
  <c r="C131" i="39"/>
  <c r="D131" i="39"/>
  <c r="E131" i="39"/>
  <c r="F131" i="39"/>
  <c r="G131" i="39"/>
  <c r="H131" i="39"/>
  <c r="I131" i="39"/>
  <c r="J131" i="39"/>
  <c r="K131" i="39"/>
  <c r="L131" i="39"/>
  <c r="M131" i="39"/>
  <c r="N131" i="39"/>
  <c r="O131" i="39"/>
  <c r="C132" i="39"/>
  <c r="D132" i="39"/>
  <c r="E132" i="39"/>
  <c r="F132" i="39"/>
  <c r="G132" i="39"/>
  <c r="H132" i="39"/>
  <c r="I132" i="39"/>
  <c r="J132" i="39"/>
  <c r="K132" i="39"/>
  <c r="L132" i="39"/>
  <c r="M132" i="39"/>
  <c r="N132" i="39"/>
  <c r="O132" i="39"/>
  <c r="C133" i="39"/>
  <c r="D133" i="39"/>
  <c r="E133" i="39"/>
  <c r="F133" i="39"/>
  <c r="G133" i="39"/>
  <c r="H133" i="39"/>
  <c r="I133" i="39"/>
  <c r="J133" i="39"/>
  <c r="K133" i="39"/>
  <c r="L133" i="39"/>
  <c r="M133" i="39"/>
  <c r="N133" i="39"/>
  <c r="O133" i="39"/>
  <c r="C134" i="39"/>
  <c r="D134" i="39"/>
  <c r="E134" i="39"/>
  <c r="F134" i="39"/>
  <c r="G134" i="39"/>
  <c r="H134" i="39"/>
  <c r="I134" i="39"/>
  <c r="J134" i="39"/>
  <c r="K134" i="39"/>
  <c r="L134" i="39"/>
  <c r="M134" i="39"/>
  <c r="N134" i="39"/>
  <c r="O134" i="39"/>
  <c r="C135" i="39"/>
  <c r="D135" i="39"/>
  <c r="E135" i="39"/>
  <c r="F135" i="39"/>
  <c r="G135" i="39"/>
  <c r="H135" i="39"/>
  <c r="I135" i="39"/>
  <c r="J135" i="39"/>
  <c r="K135" i="39"/>
  <c r="L135" i="39"/>
  <c r="M135" i="39"/>
  <c r="N135" i="39"/>
  <c r="O135" i="39"/>
  <c r="C136" i="39"/>
  <c r="D136" i="39"/>
  <c r="E136" i="39"/>
  <c r="F136" i="39"/>
  <c r="G136" i="39"/>
  <c r="H136" i="39"/>
  <c r="I136" i="39"/>
  <c r="J136" i="39"/>
  <c r="K136" i="39"/>
  <c r="L136" i="39"/>
  <c r="M136" i="39"/>
  <c r="N136" i="39"/>
  <c r="O136" i="39"/>
  <c r="C137" i="39"/>
  <c r="D137" i="39"/>
  <c r="E137" i="39"/>
  <c r="F137" i="39"/>
  <c r="G137" i="39"/>
  <c r="H137" i="39"/>
  <c r="I137" i="39"/>
  <c r="J137" i="39"/>
  <c r="K137" i="39"/>
  <c r="L137" i="39"/>
  <c r="M137" i="39"/>
  <c r="N137" i="39"/>
  <c r="O137" i="39"/>
  <c r="C138" i="39"/>
  <c r="D138" i="39"/>
  <c r="E138" i="39"/>
  <c r="F138" i="39"/>
  <c r="G138" i="39"/>
  <c r="H138" i="39"/>
  <c r="I138" i="39"/>
  <c r="J138" i="39"/>
  <c r="K138" i="39"/>
  <c r="L138" i="39"/>
  <c r="M138" i="39"/>
  <c r="N138" i="39"/>
  <c r="O138" i="39"/>
  <c r="C139" i="39"/>
  <c r="D139" i="39"/>
  <c r="E139" i="39"/>
  <c r="F139" i="39"/>
  <c r="G139" i="39"/>
  <c r="H139" i="39"/>
  <c r="I139" i="39"/>
  <c r="J139" i="39"/>
  <c r="K139" i="39"/>
  <c r="L139" i="39"/>
  <c r="M139" i="39"/>
  <c r="N139" i="39"/>
  <c r="O139" i="39"/>
  <c r="C140" i="39"/>
  <c r="D140" i="39"/>
  <c r="E140" i="39"/>
  <c r="F140" i="39"/>
  <c r="G140" i="39"/>
  <c r="H140" i="39"/>
  <c r="I140" i="39"/>
  <c r="J140" i="39"/>
  <c r="K140" i="39"/>
  <c r="L140" i="39"/>
  <c r="M140" i="39"/>
  <c r="N140" i="39"/>
  <c r="O140" i="39"/>
  <c r="C141" i="39"/>
  <c r="D141" i="39"/>
  <c r="E141" i="39"/>
  <c r="F141" i="39"/>
  <c r="G141" i="39"/>
  <c r="H141" i="39"/>
  <c r="I141" i="39"/>
  <c r="J141" i="39"/>
  <c r="K141" i="39"/>
  <c r="L141" i="39"/>
  <c r="M141" i="39"/>
  <c r="N141" i="39"/>
  <c r="O141" i="39"/>
  <c r="C142" i="39"/>
  <c r="D142" i="39"/>
  <c r="E142" i="39"/>
  <c r="F142" i="39"/>
  <c r="G142" i="39"/>
  <c r="H142" i="39"/>
  <c r="I142" i="39"/>
  <c r="J142" i="39"/>
  <c r="K142" i="39"/>
  <c r="L142" i="39"/>
  <c r="M142" i="39"/>
  <c r="N142" i="39"/>
  <c r="O142" i="39"/>
  <c r="C143" i="39"/>
  <c r="D143" i="39"/>
  <c r="E143" i="39"/>
  <c r="F143" i="39"/>
  <c r="G143" i="39"/>
  <c r="H143" i="39"/>
  <c r="I143" i="39"/>
  <c r="J143" i="39"/>
  <c r="K143" i="39"/>
  <c r="L143" i="39"/>
  <c r="M143" i="39"/>
  <c r="N143" i="39"/>
  <c r="O143" i="39"/>
  <c r="C144" i="39"/>
  <c r="D144" i="39"/>
  <c r="E144" i="39"/>
  <c r="F144" i="39"/>
  <c r="G144" i="39"/>
  <c r="H144" i="39"/>
  <c r="I144" i="39"/>
  <c r="J144" i="39"/>
  <c r="K144" i="39"/>
  <c r="L144" i="39"/>
  <c r="M144" i="39"/>
  <c r="N144" i="39"/>
  <c r="O144" i="39"/>
  <c r="C145" i="39"/>
  <c r="D145" i="39"/>
  <c r="E145" i="39"/>
  <c r="F145" i="39"/>
  <c r="G145" i="39"/>
  <c r="H145" i="39"/>
  <c r="I145" i="39"/>
  <c r="J145" i="39"/>
  <c r="K145" i="39"/>
  <c r="L145" i="39"/>
  <c r="M145" i="39"/>
  <c r="N145" i="39"/>
  <c r="O145" i="39"/>
  <c r="C146" i="39"/>
  <c r="D146" i="39"/>
  <c r="E146" i="39"/>
  <c r="F146" i="39"/>
  <c r="G146" i="39"/>
  <c r="H146" i="39"/>
  <c r="I146" i="39"/>
  <c r="J146" i="39"/>
  <c r="K146" i="39"/>
  <c r="L146" i="39"/>
  <c r="M146" i="39"/>
  <c r="N146" i="39"/>
  <c r="O146" i="39"/>
  <c r="C147" i="39"/>
  <c r="D147" i="39"/>
  <c r="E147" i="39"/>
  <c r="F147" i="39"/>
  <c r="G147" i="39"/>
  <c r="H147" i="39"/>
  <c r="I147" i="39"/>
  <c r="J147" i="39"/>
  <c r="K147" i="39"/>
  <c r="L147" i="39"/>
  <c r="M147" i="39"/>
  <c r="N147" i="39"/>
  <c r="O147" i="39"/>
  <c r="C148" i="39"/>
  <c r="D148" i="39"/>
  <c r="E148" i="39"/>
  <c r="F148" i="39"/>
  <c r="G148" i="39"/>
  <c r="H148" i="39"/>
  <c r="I148" i="39"/>
  <c r="J148" i="39"/>
  <c r="K148" i="39"/>
  <c r="L148" i="39"/>
  <c r="M148" i="39"/>
  <c r="N148" i="39"/>
  <c r="O148" i="39"/>
  <c r="C149" i="39"/>
  <c r="D149" i="39"/>
  <c r="E149" i="39"/>
  <c r="F149" i="39"/>
  <c r="G149" i="39"/>
  <c r="H149" i="39"/>
  <c r="I149" i="39"/>
  <c r="J149" i="39"/>
  <c r="K149" i="39"/>
  <c r="L149" i="39"/>
  <c r="M149" i="39"/>
  <c r="N149" i="39"/>
  <c r="O149" i="39"/>
  <c r="C150" i="39"/>
  <c r="D150" i="39"/>
  <c r="E150" i="39"/>
  <c r="F150" i="39"/>
  <c r="G150" i="39"/>
  <c r="H150" i="39"/>
  <c r="I150" i="39"/>
  <c r="J150" i="39"/>
  <c r="K150" i="39"/>
  <c r="L150" i="39"/>
  <c r="M150" i="39"/>
  <c r="N150" i="39"/>
  <c r="O150" i="39"/>
  <c r="C151" i="39"/>
  <c r="D151" i="39"/>
  <c r="E151" i="39"/>
  <c r="F151" i="39"/>
  <c r="G151" i="39"/>
  <c r="H151" i="39"/>
  <c r="I151" i="39"/>
  <c r="J151" i="39"/>
  <c r="K151" i="39"/>
  <c r="L151" i="39"/>
  <c r="M151" i="39"/>
  <c r="N151" i="39"/>
  <c r="O151" i="39"/>
  <c r="C152" i="39"/>
  <c r="D152" i="39"/>
  <c r="E152" i="39"/>
  <c r="F152" i="39"/>
  <c r="G152" i="39"/>
  <c r="H152" i="39"/>
  <c r="I152" i="39"/>
  <c r="J152" i="39"/>
  <c r="K152" i="39"/>
  <c r="L152" i="39"/>
  <c r="M152" i="39"/>
  <c r="N152" i="39"/>
  <c r="O152" i="39"/>
  <c r="C153" i="39"/>
  <c r="D153" i="39"/>
  <c r="E153" i="39"/>
  <c r="F153" i="39"/>
  <c r="G153" i="39"/>
  <c r="H153" i="39"/>
  <c r="I153" i="39"/>
  <c r="J153" i="39"/>
  <c r="K153" i="39"/>
  <c r="L153" i="39"/>
  <c r="M153" i="39"/>
  <c r="N153" i="39"/>
  <c r="O153" i="39"/>
  <c r="C154" i="39"/>
  <c r="D154" i="39"/>
  <c r="E154" i="39"/>
  <c r="F154" i="39"/>
  <c r="G154" i="39"/>
  <c r="H154" i="39"/>
  <c r="I154" i="39"/>
  <c r="J154" i="39"/>
  <c r="K154" i="39"/>
  <c r="L154" i="39"/>
  <c r="M154" i="39"/>
  <c r="N154" i="39"/>
  <c r="O154" i="39"/>
  <c r="C155" i="39"/>
  <c r="D155" i="39"/>
  <c r="E155" i="39"/>
  <c r="F155" i="39"/>
  <c r="G155" i="39"/>
  <c r="H155" i="39"/>
  <c r="I155" i="39"/>
  <c r="J155" i="39"/>
  <c r="K155" i="39"/>
  <c r="L155" i="39"/>
  <c r="M155" i="39"/>
  <c r="N155" i="39"/>
  <c r="O155" i="39"/>
  <c r="C156" i="39"/>
  <c r="D156" i="39"/>
  <c r="E156" i="39"/>
  <c r="F156" i="39"/>
  <c r="G156" i="39"/>
  <c r="H156" i="39"/>
  <c r="I156" i="39"/>
  <c r="J156" i="39"/>
  <c r="K156" i="39"/>
  <c r="L156" i="39"/>
  <c r="M156" i="39"/>
  <c r="N156" i="39"/>
  <c r="O156" i="39"/>
  <c r="C157" i="39"/>
  <c r="D157" i="39"/>
  <c r="E157" i="39"/>
  <c r="F157" i="39"/>
  <c r="G157" i="39"/>
  <c r="H157" i="39"/>
  <c r="I157" i="39"/>
  <c r="J157" i="39"/>
  <c r="K157" i="39"/>
  <c r="L157" i="39"/>
  <c r="M157" i="39"/>
  <c r="N157" i="39"/>
  <c r="O157" i="39"/>
  <c r="C158" i="39"/>
  <c r="D158" i="39"/>
  <c r="E158" i="39"/>
  <c r="F158" i="39"/>
  <c r="G158" i="39"/>
  <c r="H158" i="39"/>
  <c r="I158" i="39"/>
  <c r="J158" i="39"/>
  <c r="K158" i="39"/>
  <c r="L158" i="39"/>
  <c r="M158" i="39"/>
  <c r="N158" i="39"/>
  <c r="O158" i="39"/>
  <c r="C159" i="39"/>
  <c r="D159" i="39"/>
  <c r="E159" i="39"/>
  <c r="F159" i="39"/>
  <c r="G159" i="39"/>
  <c r="H159" i="39"/>
  <c r="I159" i="39"/>
  <c r="J159" i="39"/>
  <c r="K159" i="39"/>
  <c r="L159" i="39"/>
  <c r="M159" i="39"/>
  <c r="N159" i="39"/>
  <c r="O159" i="39"/>
  <c r="C160" i="39"/>
  <c r="D160" i="39"/>
  <c r="E160" i="39"/>
  <c r="F160" i="39"/>
  <c r="G160" i="39"/>
  <c r="H160" i="39"/>
  <c r="I160" i="39"/>
  <c r="J160" i="39"/>
  <c r="K160" i="39"/>
  <c r="L160" i="39"/>
  <c r="M160" i="39"/>
  <c r="N160" i="39"/>
  <c r="O160" i="39"/>
  <c r="C161" i="39"/>
  <c r="D161" i="39"/>
  <c r="E161" i="39"/>
  <c r="F161" i="39"/>
  <c r="G161" i="39"/>
  <c r="H161" i="39"/>
  <c r="I161" i="39"/>
  <c r="J161" i="39"/>
  <c r="K161" i="39"/>
  <c r="L161" i="39"/>
  <c r="M161" i="39"/>
  <c r="N161" i="39"/>
  <c r="O161" i="39"/>
  <c r="C162" i="39"/>
  <c r="D162" i="39"/>
  <c r="E162" i="39"/>
  <c r="F162" i="39"/>
  <c r="G162" i="39"/>
  <c r="H162" i="39"/>
  <c r="I162" i="39"/>
  <c r="J162" i="39"/>
  <c r="K162" i="39"/>
  <c r="L162" i="39"/>
  <c r="M162" i="39"/>
  <c r="N162" i="39"/>
  <c r="O162" i="39"/>
  <c r="C163" i="39"/>
  <c r="D163" i="39"/>
  <c r="E163" i="39"/>
  <c r="F163" i="39"/>
  <c r="G163" i="39"/>
  <c r="H163" i="39"/>
  <c r="I163" i="39"/>
  <c r="J163" i="39"/>
  <c r="K163" i="39"/>
  <c r="L163" i="39"/>
  <c r="M163" i="39"/>
  <c r="N163" i="39"/>
  <c r="O163" i="39"/>
  <c r="C164" i="39"/>
  <c r="D164" i="39"/>
  <c r="E164" i="39"/>
  <c r="F164" i="39"/>
  <c r="G164" i="39"/>
  <c r="H164" i="39"/>
  <c r="I164" i="39"/>
  <c r="J164" i="39"/>
  <c r="K164" i="39"/>
  <c r="L164" i="39"/>
  <c r="M164" i="39"/>
  <c r="N164" i="39"/>
  <c r="O164" i="39"/>
  <c r="C165" i="39"/>
  <c r="D165" i="39"/>
  <c r="E165" i="39"/>
  <c r="F165" i="39"/>
  <c r="G165" i="39"/>
  <c r="H165" i="39"/>
  <c r="I165" i="39"/>
  <c r="J165" i="39"/>
  <c r="K165" i="39"/>
  <c r="L165" i="39"/>
  <c r="M165" i="39"/>
  <c r="N165" i="39"/>
  <c r="O165" i="39"/>
  <c r="C166" i="39"/>
  <c r="D166" i="39"/>
  <c r="E166" i="39"/>
  <c r="F166" i="39"/>
  <c r="G166" i="39"/>
  <c r="H166" i="39"/>
  <c r="I166" i="39"/>
  <c r="J166" i="39"/>
  <c r="K166" i="39"/>
  <c r="L166" i="39"/>
  <c r="M166" i="39"/>
  <c r="N166" i="39"/>
  <c r="O166" i="39"/>
  <c r="C167" i="39"/>
  <c r="D167" i="39"/>
  <c r="E167" i="39"/>
  <c r="F167" i="39"/>
  <c r="G167" i="39"/>
  <c r="H167" i="39"/>
  <c r="I167" i="39"/>
  <c r="J167" i="39"/>
  <c r="K167" i="39"/>
  <c r="L167" i="39"/>
  <c r="M167" i="39"/>
  <c r="N167" i="39"/>
  <c r="O167" i="39"/>
  <c r="C168" i="39"/>
  <c r="D168" i="39"/>
  <c r="E168" i="39"/>
  <c r="F168" i="39"/>
  <c r="G168" i="39"/>
  <c r="H168" i="39"/>
  <c r="I168" i="39"/>
  <c r="J168" i="39"/>
  <c r="K168" i="39"/>
  <c r="L168" i="39"/>
  <c r="M168" i="39"/>
  <c r="N168" i="39"/>
  <c r="O168" i="39"/>
  <c r="C169" i="39"/>
  <c r="D169" i="39"/>
  <c r="E169" i="39"/>
  <c r="F169" i="39"/>
  <c r="G169" i="39"/>
  <c r="H169" i="39"/>
  <c r="I169" i="39"/>
  <c r="J169" i="39"/>
  <c r="K169" i="39"/>
  <c r="L169" i="39"/>
  <c r="M169" i="39"/>
  <c r="N169" i="39"/>
  <c r="O169" i="39"/>
  <c r="C170" i="39"/>
  <c r="D170" i="39"/>
  <c r="E170" i="39"/>
  <c r="F170" i="39"/>
  <c r="G170" i="39"/>
  <c r="H170" i="39"/>
  <c r="I170" i="39"/>
  <c r="J170" i="39"/>
  <c r="K170" i="39"/>
  <c r="L170" i="39"/>
  <c r="M170" i="39"/>
  <c r="N170" i="39"/>
  <c r="O170" i="39"/>
  <c r="C171" i="39"/>
  <c r="D171" i="39"/>
  <c r="E171" i="39"/>
  <c r="F171" i="39"/>
  <c r="G171" i="39"/>
  <c r="H171" i="39"/>
  <c r="I171" i="39"/>
  <c r="J171" i="39"/>
  <c r="K171" i="39"/>
  <c r="L171" i="39"/>
  <c r="M171" i="39"/>
  <c r="N171" i="39"/>
  <c r="O171" i="39"/>
  <c r="C172" i="39"/>
  <c r="D172" i="39"/>
  <c r="E172" i="39"/>
  <c r="F172" i="39"/>
  <c r="G172" i="39"/>
  <c r="H172" i="39"/>
  <c r="I172" i="39"/>
  <c r="J172" i="39"/>
  <c r="K172" i="39"/>
  <c r="L172" i="39"/>
  <c r="M172" i="39"/>
  <c r="N172" i="39"/>
  <c r="O172" i="39"/>
  <c r="C173" i="39"/>
  <c r="D173" i="39"/>
  <c r="E173" i="39"/>
  <c r="F173" i="39"/>
  <c r="G173" i="39"/>
  <c r="H173" i="39"/>
  <c r="I173" i="39"/>
  <c r="J173" i="39"/>
  <c r="K173" i="39"/>
  <c r="L173" i="39"/>
  <c r="M173" i="39"/>
  <c r="N173" i="39"/>
  <c r="O173" i="39"/>
  <c r="C174" i="39"/>
  <c r="D174" i="39"/>
  <c r="E174" i="39"/>
  <c r="F174" i="39"/>
  <c r="G174" i="39"/>
  <c r="H174" i="39"/>
  <c r="I174" i="39"/>
  <c r="J174" i="39"/>
  <c r="K174" i="39"/>
  <c r="L174" i="39"/>
  <c r="M174" i="39"/>
  <c r="N174" i="39"/>
  <c r="O174" i="39"/>
  <c r="C175" i="39"/>
  <c r="D175" i="39"/>
  <c r="E175" i="39"/>
  <c r="F175" i="39"/>
  <c r="G175" i="39"/>
  <c r="H175" i="39"/>
  <c r="I175" i="39"/>
  <c r="J175" i="39"/>
  <c r="K175" i="39"/>
  <c r="L175" i="39"/>
  <c r="M175" i="39"/>
  <c r="N175" i="39"/>
  <c r="O175" i="39"/>
  <c r="C176" i="39"/>
  <c r="D176" i="39"/>
  <c r="E176" i="39"/>
  <c r="F176" i="39"/>
  <c r="G176" i="39"/>
  <c r="H176" i="39"/>
  <c r="I176" i="39"/>
  <c r="J176" i="39"/>
  <c r="K176" i="39"/>
  <c r="L176" i="39"/>
  <c r="M176" i="39"/>
  <c r="N176" i="39"/>
  <c r="O176" i="39"/>
  <c r="C177" i="39"/>
  <c r="D177" i="39"/>
  <c r="E177" i="39"/>
  <c r="F177" i="39"/>
  <c r="G177" i="39"/>
  <c r="H177" i="39"/>
  <c r="I177" i="39"/>
  <c r="J177" i="39"/>
  <c r="K177" i="39"/>
  <c r="L177" i="39"/>
  <c r="M177" i="39"/>
  <c r="N177" i="39"/>
  <c r="O177" i="39"/>
  <c r="C178" i="39"/>
  <c r="D178" i="39"/>
  <c r="E178" i="39"/>
  <c r="F178" i="39"/>
  <c r="G178" i="39"/>
  <c r="H178" i="39"/>
  <c r="I178" i="39"/>
  <c r="J178" i="39"/>
  <c r="K178" i="39"/>
  <c r="L178" i="39"/>
  <c r="M178" i="39"/>
  <c r="N178" i="39"/>
  <c r="O178" i="39"/>
  <c r="C179" i="39"/>
  <c r="D179" i="39"/>
  <c r="E179" i="39"/>
  <c r="F179" i="39"/>
  <c r="G179" i="39"/>
  <c r="H179" i="39"/>
  <c r="I179" i="39"/>
  <c r="J179" i="39"/>
  <c r="K179" i="39"/>
  <c r="L179" i="39"/>
  <c r="M179" i="39"/>
  <c r="N179" i="39"/>
  <c r="O179" i="39"/>
  <c r="C180" i="39"/>
  <c r="D180" i="39"/>
  <c r="E180" i="39"/>
  <c r="F180" i="39"/>
  <c r="G180" i="39"/>
  <c r="H180" i="39"/>
  <c r="I180" i="39"/>
  <c r="J180" i="39"/>
  <c r="K180" i="39"/>
  <c r="L180" i="39"/>
  <c r="M180" i="39"/>
  <c r="N180" i="39"/>
  <c r="O180" i="39"/>
  <c r="C181" i="39"/>
  <c r="D181" i="39"/>
  <c r="E181" i="39"/>
  <c r="F181" i="39"/>
  <c r="G181" i="39"/>
  <c r="H181" i="39"/>
  <c r="I181" i="39"/>
  <c r="J181" i="39"/>
  <c r="K181" i="39"/>
  <c r="L181" i="39"/>
  <c r="M181" i="39"/>
  <c r="N181" i="39"/>
  <c r="O181" i="39"/>
  <c r="C182" i="39"/>
  <c r="D182" i="39"/>
  <c r="E182" i="39"/>
  <c r="F182" i="39"/>
  <c r="G182" i="39"/>
  <c r="H182" i="39"/>
  <c r="I182" i="39"/>
  <c r="J182" i="39"/>
  <c r="K182" i="39"/>
  <c r="L182" i="39"/>
  <c r="M182" i="39"/>
  <c r="N182" i="39"/>
  <c r="O182" i="39"/>
  <c r="C183" i="39"/>
  <c r="D183" i="39"/>
  <c r="E183" i="39"/>
  <c r="F183" i="39"/>
  <c r="G183" i="39"/>
  <c r="H183" i="39"/>
  <c r="I183" i="39"/>
  <c r="J183" i="39"/>
  <c r="K183" i="39"/>
  <c r="L183" i="39"/>
  <c r="M183" i="39"/>
  <c r="N183" i="39"/>
  <c r="O183" i="39"/>
  <c r="C184" i="39"/>
  <c r="D184" i="39"/>
  <c r="E184" i="39"/>
  <c r="F184" i="39"/>
  <c r="G184" i="39"/>
  <c r="H184" i="39"/>
  <c r="I184" i="39"/>
  <c r="J184" i="39"/>
  <c r="K184" i="39"/>
  <c r="L184" i="39"/>
  <c r="M184" i="39"/>
  <c r="N184" i="39"/>
  <c r="O184" i="39"/>
  <c r="C185" i="39"/>
  <c r="D185" i="39"/>
  <c r="E185" i="39"/>
  <c r="F185" i="39"/>
  <c r="G185" i="39"/>
  <c r="H185" i="39"/>
  <c r="I185" i="39"/>
  <c r="J185" i="39"/>
  <c r="K185" i="39"/>
  <c r="L185" i="39"/>
  <c r="M185" i="39"/>
  <c r="N185" i="39"/>
  <c r="O185" i="39"/>
  <c r="C186" i="39"/>
  <c r="D186" i="39"/>
  <c r="E186" i="39"/>
  <c r="F186" i="39"/>
  <c r="G186" i="39"/>
  <c r="H186" i="39"/>
  <c r="I186" i="39"/>
  <c r="J186" i="39"/>
  <c r="K186" i="39"/>
  <c r="L186" i="39"/>
  <c r="M186" i="39"/>
  <c r="N186" i="39"/>
  <c r="O186" i="39"/>
  <c r="C187" i="39"/>
  <c r="D187" i="39"/>
  <c r="E187" i="39"/>
  <c r="F187" i="39"/>
  <c r="G187" i="39"/>
  <c r="H187" i="39"/>
  <c r="I187" i="39"/>
  <c r="J187" i="39"/>
  <c r="K187" i="39"/>
  <c r="L187" i="39"/>
  <c r="M187" i="39"/>
  <c r="N187" i="39"/>
  <c r="O187" i="39"/>
  <c r="C188" i="39"/>
  <c r="D188" i="39"/>
  <c r="E188" i="39"/>
  <c r="F188" i="39"/>
  <c r="G188" i="39"/>
  <c r="H188" i="39"/>
  <c r="I188" i="39"/>
  <c r="J188" i="39"/>
  <c r="K188" i="39"/>
  <c r="L188" i="39"/>
  <c r="M188" i="39"/>
  <c r="N188" i="39"/>
  <c r="O188" i="39"/>
  <c r="C189" i="39"/>
  <c r="D189" i="39"/>
  <c r="E189" i="39"/>
  <c r="F189" i="39"/>
  <c r="G189" i="39"/>
  <c r="H189" i="39"/>
  <c r="I189" i="39"/>
  <c r="J189" i="39"/>
  <c r="K189" i="39"/>
  <c r="L189" i="39"/>
  <c r="M189" i="39"/>
  <c r="N189" i="39"/>
  <c r="O189" i="39"/>
  <c r="C190" i="39"/>
  <c r="D190" i="39"/>
  <c r="E190" i="39"/>
  <c r="F190" i="39"/>
  <c r="G190" i="39"/>
  <c r="H190" i="39"/>
  <c r="I190" i="39"/>
  <c r="J190" i="39"/>
  <c r="K190" i="39"/>
  <c r="L190" i="39"/>
  <c r="M190" i="39"/>
  <c r="N190" i="39"/>
  <c r="O190" i="39"/>
  <c r="C191" i="39"/>
  <c r="D191" i="39"/>
  <c r="E191" i="39"/>
  <c r="F191" i="39"/>
  <c r="G191" i="39"/>
  <c r="H191" i="39"/>
  <c r="I191" i="39"/>
  <c r="J191" i="39"/>
  <c r="K191" i="39"/>
  <c r="L191" i="39"/>
  <c r="M191" i="39"/>
  <c r="N191" i="39"/>
  <c r="O191" i="39"/>
  <c r="C192" i="39"/>
  <c r="D192" i="39"/>
  <c r="E192" i="39"/>
  <c r="F192" i="39"/>
  <c r="G192" i="39"/>
  <c r="H192" i="39"/>
  <c r="I192" i="39"/>
  <c r="J192" i="39"/>
  <c r="K192" i="39"/>
  <c r="L192" i="39"/>
  <c r="M192" i="39"/>
  <c r="N192" i="39"/>
  <c r="O192" i="39"/>
  <c r="C193" i="39"/>
  <c r="D193" i="39"/>
  <c r="E193" i="39"/>
  <c r="F193" i="39"/>
  <c r="G193" i="39"/>
  <c r="H193" i="39"/>
  <c r="I193" i="39"/>
  <c r="J193" i="39"/>
  <c r="K193" i="39"/>
  <c r="L193" i="39"/>
  <c r="M193" i="39"/>
  <c r="N193" i="39"/>
  <c r="O193" i="39"/>
  <c r="C194" i="39"/>
  <c r="D194" i="39"/>
  <c r="E194" i="39"/>
  <c r="F194" i="39"/>
  <c r="G194" i="39"/>
  <c r="H194" i="39"/>
  <c r="I194" i="39"/>
  <c r="J194" i="39"/>
  <c r="K194" i="39"/>
  <c r="L194" i="39"/>
  <c r="M194" i="39"/>
  <c r="N194" i="39"/>
  <c r="O194" i="39"/>
  <c r="C195" i="39"/>
  <c r="D195" i="39"/>
  <c r="E195" i="39"/>
  <c r="F195" i="39"/>
  <c r="G195" i="39"/>
  <c r="H195" i="39"/>
  <c r="I195" i="39"/>
  <c r="J195" i="39"/>
  <c r="K195" i="39"/>
  <c r="L195" i="39"/>
  <c r="M195" i="39"/>
  <c r="N195" i="39"/>
  <c r="O195" i="39"/>
  <c r="C196" i="39"/>
  <c r="D196" i="39"/>
  <c r="E196" i="39"/>
  <c r="F196" i="39"/>
  <c r="G196" i="39"/>
  <c r="H196" i="39"/>
  <c r="I196" i="39"/>
  <c r="J196" i="39"/>
  <c r="K196" i="39"/>
  <c r="L196" i="39"/>
  <c r="M196" i="39"/>
  <c r="N196" i="39"/>
  <c r="O196" i="39"/>
  <c r="C197" i="39"/>
  <c r="D197" i="39"/>
  <c r="E197" i="39"/>
  <c r="F197" i="39"/>
  <c r="G197" i="39"/>
  <c r="H197" i="39"/>
  <c r="I197" i="39"/>
  <c r="J197" i="39"/>
  <c r="K197" i="39"/>
  <c r="L197" i="39"/>
  <c r="M197" i="39"/>
  <c r="N197" i="39"/>
  <c r="O197" i="39"/>
  <c r="C198" i="39"/>
  <c r="D198" i="39"/>
  <c r="E198" i="39"/>
  <c r="F198" i="39"/>
  <c r="G198" i="39"/>
  <c r="H198" i="39"/>
  <c r="I198" i="39"/>
  <c r="J198" i="39"/>
  <c r="K198" i="39"/>
  <c r="L198" i="39"/>
  <c r="M198" i="39"/>
  <c r="N198" i="39"/>
  <c r="O198" i="39"/>
  <c r="C199" i="39"/>
  <c r="D199" i="39"/>
  <c r="E199" i="39"/>
  <c r="F199" i="39"/>
  <c r="G199" i="39"/>
  <c r="H199" i="39"/>
  <c r="I199" i="39"/>
  <c r="J199" i="39"/>
  <c r="K199" i="39"/>
  <c r="L199" i="39"/>
  <c r="M199" i="39"/>
  <c r="N199" i="39"/>
  <c r="O199" i="39"/>
  <c r="C200" i="39"/>
  <c r="D200" i="39"/>
  <c r="E200" i="39"/>
  <c r="F200" i="39"/>
  <c r="G200" i="39"/>
  <c r="H200" i="39"/>
  <c r="I200" i="39"/>
  <c r="J200" i="39"/>
  <c r="K200" i="39"/>
  <c r="L200" i="39"/>
  <c r="M200" i="39"/>
  <c r="N200" i="39"/>
  <c r="O200" i="39"/>
  <c r="C201" i="39"/>
  <c r="D201" i="39"/>
  <c r="E201" i="39"/>
  <c r="F201" i="39"/>
  <c r="G201" i="39"/>
  <c r="H201" i="39"/>
  <c r="I201" i="39"/>
  <c r="J201" i="39"/>
  <c r="K201" i="39"/>
  <c r="L201" i="39"/>
  <c r="M201" i="39"/>
  <c r="N201" i="39"/>
  <c r="O201" i="39"/>
  <c r="C202" i="39"/>
  <c r="D202" i="39"/>
  <c r="E202" i="39"/>
  <c r="F202" i="39"/>
  <c r="G202" i="39"/>
  <c r="H202" i="39"/>
  <c r="I202" i="39"/>
  <c r="J202" i="39"/>
  <c r="K202" i="39"/>
  <c r="L202" i="39"/>
  <c r="M202" i="39"/>
  <c r="N202" i="39"/>
  <c r="O202" i="39"/>
  <c r="C203" i="39"/>
  <c r="D203" i="39"/>
  <c r="E203" i="39"/>
  <c r="F203" i="39"/>
  <c r="G203" i="39"/>
  <c r="H203" i="39"/>
  <c r="I203" i="39"/>
  <c r="J203" i="39"/>
  <c r="K203" i="39"/>
  <c r="L203" i="39"/>
  <c r="M203" i="39"/>
  <c r="N203" i="39"/>
  <c r="O203" i="39"/>
  <c r="C204" i="39"/>
  <c r="D204" i="39"/>
  <c r="E204" i="39"/>
  <c r="F204" i="39"/>
  <c r="G204" i="39"/>
  <c r="H204" i="39"/>
  <c r="I204" i="39"/>
  <c r="J204" i="39"/>
  <c r="K204" i="39"/>
  <c r="L204" i="39"/>
  <c r="M204" i="39"/>
  <c r="N204" i="39"/>
  <c r="O204" i="39"/>
  <c r="C205" i="39"/>
  <c r="D205" i="39"/>
  <c r="E205" i="39"/>
  <c r="F205" i="39"/>
  <c r="G205" i="39"/>
  <c r="H205" i="39"/>
  <c r="I205" i="39"/>
  <c r="J205" i="39"/>
  <c r="K205" i="39"/>
  <c r="L205" i="39"/>
  <c r="M205" i="39"/>
  <c r="N205" i="39"/>
  <c r="O205" i="39"/>
  <c r="C206" i="39"/>
  <c r="D206" i="39"/>
  <c r="E206" i="39"/>
  <c r="F206" i="39"/>
  <c r="G206" i="39"/>
  <c r="H206" i="39"/>
  <c r="I206" i="39"/>
  <c r="J206" i="39"/>
  <c r="K206" i="39"/>
  <c r="L206" i="39"/>
  <c r="M206" i="39"/>
  <c r="N206" i="39"/>
  <c r="O206" i="39"/>
  <c r="C207" i="39"/>
  <c r="D207" i="39"/>
  <c r="E207" i="39"/>
  <c r="F207" i="39"/>
  <c r="G207" i="39"/>
  <c r="H207" i="39"/>
  <c r="I207" i="39"/>
  <c r="J207" i="39"/>
  <c r="K207" i="39"/>
  <c r="L207" i="39"/>
  <c r="M207" i="39"/>
  <c r="N207" i="39"/>
  <c r="O207" i="39"/>
  <c r="C208" i="39"/>
  <c r="D208" i="39"/>
  <c r="E208" i="39"/>
  <c r="F208" i="39"/>
  <c r="G208" i="39"/>
  <c r="H208" i="39"/>
  <c r="I208" i="39"/>
  <c r="J208" i="39"/>
  <c r="K208" i="39"/>
  <c r="L208" i="39"/>
  <c r="M208" i="39"/>
  <c r="N208" i="39"/>
  <c r="O208" i="39"/>
  <c r="C209" i="39"/>
  <c r="D209" i="39"/>
  <c r="E209" i="39"/>
  <c r="F209" i="39"/>
  <c r="G209" i="39"/>
  <c r="H209" i="39"/>
  <c r="I209" i="39"/>
  <c r="J209" i="39"/>
  <c r="K209" i="39"/>
  <c r="L209" i="39"/>
  <c r="M209" i="39"/>
  <c r="N209" i="39"/>
  <c r="O209" i="39"/>
  <c r="C210" i="39"/>
  <c r="D210" i="39"/>
  <c r="E210" i="39"/>
  <c r="F210" i="39"/>
  <c r="G210" i="39"/>
  <c r="H210" i="39"/>
  <c r="I210" i="39"/>
  <c r="J210" i="39"/>
  <c r="K210" i="39"/>
  <c r="L210" i="39"/>
  <c r="M210" i="39"/>
  <c r="N210" i="39"/>
  <c r="O210" i="39"/>
  <c r="C211" i="39"/>
  <c r="D211" i="39"/>
  <c r="E211" i="39"/>
  <c r="F211" i="39"/>
  <c r="G211" i="39"/>
  <c r="H211" i="39"/>
  <c r="I211" i="39"/>
  <c r="J211" i="39"/>
  <c r="K211" i="39"/>
  <c r="L211" i="39"/>
  <c r="M211" i="39"/>
  <c r="N211" i="39"/>
  <c r="O211" i="39"/>
  <c r="C212" i="39"/>
  <c r="D212" i="39"/>
  <c r="E212" i="39"/>
  <c r="F212" i="39"/>
  <c r="G212" i="39"/>
  <c r="H212" i="39"/>
  <c r="I212" i="39"/>
  <c r="J212" i="39"/>
  <c r="K212" i="39"/>
  <c r="L212" i="39"/>
  <c r="M212" i="39"/>
  <c r="N212" i="39"/>
  <c r="O212" i="39"/>
  <c r="C213" i="39"/>
  <c r="D213" i="39"/>
  <c r="E213" i="39"/>
  <c r="F213" i="39"/>
  <c r="G213" i="39"/>
  <c r="H213" i="39"/>
  <c r="I213" i="39"/>
  <c r="J213" i="39"/>
  <c r="K213" i="39"/>
  <c r="L213" i="39"/>
  <c r="M213" i="39"/>
  <c r="N213" i="39"/>
  <c r="O213" i="39"/>
  <c r="C214" i="39"/>
  <c r="D214" i="39"/>
  <c r="E214" i="39"/>
  <c r="F214" i="39"/>
  <c r="G214" i="39"/>
  <c r="H214" i="39"/>
  <c r="I214" i="39"/>
  <c r="J214" i="39"/>
  <c r="K214" i="39"/>
  <c r="L214" i="39"/>
  <c r="M214" i="39"/>
  <c r="N214" i="39"/>
  <c r="O214" i="39"/>
  <c r="C215" i="39"/>
  <c r="D215" i="39"/>
  <c r="E215" i="39"/>
  <c r="F215" i="39"/>
  <c r="G215" i="39"/>
  <c r="H215" i="39"/>
  <c r="I215" i="39"/>
  <c r="J215" i="39"/>
  <c r="K215" i="39"/>
  <c r="L215" i="39"/>
  <c r="M215" i="39"/>
  <c r="N215" i="39"/>
  <c r="O215" i="39"/>
  <c r="C216" i="39"/>
  <c r="D216" i="39"/>
  <c r="E216" i="39"/>
  <c r="F216" i="39"/>
  <c r="G216" i="39"/>
  <c r="H216" i="39"/>
  <c r="I216" i="39"/>
  <c r="J216" i="39"/>
  <c r="K216" i="39"/>
  <c r="L216" i="39"/>
  <c r="M216" i="39"/>
  <c r="N216" i="39"/>
  <c r="O216" i="39"/>
  <c r="C217" i="39"/>
  <c r="D217" i="39"/>
  <c r="E217" i="39"/>
  <c r="F217" i="39"/>
  <c r="G217" i="39"/>
  <c r="H217" i="39"/>
  <c r="I217" i="39"/>
  <c r="J217" i="39"/>
  <c r="K217" i="39"/>
  <c r="L217" i="39"/>
  <c r="M217" i="39"/>
  <c r="N217" i="39"/>
  <c r="O217" i="39"/>
  <c r="C218" i="39"/>
  <c r="D218" i="39"/>
  <c r="E218" i="39"/>
  <c r="F218" i="39"/>
  <c r="G218" i="39"/>
  <c r="H218" i="39"/>
  <c r="I218" i="39"/>
  <c r="J218" i="39"/>
  <c r="K218" i="39"/>
  <c r="L218" i="39"/>
  <c r="M218" i="39"/>
  <c r="N218" i="39"/>
  <c r="O218" i="39"/>
  <c r="C219" i="39"/>
  <c r="D219" i="39"/>
  <c r="E219" i="39"/>
  <c r="F219" i="39"/>
  <c r="G219" i="39"/>
  <c r="H219" i="39"/>
  <c r="I219" i="39"/>
  <c r="J219" i="39"/>
  <c r="K219" i="39"/>
  <c r="L219" i="39"/>
  <c r="M219" i="39"/>
  <c r="N219" i="39"/>
  <c r="O219" i="39"/>
  <c r="Q188" i="39"/>
  <c r="Q159" i="39"/>
  <c r="Q176" i="39"/>
  <c r="Q122" i="39"/>
  <c r="Q160" i="39"/>
  <c r="Q125" i="39"/>
  <c r="Q187" i="39"/>
  <c r="Q201" i="39"/>
  <c r="Q191" i="39"/>
  <c r="Q206" i="39"/>
  <c r="Q184" i="39"/>
  <c r="Q162" i="39"/>
  <c r="Q129" i="39"/>
  <c r="Q152" i="39"/>
  <c r="Q161" i="39"/>
  <c r="Q174" i="39"/>
  <c r="Q143" i="39"/>
  <c r="Q175" i="39"/>
  <c r="Q128" i="39"/>
  <c r="Q207" i="39"/>
  <c r="Q168" i="39"/>
  <c r="Q127" i="39"/>
  <c r="Q190" i="39"/>
  <c r="Q126" i="39"/>
  <c r="Q114" i="39"/>
  <c r="Q146" i="39"/>
  <c r="Q139" i="39"/>
  <c r="Q189" i="39"/>
  <c r="Q210" i="39"/>
  <c r="Q192" i="39"/>
  <c r="Q203" i="39"/>
  <c r="Q142" i="39"/>
  <c r="Q214" i="39"/>
  <c r="Q186" i="39"/>
  <c r="Q204" i="39"/>
  <c r="Q177" i="39"/>
  <c r="Q202" i="39"/>
  <c r="Q145" i="39"/>
  <c r="Q123" i="39"/>
  <c r="Q121" i="39"/>
  <c r="Q171" i="39"/>
  <c r="Q156" i="39"/>
  <c r="Q155" i="39"/>
  <c r="Q157" i="39"/>
  <c r="Q154" i="39"/>
  <c r="Q173" i="39"/>
  <c r="Q167" i="39"/>
  <c r="Q170" i="39"/>
  <c r="Q209" i="39"/>
  <c r="Q200" i="39"/>
  <c r="Q219" i="39"/>
  <c r="Q138" i="39"/>
  <c r="Q208" i="39"/>
  <c r="Q169" i="39"/>
  <c r="Q215" i="39"/>
  <c r="Q120" i="39"/>
  <c r="Q199" i="39"/>
  <c r="Q136" i="39"/>
  <c r="Q193" i="39"/>
  <c r="Q205" i="39"/>
  <c r="Q135" i="39"/>
  <c r="Q178" i="39"/>
  <c r="Q163" i="39"/>
  <c r="Q119" i="39"/>
  <c r="Q150" i="39"/>
  <c r="Q183" i="39"/>
  <c r="Q153" i="39"/>
  <c r="Q130" i="39"/>
  <c r="Q172" i="39"/>
  <c r="Q151" i="39"/>
  <c r="Q197" i="39"/>
  <c r="Q141" i="39"/>
  <c r="Q117" i="39"/>
  <c r="Q124" i="39"/>
  <c r="Q149" i="39"/>
  <c r="Q213" i="39"/>
  <c r="Q133" i="39"/>
  <c r="Q194" i="39"/>
  <c r="Q132" i="39"/>
  <c r="Q218" i="39"/>
  <c r="Q118" i="39"/>
  <c r="Q211" i="39"/>
  <c r="Q212" i="39"/>
  <c r="Q165" i="39"/>
  <c r="Q195" i="39"/>
  <c r="Q180" i="39"/>
  <c r="Q179" i="39"/>
  <c r="Q131" i="39"/>
  <c r="Q137" i="39"/>
  <c r="Q116" i="39"/>
  <c r="Q148" i="39"/>
  <c r="Q196" i="39"/>
  <c r="Q166" i="39"/>
  <c r="Q216" i="39"/>
  <c r="Q147" i="39"/>
  <c r="Q158" i="39"/>
  <c r="Q164" i="39"/>
  <c r="Q185" i="39"/>
  <c r="Q140" i="39"/>
  <c r="Q115" i="39"/>
  <c r="Q134" i="39"/>
  <c r="Q181" i="39"/>
  <c r="Q182" i="39"/>
  <c r="B114" i="39"/>
  <c r="B115" i="39"/>
  <c r="B116" i="39"/>
  <c r="B117" i="39"/>
  <c r="B118" i="39"/>
  <c r="B119" i="39"/>
  <c r="B120" i="39"/>
  <c r="B121" i="39"/>
  <c r="B122" i="39"/>
  <c r="B123" i="39"/>
  <c r="B124" i="39"/>
  <c r="B125" i="39"/>
  <c r="B126" i="39"/>
  <c r="B127" i="39"/>
  <c r="B128" i="39"/>
  <c r="B129" i="39"/>
  <c r="B130" i="39"/>
  <c r="B131" i="39"/>
  <c r="B132" i="39"/>
  <c r="B133" i="39"/>
  <c r="B134" i="39"/>
  <c r="B135" i="39"/>
  <c r="B136" i="39"/>
  <c r="B137" i="39"/>
  <c r="B138" i="39"/>
  <c r="B139" i="39"/>
  <c r="B140" i="39"/>
  <c r="B141" i="39"/>
  <c r="B142" i="39"/>
  <c r="B143" i="39"/>
  <c r="B144" i="39"/>
  <c r="B145" i="39"/>
  <c r="B146" i="39"/>
  <c r="B147" i="39"/>
  <c r="B148" i="39"/>
  <c r="B149" i="39"/>
  <c r="B150" i="39"/>
  <c r="B151" i="39"/>
  <c r="B152" i="39"/>
  <c r="B153" i="39"/>
  <c r="B154" i="39"/>
  <c r="B155" i="39"/>
  <c r="B156" i="39"/>
  <c r="B157" i="39"/>
  <c r="B158" i="39"/>
  <c r="B159" i="39"/>
  <c r="B160" i="39"/>
  <c r="B161" i="39"/>
  <c r="B162" i="39"/>
  <c r="B163" i="39"/>
  <c r="B164" i="39"/>
  <c r="B165" i="39"/>
  <c r="B166" i="39"/>
  <c r="B167" i="39"/>
  <c r="B168" i="39"/>
  <c r="B169" i="39"/>
  <c r="B170" i="39"/>
  <c r="B171" i="39"/>
  <c r="B172" i="39"/>
  <c r="B173" i="39"/>
  <c r="B174" i="39"/>
  <c r="B175" i="39"/>
  <c r="B176" i="39"/>
  <c r="B177" i="39"/>
  <c r="B178" i="39"/>
  <c r="B179" i="39"/>
  <c r="B180" i="39"/>
  <c r="B181" i="39"/>
  <c r="B182" i="39"/>
  <c r="B183" i="39"/>
  <c r="B184" i="39"/>
  <c r="B185" i="39"/>
  <c r="B186" i="39"/>
  <c r="B187" i="39"/>
  <c r="B188" i="39"/>
  <c r="B189" i="39"/>
  <c r="B190" i="39"/>
  <c r="B191" i="39"/>
  <c r="B192" i="39"/>
  <c r="B193" i="39"/>
  <c r="B194" i="39"/>
  <c r="B195" i="39"/>
  <c r="B196" i="39"/>
  <c r="B197" i="39"/>
  <c r="B198" i="39"/>
  <c r="B199" i="39"/>
  <c r="B200" i="39"/>
  <c r="B201" i="39"/>
  <c r="B202" i="39"/>
  <c r="B203" i="39"/>
  <c r="B204" i="39"/>
  <c r="B205" i="39"/>
  <c r="B206" i="39"/>
  <c r="B207" i="39"/>
  <c r="B208" i="39"/>
  <c r="B209" i="39"/>
  <c r="B210" i="39"/>
  <c r="B211" i="39"/>
  <c r="B212" i="39"/>
  <c r="B213" i="39"/>
  <c r="B214" i="39"/>
  <c r="B215" i="39"/>
  <c r="B216" i="39"/>
  <c r="B217" i="39"/>
  <c r="B218" i="39"/>
  <c r="B219" i="39"/>
  <c r="AF172" i="39"/>
  <c r="AF219" i="39"/>
  <c r="AF218" i="39"/>
  <c r="AF135" i="39"/>
  <c r="AF188" i="39"/>
  <c r="AF199" i="39"/>
  <c r="AF178" i="39"/>
  <c r="AF140" i="39"/>
  <c r="AF156" i="39"/>
  <c r="AE212" i="39"/>
  <c r="AF124" i="39"/>
  <c r="AF141" i="39"/>
  <c r="AE216" i="39"/>
  <c r="AF167" i="39"/>
  <c r="AF151" i="39"/>
  <c r="AE194" i="39"/>
  <c r="AF119" i="39"/>
  <c r="AE140" i="39"/>
  <c r="AF194" i="39"/>
  <c r="AF215" i="39"/>
  <c r="AE158" i="39"/>
  <c r="AF146" i="39"/>
  <c r="AE195" i="39"/>
  <c r="AE217" i="39"/>
  <c r="AF162" i="39"/>
  <c r="AF130" i="39"/>
  <c r="AF114" i="39"/>
  <c r="AE149" i="39"/>
  <c r="AE118" i="39"/>
  <c r="AE116" i="39"/>
  <c r="AE166" i="39"/>
  <c r="AF154" i="39"/>
  <c r="AE148" i="39"/>
  <c r="AE147" i="39"/>
  <c r="AE218" i="39"/>
  <c r="AE133" i="39"/>
  <c r="AE182" i="39"/>
  <c r="AE179" i="39"/>
  <c r="AE181" i="39"/>
  <c r="AE185" i="39"/>
  <c r="AE115" i="39"/>
  <c r="AE165" i="39"/>
  <c r="AE131" i="39"/>
  <c r="AE211" i="39"/>
  <c r="AE164" i="39"/>
  <c r="AE180" i="39"/>
  <c r="AE134" i="39"/>
  <c r="AE198" i="39"/>
  <c r="AE213" i="39"/>
  <c r="AE137" i="39"/>
  <c r="AE124" i="39"/>
  <c r="AE132" i="39"/>
  <c r="AE196" i="39"/>
  <c r="AE117" i="39"/>
  <c r="AE197" i="39"/>
  <c r="AE163" i="39"/>
  <c r="AE205" i="39"/>
  <c r="AE135" i="39"/>
  <c r="AE144" i="39"/>
  <c r="AE183" i="39"/>
  <c r="AE215" i="39"/>
  <c r="AE130" i="39"/>
  <c r="AE150" i="39"/>
  <c r="AE199" i="39"/>
  <c r="AE193" i="39"/>
  <c r="AE119" i="39"/>
  <c r="AE172" i="39"/>
  <c r="AE151" i="39"/>
  <c r="AE141" i="39"/>
  <c r="AE153" i="39"/>
  <c r="AE136" i="39"/>
  <c r="AE178" i="39"/>
  <c r="AE208" i="39"/>
  <c r="AE200" i="39"/>
  <c r="AE169" i="39"/>
  <c r="AE219" i="39"/>
  <c r="AE167" i="39"/>
  <c r="AE209" i="39"/>
  <c r="AE120" i="39"/>
  <c r="AE173" i="39"/>
  <c r="AE170" i="39"/>
  <c r="AE138" i="39"/>
  <c r="AE154" i="39"/>
  <c r="AE157" i="39"/>
  <c r="AE202" i="39"/>
  <c r="AE204" i="39"/>
  <c r="AE128" i="39"/>
  <c r="AE145" i="39"/>
  <c r="AE155" i="39"/>
  <c r="AE186" i="39"/>
  <c r="AE123" i="39"/>
  <c r="AE192" i="39"/>
  <c r="AE210" i="39"/>
  <c r="AE156" i="39"/>
  <c r="AE177" i="39"/>
  <c r="AE171" i="39"/>
  <c r="AE121" i="39"/>
  <c r="AE188" i="39"/>
  <c r="AE139" i="39"/>
  <c r="AE203" i="39"/>
  <c r="AE126" i="39"/>
  <c r="AE142" i="39"/>
  <c r="AE189" i="39"/>
  <c r="AE214" i="39"/>
  <c r="AE114" i="39"/>
  <c r="AE190" i="39"/>
  <c r="AE146" i="39"/>
  <c r="AE143" i="39"/>
  <c r="AE127" i="39"/>
  <c r="AE207" i="39"/>
  <c r="AE175" i="39"/>
  <c r="AE168" i="39"/>
  <c r="AE174" i="39"/>
  <c r="AE160" i="39"/>
  <c r="AE122" i="39"/>
  <c r="AE206" i="39"/>
  <c r="AE191" i="39"/>
  <c r="AE159" i="39"/>
  <c r="AE161" i="39"/>
  <c r="AE129" i="39"/>
  <c r="AE176" i="39"/>
  <c r="AE125" i="39"/>
  <c r="AE201" i="39"/>
  <c r="AE162" i="39"/>
  <c r="AE184" i="39"/>
  <c r="AE152" i="39"/>
  <c r="AE187" i="39"/>
  <c r="AF170" i="39"/>
  <c r="AF159" i="39"/>
  <c r="AF122" i="39"/>
  <c r="AF202" i="39"/>
  <c r="AF213" i="39"/>
  <c r="AF181" i="39"/>
  <c r="AF149" i="39"/>
  <c r="AF165" i="39"/>
  <c r="AF139" i="39"/>
  <c r="AF192" i="39"/>
  <c r="AF204" i="39"/>
  <c r="AF150" i="39"/>
  <c r="AF176" i="39"/>
  <c r="AF143" i="39"/>
  <c r="AF113" i="39"/>
  <c r="AF129" i="39"/>
  <c r="AF197" i="39"/>
  <c r="AF138" i="39"/>
  <c r="AF182" i="39"/>
  <c r="AF160" i="39"/>
  <c r="AF187" i="39"/>
  <c r="AF203" i="39"/>
  <c r="AF117" i="39"/>
  <c r="AF118" i="39"/>
  <c r="AF171" i="39"/>
  <c r="AF209" i="39"/>
  <c r="AF208" i="39"/>
  <c r="AF128" i="39"/>
  <c r="AF214" i="39"/>
  <c r="AF123" i="39"/>
  <c r="AF175" i="39"/>
  <c r="AF145" i="39"/>
  <c r="AF200" i="39"/>
  <c r="AF198" i="39"/>
  <c r="AF155" i="39"/>
  <c r="AF161" i="39"/>
  <c r="AF134" i="39"/>
  <c r="AF177" i="39"/>
  <c r="AF166" i="39"/>
  <c r="AF133" i="39"/>
  <c r="AF186" i="39"/>
  <c r="AF127" i="39"/>
  <c r="AF144" i="39"/>
  <c r="AF195" i="39"/>
  <c r="AF206" i="39"/>
  <c r="AF193" i="39"/>
  <c r="AF116" i="39"/>
  <c r="AF148" i="39"/>
  <c r="AF164" i="39"/>
  <c r="AF191" i="39"/>
  <c r="AF212" i="39"/>
  <c r="AF121" i="39"/>
  <c r="AF153" i="39"/>
  <c r="AF169" i="39"/>
  <c r="AF185" i="39"/>
  <c r="AF132" i="39"/>
  <c r="AF201" i="39"/>
  <c r="AF163" i="39"/>
  <c r="AF126" i="39"/>
  <c r="AF210" i="39"/>
  <c r="AF142" i="39"/>
  <c r="AF115" i="39"/>
  <c r="AF174" i="39"/>
  <c r="AF190" i="39"/>
  <c r="AF196" i="39"/>
  <c r="AF207" i="39"/>
  <c r="AF120" i="39"/>
  <c r="AF137" i="39"/>
  <c r="AF216" i="39"/>
  <c r="AF211" i="39"/>
  <c r="AF131" i="39"/>
  <c r="AF147" i="39"/>
  <c r="AF179" i="39"/>
  <c r="AF180" i="39"/>
  <c r="AF136" i="39"/>
  <c r="AF152" i="39"/>
  <c r="AF168" i="39"/>
  <c r="AF184" i="39"/>
  <c r="AF157" i="39"/>
  <c r="AF158" i="39"/>
  <c r="AF125" i="39"/>
  <c r="AF189" i="39"/>
  <c r="AF173" i="39"/>
  <c r="AF205" i="39"/>
  <c r="AD125" i="39"/>
  <c r="AE113" i="39"/>
  <c r="AF183" i="39"/>
  <c r="AD141" i="39"/>
  <c r="AD157" i="39"/>
  <c r="AD173" i="39"/>
  <c r="AD189" i="39"/>
  <c r="AD205" i="39"/>
  <c r="AD124" i="39"/>
  <c r="AD140" i="39"/>
  <c r="AD156" i="39"/>
  <c r="AD172" i="39"/>
  <c r="AD188" i="39"/>
  <c r="AD204" i="39"/>
  <c r="AD159" i="39"/>
  <c r="AD191" i="39"/>
  <c r="AD207" i="39"/>
  <c r="AD123" i="39"/>
  <c r="AD139" i="39"/>
  <c r="AD155" i="39"/>
  <c r="AD171" i="39"/>
  <c r="AD187" i="39"/>
  <c r="AD203" i="39"/>
  <c r="AD219" i="39"/>
  <c r="AD158" i="39"/>
  <c r="AD122" i="39"/>
  <c r="AD138" i="39"/>
  <c r="AD154" i="39"/>
  <c r="AD170" i="39"/>
  <c r="AD186" i="39"/>
  <c r="AD202" i="39"/>
  <c r="AD218" i="39"/>
  <c r="AD214" i="39"/>
  <c r="AD121" i="39"/>
  <c r="AD137" i="39"/>
  <c r="AD153" i="39"/>
  <c r="AD169" i="39"/>
  <c r="AD185" i="39"/>
  <c r="AD201" i="39"/>
  <c r="AD217" i="39"/>
  <c r="AD198" i="39"/>
  <c r="AD142" i="39"/>
  <c r="AD120" i="39"/>
  <c r="AD136" i="39"/>
  <c r="AD152" i="39"/>
  <c r="AD168" i="39"/>
  <c r="AD184" i="39"/>
  <c r="AD200" i="39"/>
  <c r="AD216" i="39"/>
  <c r="AD119" i="39"/>
  <c r="AD135" i="39"/>
  <c r="AD151" i="39"/>
  <c r="AD167" i="39"/>
  <c r="AD183" i="39"/>
  <c r="AD199" i="39"/>
  <c r="AD215" i="39"/>
  <c r="AD182" i="39"/>
  <c r="AD143" i="39"/>
  <c r="AD118" i="39"/>
  <c r="AD134" i="39"/>
  <c r="AD150" i="39"/>
  <c r="AD166" i="39"/>
  <c r="AD117" i="39"/>
  <c r="AD133" i="39"/>
  <c r="AD149" i="39"/>
  <c r="AD165" i="39"/>
  <c r="AD181" i="39"/>
  <c r="AD197" i="39"/>
  <c r="AD213" i="39"/>
  <c r="AF217" i="39"/>
  <c r="AD209" i="39"/>
  <c r="AD208" i="39"/>
  <c r="AD126" i="39"/>
  <c r="AD116" i="39"/>
  <c r="AD132" i="39"/>
  <c r="AD148" i="39"/>
  <c r="AD164" i="39"/>
  <c r="AD180" i="39"/>
  <c r="AD196" i="39"/>
  <c r="AD212" i="39"/>
  <c r="AD176" i="39"/>
  <c r="AD175" i="39"/>
  <c r="AD115" i="39"/>
  <c r="AD131" i="39"/>
  <c r="AD147" i="39"/>
  <c r="AD163" i="39"/>
  <c r="AD179" i="39"/>
  <c r="AD195" i="39"/>
  <c r="AD211" i="39"/>
  <c r="AD114" i="39"/>
  <c r="AD130" i="39"/>
  <c r="AD146" i="39"/>
  <c r="AD162" i="39"/>
  <c r="AD178" i="39"/>
  <c r="AD194" i="39"/>
  <c r="AD210" i="39"/>
  <c r="AD161" i="39"/>
  <c r="AD177" i="39"/>
  <c r="AD193" i="39"/>
  <c r="AD113" i="39"/>
  <c r="AD129" i="39"/>
  <c r="AD145" i="39"/>
  <c r="AD128" i="39"/>
  <c r="AD144" i="39"/>
  <c r="AD160" i="39"/>
  <c r="AD192" i="39"/>
  <c r="AD127" i="39"/>
  <c r="AD174" i="39"/>
  <c r="AD206" i="39"/>
  <c r="AD190" i="39"/>
  <c r="U50" i="38" l="1"/>
  <c r="U49" i="38"/>
  <c r="U48" i="38"/>
  <c r="U47" i="38"/>
  <c r="U46" i="38"/>
  <c r="U45" i="38"/>
  <c r="U44" i="38"/>
  <c r="U43" i="38"/>
  <c r="U42" i="38"/>
  <c r="C29" i="38"/>
  <c r="L35" i="38"/>
  <c r="C34" i="38"/>
  <c r="D26" i="38"/>
  <c r="L30" i="38"/>
  <c r="N27" i="38"/>
  <c r="H28" i="38"/>
  <c r="F31" i="38"/>
  <c r="D34" i="38"/>
  <c r="N35" i="38"/>
  <c r="J33" i="38"/>
  <c r="F37" i="38"/>
  <c r="E37" i="38"/>
  <c r="D37" i="38"/>
  <c r="E26" i="38"/>
  <c r="I28" i="38"/>
  <c r="M30" i="38"/>
  <c r="G31" i="38"/>
  <c r="K33" i="38"/>
  <c r="G37" i="38"/>
  <c r="H33" i="38"/>
  <c r="E34" i="38"/>
  <c r="N38" i="38"/>
  <c r="C36" i="38"/>
  <c r="M35" i="38"/>
  <c r="L33" i="38"/>
  <c r="F26" i="38"/>
  <c r="J28" i="38"/>
  <c r="G28" i="38"/>
  <c r="D29" i="38"/>
  <c r="H31" i="38"/>
  <c r="F34" i="38"/>
  <c r="N30" i="38"/>
  <c r="D36" i="38"/>
  <c r="H37" i="38"/>
  <c r="K30" i="38"/>
  <c r="D31" i="38"/>
  <c r="G26" i="38"/>
  <c r="E29" i="38"/>
  <c r="I31" i="38"/>
  <c r="K28" i="38"/>
  <c r="C32" i="38"/>
  <c r="G34" i="38"/>
  <c r="M33" i="38"/>
  <c r="E36" i="38"/>
  <c r="I37" i="38"/>
  <c r="C38" i="38"/>
  <c r="F28" i="38"/>
  <c r="H26" i="38"/>
  <c r="L28" i="38"/>
  <c r="I33" i="38"/>
  <c r="C26" i="38"/>
  <c r="F29" i="38"/>
  <c r="D32" i="38"/>
  <c r="J31" i="38"/>
  <c r="H34" i="38"/>
  <c r="J37" i="38"/>
  <c r="N33" i="38"/>
  <c r="F36" i="38"/>
  <c r="D38" i="38"/>
  <c r="J30" i="38"/>
  <c r="I26" i="38"/>
  <c r="M28" i="38"/>
  <c r="C27" i="38"/>
  <c r="E31" i="38"/>
  <c r="G29" i="38"/>
  <c r="K31" i="38"/>
  <c r="E32" i="38"/>
  <c r="I34" i="38"/>
  <c r="C35" i="38"/>
  <c r="G36" i="38"/>
  <c r="K37" i="38"/>
  <c r="E38" i="38"/>
  <c r="J26" i="38"/>
  <c r="D27" i="38"/>
  <c r="H29" i="38"/>
  <c r="N28" i="38"/>
  <c r="F32" i="38"/>
  <c r="J34" i="38"/>
  <c r="H36" i="38"/>
  <c r="L31" i="38"/>
  <c r="L37" i="38"/>
  <c r="D35" i="38"/>
  <c r="F38" i="38"/>
  <c r="M27" i="38"/>
  <c r="K26" i="38"/>
  <c r="E27" i="38"/>
  <c r="I29" i="38"/>
  <c r="C30" i="38"/>
  <c r="G32" i="38"/>
  <c r="E35" i="38"/>
  <c r="M31" i="38"/>
  <c r="K34" i="38"/>
  <c r="I36" i="38"/>
  <c r="M37" i="38"/>
  <c r="G38" i="38"/>
  <c r="L27" i="38"/>
  <c r="L26" i="38"/>
  <c r="F27" i="38"/>
  <c r="J29" i="38"/>
  <c r="N31" i="38"/>
  <c r="D30" i="38"/>
  <c r="H32" i="38"/>
  <c r="F35" i="38"/>
  <c r="L34" i="38"/>
  <c r="J36" i="38"/>
  <c r="N32" i="38"/>
  <c r="N37" i="38"/>
  <c r="H38" i="38"/>
  <c r="M26" i="38"/>
  <c r="G27" i="38"/>
  <c r="K29" i="38"/>
  <c r="C33" i="38"/>
  <c r="E30" i="38"/>
  <c r="I32" i="38"/>
  <c r="G35" i="38"/>
  <c r="M34" i="38"/>
  <c r="K36" i="38"/>
  <c r="N26" i="38"/>
  <c r="H27" i="38"/>
  <c r="I38" i="38"/>
  <c r="L29" i="38"/>
  <c r="J32" i="38"/>
  <c r="F30" i="38"/>
  <c r="D33" i="38"/>
  <c r="N34" i="38"/>
  <c r="K38" i="38"/>
  <c r="M36" i="38"/>
  <c r="N29" i="38"/>
  <c r="D28" i="38"/>
  <c r="H30" i="38"/>
  <c r="L32" i="38"/>
  <c r="J35" i="38"/>
  <c r="F33" i="38"/>
  <c r="C31" i="38"/>
  <c r="M32" i="38"/>
  <c r="I30" i="38"/>
  <c r="G33" i="38"/>
  <c r="K35" i="38"/>
  <c r="M38" i="38"/>
  <c r="C37" i="38"/>
  <c r="J27" i="38"/>
  <c r="I35" i="38"/>
  <c r="J38" i="38"/>
  <c r="L38" i="38"/>
  <c r="L36" i="38"/>
  <c r="C28" i="38"/>
  <c r="E28" i="38"/>
  <c r="H35" i="38"/>
  <c r="I27" i="38"/>
  <c r="E33" i="38"/>
  <c r="N36" i="38"/>
  <c r="M29" i="38"/>
  <c r="G30" i="38"/>
  <c r="K27" i="38"/>
  <c r="K32" i="38"/>
  <c r="U59" i="38"/>
  <c r="T59" i="38"/>
  <c r="U58" i="38"/>
  <c r="T58" i="38"/>
  <c r="U57" i="38"/>
  <c r="T57" i="38"/>
  <c r="U56" i="38"/>
  <c r="T56" i="38"/>
  <c r="W55" i="38"/>
  <c r="U55" i="38"/>
  <c r="T55" i="38"/>
  <c r="U54" i="38"/>
  <c r="T54" i="38"/>
  <c r="U53" i="38"/>
  <c r="T53" i="38"/>
  <c r="U52" i="38"/>
  <c r="T52" i="38"/>
  <c r="U51" i="38"/>
  <c r="T51" i="38"/>
  <c r="V50" i="38"/>
  <c r="T50" i="38"/>
  <c r="V49" i="38"/>
  <c r="T49" i="38"/>
  <c r="W59" i="38"/>
  <c r="V48" i="38"/>
  <c r="T48" i="38"/>
  <c r="W58" i="38"/>
  <c r="V47" i="38"/>
  <c r="T47" i="38"/>
  <c r="W57" i="38"/>
  <c r="V46" i="38"/>
  <c r="T46" i="38"/>
  <c r="W56" i="38"/>
  <c r="V45" i="38"/>
  <c r="T45" i="38"/>
  <c r="V44" i="38"/>
  <c r="T44" i="38"/>
  <c r="W54" i="38"/>
  <c r="V43" i="38"/>
  <c r="T43" i="38"/>
  <c r="W53" i="38"/>
  <c r="V42" i="38"/>
  <c r="T42" i="38"/>
  <c r="W52" i="38"/>
  <c r="W51" i="38"/>
  <c r="AM34" i="38"/>
  <c r="AL34" i="38"/>
  <c r="AK34" i="38"/>
  <c r="AJ34" i="38"/>
  <c r="AI34" i="38"/>
  <c r="AH34" i="38"/>
  <c r="AG34" i="38"/>
  <c r="AF34" i="38"/>
  <c r="AE34" i="38"/>
  <c r="AO34" i="38" s="1"/>
  <c r="AO33" i="38"/>
  <c r="AM33" i="38"/>
  <c r="AL33" i="38"/>
  <c r="AK33" i="38"/>
  <c r="AJ33" i="38"/>
  <c r="AI33" i="38"/>
  <c r="AH33" i="38"/>
  <c r="AG33" i="38"/>
  <c r="AF33" i="38"/>
  <c r="AE33" i="38"/>
  <c r="AM32" i="38"/>
  <c r="AL32" i="38"/>
  <c r="AK32" i="38"/>
  <c r="AJ32" i="38"/>
  <c r="AI32" i="38"/>
  <c r="AH32" i="38"/>
  <c r="AG32" i="38"/>
  <c r="AF32" i="38"/>
  <c r="AE32" i="38"/>
  <c r="AO32" i="38" s="1"/>
  <c r="AM31" i="38"/>
  <c r="AL31" i="38"/>
  <c r="AK31" i="38"/>
  <c r="AJ31" i="38"/>
  <c r="AO31" i="38" s="1"/>
  <c r="AI31" i="38"/>
  <c r="AH31" i="38"/>
  <c r="AG31" i="38"/>
  <c r="AF31" i="38"/>
  <c r="AE31" i="38"/>
  <c r="AM30" i="38"/>
  <c r="AL30" i="38"/>
  <c r="AK30" i="38"/>
  <c r="AJ30" i="38"/>
  <c r="AI30" i="38"/>
  <c r="AH30" i="38"/>
  <c r="AG30" i="38"/>
  <c r="AF30" i="38"/>
  <c r="AE30" i="38"/>
  <c r="AO30" i="38" s="1"/>
  <c r="AM29" i="38"/>
  <c r="AL29" i="38"/>
  <c r="AK29" i="38"/>
  <c r="AJ29" i="38"/>
  <c r="AI29" i="38"/>
  <c r="AH29" i="38"/>
  <c r="AG29" i="38"/>
  <c r="AF29" i="38"/>
  <c r="AO29" i="38" s="1"/>
  <c r="AE29" i="38"/>
  <c r="AM28" i="38"/>
  <c r="AL28" i="38"/>
  <c r="AO28" i="38" s="1"/>
  <c r="AK28" i="38"/>
  <c r="AJ28" i="38"/>
  <c r="AI28" i="38"/>
  <c r="AH28" i="38"/>
  <c r="AG28" i="38"/>
  <c r="AF28" i="38"/>
  <c r="AE28" i="38"/>
  <c r="AM27" i="38"/>
  <c r="AL27" i="38"/>
  <c r="AK27" i="38"/>
  <c r="AJ27" i="38"/>
  <c r="AI27" i="38"/>
  <c r="AH27" i="38"/>
  <c r="AG27" i="38"/>
  <c r="AF27" i="38"/>
  <c r="AE27" i="38"/>
  <c r="AO27" i="38" s="1"/>
  <c r="AM26" i="38"/>
  <c r="AL26" i="38"/>
  <c r="AK26" i="38"/>
  <c r="AJ26" i="38"/>
  <c r="AI26" i="38"/>
  <c r="AH26" i="38"/>
  <c r="AG26" i="38"/>
  <c r="AF26" i="38"/>
  <c r="AE26" i="38"/>
  <c r="AO26" i="38" s="1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C16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C15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C14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C13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C12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C11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C10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D9" i="38"/>
  <c r="C9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C8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C7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D6" i="38"/>
  <c r="C6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C4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C3" i="38"/>
  <c r="AA54" i="38"/>
  <c r="AA50" i="38"/>
  <c r="AA47" i="38"/>
  <c r="AA53" i="38"/>
  <c r="AA49" i="38"/>
  <c r="AA52" i="38"/>
  <c r="AA46" i="38"/>
  <c r="AA45" i="38"/>
  <c r="AA55" i="38"/>
  <c r="AA51" i="38"/>
  <c r="AA48" i="38"/>
  <c r="AA44" i="38"/>
  <c r="AA42" i="38"/>
  <c r="AA43" i="38"/>
  <c r="AK42" i="38" l="1"/>
  <c r="AE41" i="38"/>
  <c r="AK37" i="38"/>
  <c r="AH38" i="38"/>
  <c r="AF41" i="38"/>
  <c r="AM42" i="38"/>
  <c r="AH44" i="38"/>
  <c r="B42" i="38"/>
  <c r="W43" i="38" s="1"/>
  <c r="AF44" i="38"/>
  <c r="AG44" i="38"/>
  <c r="AL37" i="38"/>
  <c r="AI38" i="38"/>
  <c r="AG41" i="38"/>
  <c r="AE43" i="38"/>
  <c r="AI44" i="38"/>
  <c r="AM45" i="38"/>
  <c r="AL42" i="38"/>
  <c r="B49" i="38"/>
  <c r="W50" i="38" s="1"/>
  <c r="AM37" i="38"/>
  <c r="AK40" i="38"/>
  <c r="AH41" i="38"/>
  <c r="AF43" i="38"/>
  <c r="AF38" i="38"/>
  <c r="AJ38" i="38"/>
  <c r="AE39" i="38"/>
  <c r="AL40" i="38"/>
  <c r="B45" i="38"/>
  <c r="W46" i="38" s="1"/>
  <c r="AI41" i="38"/>
  <c r="B43" i="38"/>
  <c r="W44" i="38" s="1"/>
  <c r="AG43" i="38"/>
  <c r="AJ44" i="38"/>
  <c r="B41" i="38"/>
  <c r="W42" i="38" s="1"/>
  <c r="AE45" i="38"/>
  <c r="B46" i="38"/>
  <c r="W47" i="38" s="1"/>
  <c r="AJ40" i="38"/>
  <c r="AF39" i="38"/>
  <c r="AM40" i="38"/>
  <c r="AH43" i="38"/>
  <c r="AF45" i="38"/>
  <c r="AG38" i="38"/>
  <c r="AG39" i="38"/>
  <c r="AJ41" i="38"/>
  <c r="AE42" i="38"/>
  <c r="AI43" i="38"/>
  <c r="AG45" i="38"/>
  <c r="AK38" i="38"/>
  <c r="AH39" i="38"/>
  <c r="AF42" i="38"/>
  <c r="AK44" i="38"/>
  <c r="AH45" i="38"/>
  <c r="AE37" i="38"/>
  <c r="B48" i="38"/>
  <c r="W49" i="38" s="1"/>
  <c r="AL38" i="38"/>
  <c r="AI39" i="38"/>
  <c r="AG42" i="38"/>
  <c r="AJ43" i="38"/>
  <c r="AL44" i="38"/>
  <c r="AI45" i="38"/>
  <c r="AF37" i="38"/>
  <c r="AM38" i="38"/>
  <c r="AK41" i="38"/>
  <c r="B44" i="38"/>
  <c r="W45" i="38" s="1"/>
  <c r="AH42" i="38"/>
  <c r="AM44" i="38"/>
  <c r="AM39" i="38"/>
  <c r="AG37" i="38"/>
  <c r="AJ39" i="38"/>
  <c r="AE40" i="38"/>
  <c r="AL41" i="38"/>
  <c r="AI42" i="38"/>
  <c r="AJ45" i="38"/>
  <c r="AH37" i="38"/>
  <c r="AF40" i="38"/>
  <c r="AM41" i="38"/>
  <c r="AK43" i="38"/>
  <c r="AI37" i="38"/>
  <c r="AG40" i="38"/>
  <c r="AJ42" i="38"/>
  <c r="AL43" i="38"/>
  <c r="B47" i="38"/>
  <c r="W48" i="38" s="1"/>
  <c r="AK39" i="38"/>
  <c r="AH40" i="38"/>
  <c r="AM43" i="38"/>
  <c r="AK45" i="38"/>
  <c r="AJ37" i="38"/>
  <c r="AE38" i="38"/>
  <c r="AL39" i="38"/>
  <c r="AI40" i="38"/>
  <c r="AE44" i="38"/>
  <c r="AL45" i="38"/>
  <c r="C3" i="37"/>
  <c r="D3" i="37"/>
  <c r="E3" i="37"/>
  <c r="F3" i="37"/>
  <c r="G3" i="37"/>
  <c r="H3" i="37"/>
  <c r="I3" i="37"/>
  <c r="J3" i="37"/>
  <c r="K3" i="37"/>
  <c r="L3" i="37"/>
  <c r="M3" i="37"/>
  <c r="N3" i="37"/>
  <c r="O3" i="37"/>
  <c r="P3" i="37"/>
  <c r="C4" i="37"/>
  <c r="D4" i="37"/>
  <c r="E4" i="37"/>
  <c r="F4" i="37"/>
  <c r="G4" i="37"/>
  <c r="H4" i="37"/>
  <c r="I4" i="37"/>
  <c r="J4" i="37"/>
  <c r="K4" i="37"/>
  <c r="L4" i="37"/>
  <c r="M4" i="37"/>
  <c r="N4" i="37"/>
  <c r="O4" i="37"/>
  <c r="P4" i="37"/>
  <c r="C5" i="37"/>
  <c r="D5" i="37"/>
  <c r="E5" i="37"/>
  <c r="F5" i="37"/>
  <c r="G5" i="37"/>
  <c r="H5" i="37"/>
  <c r="I5" i="37"/>
  <c r="J5" i="37"/>
  <c r="K5" i="37"/>
  <c r="L5" i="37"/>
  <c r="M5" i="37"/>
  <c r="N5" i="37"/>
  <c r="O5" i="37"/>
  <c r="P5" i="37"/>
  <c r="C6" i="37"/>
  <c r="D6" i="37"/>
  <c r="E6" i="37"/>
  <c r="F6" i="37"/>
  <c r="G6" i="37"/>
  <c r="H6" i="37"/>
  <c r="I6" i="37"/>
  <c r="J6" i="37"/>
  <c r="K6" i="37"/>
  <c r="L6" i="37"/>
  <c r="M6" i="37"/>
  <c r="N6" i="37"/>
  <c r="O6" i="37"/>
  <c r="P6" i="37"/>
  <c r="C7" i="37"/>
  <c r="D7" i="37"/>
  <c r="E7" i="37"/>
  <c r="F7" i="37"/>
  <c r="G7" i="37"/>
  <c r="H7" i="37"/>
  <c r="I7" i="37"/>
  <c r="J7" i="37"/>
  <c r="K7" i="37"/>
  <c r="L7" i="37"/>
  <c r="M7" i="37"/>
  <c r="N7" i="37"/>
  <c r="O7" i="37"/>
  <c r="P7" i="37"/>
  <c r="C8" i="37"/>
  <c r="D8" i="37"/>
  <c r="E8" i="37"/>
  <c r="F8" i="37"/>
  <c r="G8" i="37"/>
  <c r="H8" i="37"/>
  <c r="I8" i="37"/>
  <c r="J8" i="37"/>
  <c r="K8" i="37"/>
  <c r="L8" i="37"/>
  <c r="M8" i="37"/>
  <c r="N8" i="37"/>
  <c r="O8" i="37"/>
  <c r="P8" i="37"/>
  <c r="C9" i="37"/>
  <c r="D9" i="37"/>
  <c r="E9" i="37"/>
  <c r="F9" i="37"/>
  <c r="G9" i="37"/>
  <c r="H9" i="37"/>
  <c r="I9" i="37"/>
  <c r="J9" i="37"/>
  <c r="K9" i="37"/>
  <c r="L9" i="37"/>
  <c r="M9" i="37"/>
  <c r="N9" i="37"/>
  <c r="O9" i="37"/>
  <c r="P9" i="37"/>
  <c r="C10" i="37"/>
  <c r="D10" i="37"/>
  <c r="E10" i="37"/>
  <c r="F10" i="37"/>
  <c r="G10" i="37"/>
  <c r="H10" i="37"/>
  <c r="I10" i="37"/>
  <c r="J10" i="37"/>
  <c r="K10" i="37"/>
  <c r="L10" i="37"/>
  <c r="M10" i="37"/>
  <c r="N10" i="37"/>
  <c r="O10" i="37"/>
  <c r="P10" i="37"/>
  <c r="C11" i="37"/>
  <c r="D11" i="37"/>
  <c r="E11" i="37"/>
  <c r="F11" i="37"/>
  <c r="G11" i="37"/>
  <c r="H11" i="37"/>
  <c r="I11" i="37"/>
  <c r="J11" i="37"/>
  <c r="K11" i="37"/>
  <c r="L11" i="37"/>
  <c r="M11" i="37"/>
  <c r="N11" i="37"/>
  <c r="O11" i="37"/>
  <c r="P11" i="37"/>
  <c r="C12" i="37"/>
  <c r="D12" i="37"/>
  <c r="E12" i="37"/>
  <c r="F12" i="37"/>
  <c r="G12" i="37"/>
  <c r="H12" i="37"/>
  <c r="I12" i="37"/>
  <c r="J12" i="37"/>
  <c r="K12" i="37"/>
  <c r="L12" i="37"/>
  <c r="M12" i="37"/>
  <c r="N12" i="37"/>
  <c r="O12" i="37"/>
  <c r="P12" i="37"/>
  <c r="C13" i="37"/>
  <c r="D13" i="37"/>
  <c r="E13" i="37"/>
  <c r="F13" i="37"/>
  <c r="G13" i="37"/>
  <c r="H13" i="37"/>
  <c r="I13" i="37"/>
  <c r="J13" i="37"/>
  <c r="K13" i="37"/>
  <c r="L13" i="37"/>
  <c r="M13" i="37"/>
  <c r="N13" i="37"/>
  <c r="O13" i="37"/>
  <c r="P13" i="37"/>
  <c r="C14" i="37"/>
  <c r="D14" i="37"/>
  <c r="E14" i="37"/>
  <c r="F14" i="37"/>
  <c r="G14" i="37"/>
  <c r="H14" i="37"/>
  <c r="I14" i="37"/>
  <c r="J14" i="37"/>
  <c r="K14" i="37"/>
  <c r="L14" i="37"/>
  <c r="M14" i="37"/>
  <c r="N14" i="37"/>
  <c r="O14" i="37"/>
  <c r="P14" i="37"/>
  <c r="C15" i="37"/>
  <c r="D15" i="37"/>
  <c r="E15" i="37"/>
  <c r="F15" i="37"/>
  <c r="G15" i="37"/>
  <c r="H15" i="37"/>
  <c r="I15" i="37"/>
  <c r="J15" i="37"/>
  <c r="K15" i="37"/>
  <c r="L15" i="37"/>
  <c r="M15" i="37"/>
  <c r="N15" i="37"/>
  <c r="O15" i="37"/>
  <c r="P15" i="37"/>
  <c r="C16" i="37"/>
  <c r="D16" i="37"/>
  <c r="E16" i="37"/>
  <c r="F16" i="37"/>
  <c r="G16" i="37"/>
  <c r="H16" i="37"/>
  <c r="I16" i="37"/>
  <c r="J16" i="37"/>
  <c r="K16" i="37"/>
  <c r="L16" i="37"/>
  <c r="M16" i="37"/>
  <c r="N16" i="37"/>
  <c r="O16" i="37"/>
  <c r="P16" i="37"/>
  <c r="C17" i="37"/>
  <c r="D17" i="37"/>
  <c r="E17" i="37"/>
  <c r="F17" i="37"/>
  <c r="G17" i="37"/>
  <c r="H17" i="37"/>
  <c r="I17" i="37"/>
  <c r="J17" i="37"/>
  <c r="K17" i="37"/>
  <c r="L17" i="37"/>
  <c r="M17" i="37"/>
  <c r="N17" i="37"/>
  <c r="O17" i="37"/>
  <c r="P17" i="37"/>
  <c r="C18" i="37"/>
  <c r="D18" i="37"/>
  <c r="E18" i="37"/>
  <c r="F18" i="37"/>
  <c r="G18" i="37"/>
  <c r="H18" i="37"/>
  <c r="I18" i="37"/>
  <c r="J18" i="37"/>
  <c r="K18" i="37"/>
  <c r="L18" i="37"/>
  <c r="M18" i="37"/>
  <c r="N18" i="37"/>
  <c r="O18" i="37"/>
  <c r="P18" i="37"/>
  <c r="C19" i="37"/>
  <c r="D19" i="37"/>
  <c r="E19" i="37"/>
  <c r="F19" i="37"/>
  <c r="G19" i="37"/>
  <c r="H19" i="37"/>
  <c r="I19" i="37"/>
  <c r="J19" i="37"/>
  <c r="K19" i="37"/>
  <c r="L19" i="37"/>
  <c r="M19" i="37"/>
  <c r="N19" i="37"/>
  <c r="O19" i="37"/>
  <c r="P19" i="37"/>
  <c r="C20" i="37"/>
  <c r="D20" i="37"/>
  <c r="E20" i="37"/>
  <c r="F20" i="37"/>
  <c r="G20" i="37"/>
  <c r="H20" i="37"/>
  <c r="I20" i="37"/>
  <c r="J20" i="37"/>
  <c r="K20" i="37"/>
  <c r="L20" i="37"/>
  <c r="M20" i="37"/>
  <c r="N20" i="37"/>
  <c r="O20" i="37"/>
  <c r="P20" i="37"/>
  <c r="C21" i="37"/>
  <c r="D21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C22" i="37"/>
  <c r="D22" i="37"/>
  <c r="E22" i="37"/>
  <c r="F22" i="37"/>
  <c r="G22" i="37"/>
  <c r="H22" i="37"/>
  <c r="I22" i="37"/>
  <c r="J22" i="37"/>
  <c r="K22" i="37"/>
  <c r="L22" i="37"/>
  <c r="M22" i="37"/>
  <c r="N22" i="37"/>
  <c r="O22" i="37"/>
  <c r="P22" i="37"/>
  <c r="Q3" i="37"/>
  <c r="Q4" i="37"/>
  <c r="Q5" i="37"/>
  <c r="Q6" i="37"/>
  <c r="Q7" i="37"/>
  <c r="Q8" i="37"/>
  <c r="Q9" i="37"/>
  <c r="Q10" i="37"/>
  <c r="Q11" i="37"/>
  <c r="Q12" i="37"/>
  <c r="Q13" i="37"/>
  <c r="Q14" i="37"/>
  <c r="Q15" i="37"/>
  <c r="Q16" i="37"/>
  <c r="Q17" i="37"/>
  <c r="Q18" i="37"/>
  <c r="Q19" i="37"/>
  <c r="Q20" i="37"/>
  <c r="Q21" i="37"/>
  <c r="Q22" i="37"/>
  <c r="AO43" i="38" l="1"/>
  <c r="AO42" i="38"/>
  <c r="AO44" i="38"/>
  <c r="AO39" i="38"/>
  <c r="AO38" i="38"/>
  <c r="AO40" i="38"/>
  <c r="AO37" i="38"/>
  <c r="AO41" i="38"/>
  <c r="AO45" i="38"/>
  <c r="U59" i="37"/>
  <c r="T59" i="37"/>
  <c r="U58" i="37"/>
  <c r="T58" i="37"/>
  <c r="U57" i="37"/>
  <c r="T57" i="37"/>
  <c r="U56" i="37"/>
  <c r="T56" i="37"/>
  <c r="U55" i="37"/>
  <c r="T55" i="37"/>
  <c r="U54" i="37"/>
  <c r="T54" i="37"/>
  <c r="U53" i="37"/>
  <c r="T53" i="37"/>
  <c r="U52" i="37"/>
  <c r="T52" i="37"/>
  <c r="U51" i="37"/>
  <c r="T51" i="37"/>
  <c r="V50" i="37"/>
  <c r="U50" i="37"/>
  <c r="T50" i="37"/>
  <c r="V49" i="37"/>
  <c r="U49" i="37"/>
  <c r="T49" i="37"/>
  <c r="V48" i="37"/>
  <c r="U48" i="37"/>
  <c r="T48" i="37"/>
  <c r="V47" i="37"/>
  <c r="U47" i="37"/>
  <c r="T47" i="37"/>
  <c r="V46" i="37"/>
  <c r="U46" i="37"/>
  <c r="T46" i="37"/>
  <c r="V45" i="37"/>
  <c r="U45" i="37"/>
  <c r="T45" i="37"/>
  <c r="V44" i="37"/>
  <c r="U44" i="37"/>
  <c r="T44" i="37"/>
  <c r="V43" i="37"/>
  <c r="U43" i="37"/>
  <c r="T43" i="37"/>
  <c r="V42" i="37"/>
  <c r="U42" i="37"/>
  <c r="T42" i="37"/>
  <c r="D35" i="36"/>
  <c r="AD29" i="36"/>
  <c r="Z25" i="36"/>
  <c r="K27" i="36"/>
  <c r="AJ33" i="36"/>
  <c r="AI36" i="36"/>
  <c r="S36" i="36"/>
  <c r="L29" i="36"/>
  <c r="C28" i="36"/>
  <c r="G37" i="36"/>
  <c r="W37" i="36"/>
  <c r="F36" i="36"/>
  <c r="V36" i="36"/>
  <c r="U35" i="36"/>
  <c r="T34" i="36"/>
  <c r="D34" i="36"/>
  <c r="S33" i="36"/>
  <c r="AH32" i="36"/>
  <c r="R32" i="36"/>
  <c r="AG31" i="36"/>
  <c r="Q31" i="36"/>
  <c r="P30" i="36"/>
  <c r="AF30" i="36"/>
  <c r="AE29" i="36"/>
  <c r="O29" i="36"/>
  <c r="AD28" i="36"/>
  <c r="N28" i="36"/>
  <c r="AC27" i="36"/>
  <c r="E35" i="36"/>
  <c r="M27" i="36"/>
  <c r="AB26" i="36"/>
  <c r="L26" i="36"/>
  <c r="K25" i="36"/>
  <c r="AA25" i="36"/>
  <c r="Z24" i="36"/>
  <c r="Y23" i="36"/>
  <c r="J24" i="36"/>
  <c r="I23" i="36"/>
  <c r="AJ36" i="36"/>
  <c r="AL33" i="36"/>
  <c r="AJ28" i="36"/>
  <c r="AN30" i="36"/>
  <c r="AL25" i="36"/>
  <c r="AB27" i="36"/>
  <c r="F37" i="36"/>
  <c r="G23" i="36"/>
  <c r="C25" i="36"/>
  <c r="R35" i="36"/>
  <c r="Q35" i="36"/>
  <c r="O32" i="36"/>
  <c r="S37" i="36"/>
  <c r="AG35" i="36"/>
  <c r="R36" i="36"/>
  <c r="AF34" i="36"/>
  <c r="P34" i="36"/>
  <c r="AE33" i="36"/>
  <c r="O33" i="36"/>
  <c r="AD32" i="36"/>
  <c r="N32" i="36"/>
  <c r="AC31" i="36"/>
  <c r="M31" i="36"/>
  <c r="AB30" i="36"/>
  <c r="L30" i="36"/>
  <c r="K29" i="36"/>
  <c r="Z28" i="36"/>
  <c r="J28" i="36"/>
  <c r="I27" i="36"/>
  <c r="X26" i="36"/>
  <c r="Y27" i="36"/>
  <c r="H26" i="36"/>
  <c r="W25" i="36"/>
  <c r="G25" i="36"/>
  <c r="H25" i="36"/>
  <c r="V24" i="36"/>
  <c r="F24" i="36"/>
  <c r="E23" i="36"/>
  <c r="U23" i="36"/>
  <c r="AL35" i="36"/>
  <c r="AJ30" i="36"/>
  <c r="AN32" i="36"/>
  <c r="AL27" i="36"/>
  <c r="K26" i="36"/>
  <c r="C27" i="36"/>
  <c r="S34" i="36"/>
  <c r="AA29" i="36"/>
  <c r="AN24" i="36"/>
  <c r="AG33" i="36"/>
  <c r="AN35" i="36"/>
  <c r="N31" i="36"/>
  <c r="Z27" i="36"/>
  <c r="V23" i="36"/>
  <c r="R37" i="36"/>
  <c r="AF35" i="36"/>
  <c r="P35" i="36"/>
  <c r="AE34" i="36"/>
  <c r="O34" i="36"/>
  <c r="AD33" i="36"/>
  <c r="N33" i="36"/>
  <c r="AC32" i="36"/>
  <c r="M32" i="36"/>
  <c r="AB31" i="36"/>
  <c r="L31" i="36"/>
  <c r="AA30" i="36"/>
  <c r="K30" i="36"/>
  <c r="Z29" i="36"/>
  <c r="J29" i="36"/>
  <c r="I28" i="36"/>
  <c r="Y28" i="36"/>
  <c r="X27" i="36"/>
  <c r="W26" i="36"/>
  <c r="H27" i="36"/>
  <c r="G26" i="36"/>
  <c r="V25" i="36"/>
  <c r="F25" i="36"/>
  <c r="E24" i="36"/>
  <c r="U24" i="36"/>
  <c r="T23" i="36"/>
  <c r="D23" i="36"/>
  <c r="AK35" i="36"/>
  <c r="AI30" i="36"/>
  <c r="AM32" i="36"/>
  <c r="AK27" i="36"/>
  <c r="AM24" i="36"/>
  <c r="AC28" i="36"/>
  <c r="U37" i="36"/>
  <c r="AM30" i="36"/>
  <c r="Q33" i="36"/>
  <c r="N30" i="36"/>
  <c r="AL30" i="36"/>
  <c r="AG34" i="36"/>
  <c r="D37" i="36"/>
  <c r="AB29" i="36"/>
  <c r="W24" i="36"/>
  <c r="C24" i="36"/>
  <c r="AE35" i="36"/>
  <c r="L32" i="36"/>
  <c r="K31" i="36"/>
  <c r="Z30" i="36"/>
  <c r="J30" i="36"/>
  <c r="Y29" i="36"/>
  <c r="I29" i="36"/>
  <c r="X28" i="36"/>
  <c r="H28" i="36"/>
  <c r="G27" i="36"/>
  <c r="W27" i="36"/>
  <c r="V26" i="36"/>
  <c r="F26" i="36"/>
  <c r="E25" i="36"/>
  <c r="U25" i="36"/>
  <c r="T24" i="36"/>
  <c r="D24" i="36"/>
  <c r="S23" i="36"/>
  <c r="AN37" i="36"/>
  <c r="AL32" i="36"/>
  <c r="AJ35" i="36"/>
  <c r="AN29" i="36"/>
  <c r="AF31" i="36"/>
  <c r="AL24" i="36"/>
  <c r="AJ27" i="36"/>
  <c r="L27" i="36"/>
  <c r="H23" i="36"/>
  <c r="AC29" i="36"/>
  <c r="Y26" i="36"/>
  <c r="H24" i="36"/>
  <c r="AM35" i="36"/>
  <c r="AD34" i="36"/>
  <c r="P37" i="36"/>
  <c r="AE36" i="36"/>
  <c r="AD35" i="36"/>
  <c r="N35" i="36"/>
  <c r="O36" i="36"/>
  <c r="AC34" i="36"/>
  <c r="M34" i="36"/>
  <c r="AB33" i="36"/>
  <c r="L33" i="36"/>
  <c r="AA32" i="36"/>
  <c r="K32" i="36"/>
  <c r="Z31" i="36"/>
  <c r="J31" i="36"/>
  <c r="Y30" i="36"/>
  <c r="I30" i="36"/>
  <c r="X29" i="36"/>
  <c r="H29" i="36"/>
  <c r="W28" i="36"/>
  <c r="G28" i="36"/>
  <c r="V27" i="36"/>
  <c r="F27" i="36"/>
  <c r="U26" i="36"/>
  <c r="E26" i="36"/>
  <c r="T25" i="36"/>
  <c r="D25" i="36"/>
  <c r="S24" i="36"/>
  <c r="R23" i="36"/>
  <c r="AH23" i="36"/>
  <c r="AM37" i="36"/>
  <c r="AI35" i="36"/>
  <c r="AK32" i="36"/>
  <c r="AM29" i="36"/>
  <c r="AI27" i="36"/>
  <c r="AK24" i="36"/>
  <c r="E36" i="36"/>
  <c r="R33" i="36"/>
  <c r="I24" i="36"/>
  <c r="M28" i="36"/>
  <c r="AK25" i="36"/>
  <c r="AH34" i="36"/>
  <c r="E37" i="36"/>
  <c r="D36" i="36"/>
  <c r="P32" i="36"/>
  <c r="AJ25" i="36"/>
  <c r="AI33" i="36"/>
  <c r="Q34" i="36"/>
  <c r="AG36" i="36"/>
  <c r="Q37" i="36"/>
  <c r="J32" i="36"/>
  <c r="AB32" i="36"/>
  <c r="C36" i="36"/>
  <c r="AD36" i="36"/>
  <c r="AC35" i="36"/>
  <c r="M35" i="36"/>
  <c r="AA27" i="36"/>
  <c r="L34" i="36"/>
  <c r="AB34" i="36"/>
  <c r="AA33" i="36"/>
  <c r="K33" i="36"/>
  <c r="Z32" i="36"/>
  <c r="Y31" i="36"/>
  <c r="I31" i="36"/>
  <c r="X30" i="36"/>
  <c r="H30" i="36"/>
  <c r="W29" i="36"/>
  <c r="G29" i="36"/>
  <c r="U27" i="36"/>
  <c r="F28" i="36"/>
  <c r="E27" i="36"/>
  <c r="V28" i="36"/>
  <c r="T26" i="36"/>
  <c r="S25" i="36"/>
  <c r="D26" i="36"/>
  <c r="AH24" i="36"/>
  <c r="AG23" i="36"/>
  <c r="Q23" i="36"/>
  <c r="R24" i="36"/>
  <c r="AL37" i="36"/>
  <c r="AN34" i="36"/>
  <c r="AJ32" i="36"/>
  <c r="AL29" i="36"/>
  <c r="AN26" i="36"/>
  <c r="U36" i="36"/>
  <c r="AJ24" i="36"/>
  <c r="AH33" i="36"/>
  <c r="M29" i="36"/>
  <c r="Y25" i="36"/>
  <c r="P33" i="36"/>
  <c r="X25" i="36"/>
  <c r="G24" i="36"/>
  <c r="AH36" i="36"/>
  <c r="AF36" i="36"/>
  <c r="AA31" i="36"/>
  <c r="AE37" i="36"/>
  <c r="N36" i="36"/>
  <c r="AD37" i="36"/>
  <c r="N37" i="36"/>
  <c r="M36" i="36"/>
  <c r="AB35" i="36"/>
  <c r="AC36" i="36"/>
  <c r="L35" i="36"/>
  <c r="AA34" i="36"/>
  <c r="K34" i="36"/>
  <c r="J33" i="36"/>
  <c r="Z33" i="36"/>
  <c r="Y32" i="36"/>
  <c r="I32" i="36"/>
  <c r="X31" i="36"/>
  <c r="H31" i="36"/>
  <c r="G30" i="36"/>
  <c r="W30" i="36"/>
  <c r="V29" i="36"/>
  <c r="U28" i="36"/>
  <c r="F29" i="36"/>
  <c r="E28" i="36"/>
  <c r="S26" i="36"/>
  <c r="D27" i="36"/>
  <c r="T27" i="36"/>
  <c r="AH25" i="36"/>
  <c r="R25" i="36"/>
  <c r="Q24" i="36"/>
  <c r="AG24" i="36"/>
  <c r="P23" i="36"/>
  <c r="AF23" i="36"/>
  <c r="AK37" i="36"/>
  <c r="AM34" i="36"/>
  <c r="AM26" i="36"/>
  <c r="AI32" i="36"/>
  <c r="AK29" i="36"/>
  <c r="AI24" i="36"/>
  <c r="P31" i="36"/>
  <c r="Y24" i="36"/>
  <c r="AF32" i="36"/>
  <c r="O31" i="36"/>
  <c r="I25" i="36"/>
  <c r="AC30" i="36"/>
  <c r="I26" i="36"/>
  <c r="F23" i="36"/>
  <c r="Q36" i="36"/>
  <c r="O35" i="36"/>
  <c r="O37" i="36"/>
  <c r="AF37" i="36"/>
  <c r="AC37" i="36"/>
  <c r="C34" i="36"/>
  <c r="C35" i="36"/>
  <c r="M37" i="36"/>
  <c r="L36" i="36"/>
  <c r="AB36" i="36"/>
  <c r="K35" i="36"/>
  <c r="AA35" i="36"/>
  <c r="Z34" i="36"/>
  <c r="J34" i="36"/>
  <c r="I33" i="36"/>
  <c r="X32" i="36"/>
  <c r="H32" i="36"/>
  <c r="G31" i="36"/>
  <c r="W31" i="36"/>
  <c r="V30" i="36"/>
  <c r="F30" i="36"/>
  <c r="E29" i="36"/>
  <c r="U29" i="36"/>
  <c r="T28" i="36"/>
  <c r="D28" i="36"/>
  <c r="AH26" i="36"/>
  <c r="AG25" i="36"/>
  <c r="S27" i="36"/>
  <c r="R26" i="36"/>
  <c r="Q25" i="36"/>
  <c r="P24" i="36"/>
  <c r="AF24" i="36"/>
  <c r="O23" i="36"/>
  <c r="AE23" i="36"/>
  <c r="AN31" i="36"/>
  <c r="AJ37" i="36"/>
  <c r="AL34" i="36"/>
  <c r="AJ29" i="36"/>
  <c r="AL26" i="36"/>
  <c r="AN23" i="36"/>
  <c r="AG32" i="36"/>
  <c r="Y33" i="36"/>
  <c r="AD30" i="36"/>
  <c r="W23" i="36"/>
  <c r="T37" i="36"/>
  <c r="M30" i="36"/>
  <c r="AE32" i="36"/>
  <c r="AI25" i="36"/>
  <c r="AG37" i="36"/>
  <c r="C37" i="36"/>
  <c r="L37" i="36"/>
  <c r="N34" i="36"/>
  <c r="AA36" i="36"/>
  <c r="K36" i="36"/>
  <c r="Z35" i="36"/>
  <c r="J35" i="36"/>
  <c r="Y34" i="36"/>
  <c r="I34" i="36"/>
  <c r="X33" i="36"/>
  <c r="H33" i="36"/>
  <c r="W32" i="36"/>
  <c r="F31" i="36"/>
  <c r="G32" i="36"/>
  <c r="V31" i="36"/>
  <c r="U30" i="36"/>
  <c r="T29" i="36"/>
  <c r="E30" i="36"/>
  <c r="S28" i="36"/>
  <c r="D29" i="36"/>
  <c r="AG26" i="36"/>
  <c r="AH27" i="36"/>
  <c r="R27" i="36"/>
  <c r="Q26" i="36"/>
  <c r="AF25" i="36"/>
  <c r="AE24" i="36"/>
  <c r="P25" i="36"/>
  <c r="O24" i="36"/>
  <c r="AD23" i="36"/>
  <c r="AI37" i="36"/>
  <c r="N23" i="36"/>
  <c r="AK34" i="36"/>
  <c r="AI29" i="36"/>
  <c r="AM31" i="36"/>
  <c r="AK26" i="36"/>
  <c r="AE30" i="36"/>
  <c r="AM23" i="36"/>
  <c r="AI28" i="36"/>
  <c r="J25" i="36"/>
  <c r="S35" i="36"/>
  <c r="Z26" i="36"/>
  <c r="AD31" i="36"/>
  <c r="AM27" i="36"/>
  <c r="C23" i="36"/>
  <c r="K28" i="36"/>
  <c r="AC33" i="36"/>
  <c r="C33" i="36"/>
  <c r="K37" i="36"/>
  <c r="J36" i="36"/>
  <c r="C32" i="36"/>
  <c r="Z36" i="36"/>
  <c r="Y35" i="36"/>
  <c r="I35" i="36"/>
  <c r="X34" i="36"/>
  <c r="H34" i="36"/>
  <c r="W33" i="36"/>
  <c r="G33" i="36"/>
  <c r="V32" i="36"/>
  <c r="U31" i="36"/>
  <c r="E31" i="36"/>
  <c r="F32" i="36"/>
  <c r="T30" i="36"/>
  <c r="D30" i="36"/>
  <c r="AH28" i="36"/>
  <c r="S29" i="36"/>
  <c r="R28" i="36"/>
  <c r="Q27" i="36"/>
  <c r="AG27" i="36"/>
  <c r="AF26" i="36"/>
  <c r="P26" i="36"/>
  <c r="AE25" i="36"/>
  <c r="O25" i="36"/>
  <c r="AD24" i="36"/>
  <c r="AC23" i="36"/>
  <c r="N24" i="36"/>
  <c r="M23" i="36"/>
  <c r="AJ34" i="36"/>
  <c r="AN36" i="36"/>
  <c r="AL31" i="36"/>
  <c r="AJ26" i="36"/>
  <c r="AN28" i="36"/>
  <c r="AL23" i="36"/>
  <c r="V37" i="36"/>
  <c r="AF33" i="36"/>
  <c r="O30" i="36"/>
  <c r="AB28" i="36"/>
  <c r="AK30" i="36"/>
  <c r="J26" i="36"/>
  <c r="AH37" i="36"/>
  <c r="M33" i="36"/>
  <c r="P36" i="36"/>
  <c r="AA37" i="36"/>
  <c r="AB37" i="36"/>
  <c r="J37" i="36"/>
  <c r="Z37" i="36"/>
  <c r="C31" i="36"/>
  <c r="I36" i="36"/>
  <c r="Y36" i="36"/>
  <c r="X35" i="36"/>
  <c r="H35" i="36"/>
  <c r="W34" i="36"/>
  <c r="G34" i="36"/>
  <c r="F33" i="36"/>
  <c r="V33" i="36"/>
  <c r="U32" i="36"/>
  <c r="E32" i="36"/>
  <c r="T31" i="36"/>
  <c r="AH29" i="36"/>
  <c r="D31" i="36"/>
  <c r="S30" i="36"/>
  <c r="AG28" i="36"/>
  <c r="AF27" i="36"/>
  <c r="Q28" i="36"/>
  <c r="P27" i="36"/>
  <c r="AE26" i="36"/>
  <c r="AD25" i="36"/>
  <c r="O26" i="36"/>
  <c r="AC24" i="36"/>
  <c r="N25" i="36"/>
  <c r="M24" i="36"/>
  <c r="AB23" i="36"/>
  <c r="AM36" i="36"/>
  <c r="L23" i="36"/>
  <c r="AI34" i="36"/>
  <c r="AK31" i="36"/>
  <c r="AM28" i="36"/>
  <c r="AI26" i="36"/>
  <c r="AK23" i="36"/>
  <c r="T35" i="36"/>
  <c r="R29" i="36"/>
  <c r="N29" i="36"/>
  <c r="X23" i="36"/>
  <c r="C26" i="36"/>
  <c r="L28" i="36"/>
  <c r="AN27" i="36"/>
  <c r="AH35" i="36"/>
  <c r="AA28" i="36"/>
  <c r="W35" i="36"/>
  <c r="V34" i="36"/>
  <c r="Y37" i="36"/>
  <c r="U33" i="36"/>
  <c r="X36" i="36"/>
  <c r="S31" i="36"/>
  <c r="R30" i="36"/>
  <c r="T32" i="36"/>
  <c r="AF28" i="36"/>
  <c r="Q29" i="36"/>
  <c r="P28" i="36"/>
  <c r="O27" i="36"/>
  <c r="N26" i="36"/>
  <c r="AD26" i="36"/>
  <c r="AC25" i="36"/>
  <c r="M25" i="36"/>
  <c r="AB24" i="36"/>
  <c r="AA23" i="36"/>
  <c r="L24" i="36"/>
  <c r="AL36" i="36"/>
  <c r="K23" i="36"/>
  <c r="AJ31" i="36"/>
  <c r="AN33" i="36"/>
  <c r="AN25" i="36"/>
  <c r="AL28" i="36"/>
  <c r="AJ23" i="36"/>
  <c r="AA26" i="36"/>
  <c r="Q32" i="36"/>
  <c r="AK33" i="36"/>
  <c r="T36" i="36"/>
  <c r="R34" i="36"/>
  <c r="H36" i="36"/>
  <c r="X24" i="36"/>
  <c r="J27" i="36"/>
  <c r="AE31" i="36"/>
  <c r="C30" i="36"/>
  <c r="I37" i="36"/>
  <c r="D32" i="36"/>
  <c r="G35" i="36"/>
  <c r="F34" i="36"/>
  <c r="E33" i="36"/>
  <c r="AH30" i="36"/>
  <c r="AG29" i="36"/>
  <c r="AE27" i="36"/>
  <c r="C29" i="36"/>
  <c r="X37" i="36"/>
  <c r="H37" i="36"/>
  <c r="W36" i="36"/>
  <c r="F35" i="36"/>
  <c r="V35" i="36"/>
  <c r="P29" i="36"/>
  <c r="AE28" i="36"/>
  <c r="AD27" i="36"/>
  <c r="N27" i="36"/>
  <c r="M26" i="36"/>
  <c r="AC26" i="36"/>
  <c r="L25" i="36"/>
  <c r="AB25" i="36"/>
  <c r="AK36" i="36"/>
  <c r="AM33" i="36"/>
  <c r="AI31" i="36"/>
  <c r="AM25" i="36"/>
  <c r="AK28" i="36"/>
  <c r="AI23" i="36"/>
  <c r="T33" i="36"/>
  <c r="AF29" i="36"/>
  <c r="O28" i="36"/>
  <c r="K24" i="36"/>
  <c r="J23" i="36"/>
  <c r="E34" i="36"/>
  <c r="S32" i="36"/>
  <c r="U34" i="36"/>
  <c r="D33" i="36"/>
  <c r="AH31" i="36"/>
  <c r="Q30" i="36"/>
  <c r="R31" i="36"/>
  <c r="AG30" i="36"/>
  <c r="AA24" i="36"/>
  <c r="Z23" i="36"/>
  <c r="G36" i="36"/>
  <c r="AG37" i="37" l="1"/>
  <c r="AJ32" i="37"/>
  <c r="AI37" i="37"/>
  <c r="AM26" i="37"/>
  <c r="AG38" i="37"/>
  <c r="AK27" i="37"/>
  <c r="AE39" i="37"/>
  <c r="AI28" i="37"/>
  <c r="AG29" i="37"/>
  <c r="AE30" i="37"/>
  <c r="AL42" i="37"/>
  <c r="B43" i="37"/>
  <c r="W44" i="37" s="1"/>
  <c r="AG43" i="37"/>
  <c r="AK32" i="37"/>
  <c r="AL44" i="37"/>
  <c r="AL41" i="37"/>
  <c r="AH38" i="37"/>
  <c r="AJ45" i="37"/>
  <c r="AH37" i="37"/>
  <c r="AK44" i="37"/>
  <c r="AL27" i="37"/>
  <c r="AL32" i="37"/>
  <c r="AJ37" i="37"/>
  <c r="AI38" i="37"/>
  <c r="AM27" i="37"/>
  <c r="AG39" i="37"/>
  <c r="AK28" i="37"/>
  <c r="AE40" i="37"/>
  <c r="AI29" i="37"/>
  <c r="AG30" i="37"/>
  <c r="AE31" i="37"/>
  <c r="AI43" i="37"/>
  <c r="AM32" i="37"/>
  <c r="AE33" i="37"/>
  <c r="AL45" i="37"/>
  <c r="AI32" i="37"/>
  <c r="AF43" i="37"/>
  <c r="AM44" i="37"/>
  <c r="AH30" i="37"/>
  <c r="AM45" i="37"/>
  <c r="AJ38" i="37"/>
  <c r="C48" i="37"/>
  <c r="W58" i="37" s="1"/>
  <c r="AI39" i="37"/>
  <c r="AM28" i="37"/>
  <c r="AG40" i="37"/>
  <c r="C46" i="37"/>
  <c r="W56" i="37" s="1"/>
  <c r="AK29" i="37"/>
  <c r="AE41" i="37"/>
  <c r="AI30" i="37"/>
  <c r="C45" i="37"/>
  <c r="W55" i="37" s="1"/>
  <c r="AG31" i="37"/>
  <c r="AJ43" i="37"/>
  <c r="AG33" i="37"/>
  <c r="AE34" i="37"/>
  <c r="C41" i="37"/>
  <c r="W51" i="37" s="1"/>
  <c r="AE29" i="37"/>
  <c r="AF39" i="37"/>
  <c r="AM42" i="37"/>
  <c r="AH39" i="37"/>
  <c r="AF31" i="37"/>
  <c r="AK37" i="37"/>
  <c r="C47" i="37"/>
  <c r="W57" i="37" s="1"/>
  <c r="AH40" i="37"/>
  <c r="AL29" i="37"/>
  <c r="AF41" i="37"/>
  <c r="AJ30" i="37"/>
  <c r="C44" i="37"/>
  <c r="W54" i="37" s="1"/>
  <c r="AH31" i="37"/>
  <c r="AH33" i="37"/>
  <c r="AF34" i="37"/>
  <c r="AG28" i="37"/>
  <c r="AJ27" i="37"/>
  <c r="AH29" i="37"/>
  <c r="AL37" i="37"/>
  <c r="AJ39" i="37"/>
  <c r="AI40" i="37"/>
  <c r="AM29" i="37"/>
  <c r="AG41" i="37"/>
  <c r="AK30" i="37"/>
  <c r="AE42" i="37"/>
  <c r="AI31" i="37"/>
  <c r="AE44" i="37"/>
  <c r="AI33" i="37"/>
  <c r="AG34" i="37"/>
  <c r="AM41" i="37"/>
  <c r="AK45" i="37"/>
  <c r="AJ29" i="37"/>
  <c r="C42" i="37"/>
  <c r="W52" i="37" s="1"/>
  <c r="AF33" i="37"/>
  <c r="B49" i="37"/>
  <c r="W50" i="37" s="1"/>
  <c r="AM37" i="37"/>
  <c r="AK38" i="37"/>
  <c r="AH41" i="37"/>
  <c r="AL30" i="37"/>
  <c r="AF42" i="37"/>
  <c r="AJ31" i="37"/>
  <c r="AK43" i="37"/>
  <c r="B42" i="37"/>
  <c r="W43" i="37" s="1"/>
  <c r="AF44" i="37"/>
  <c r="AJ33" i="37"/>
  <c r="AH34" i="37"/>
  <c r="AF38" i="37"/>
  <c r="AK42" i="37"/>
  <c r="AL28" i="37"/>
  <c r="AE26" i="37"/>
  <c r="B48" i="37"/>
  <c r="W49" i="37" s="1"/>
  <c r="AL38" i="37"/>
  <c r="B46" i="37"/>
  <c r="W47" i="37" s="1"/>
  <c r="AJ40" i="37"/>
  <c r="B45" i="37"/>
  <c r="W46" i="37" s="1"/>
  <c r="AI41" i="37"/>
  <c r="AM30" i="37"/>
  <c r="AG42" i="37"/>
  <c r="AK31" i="37"/>
  <c r="AL43" i="37"/>
  <c r="AG44" i="37"/>
  <c r="AK33" i="37"/>
  <c r="B41" i="37"/>
  <c r="W42" i="37" s="1"/>
  <c r="AE45" i="37"/>
  <c r="AI34" i="37"/>
  <c r="AE38" i="37"/>
  <c r="AE43" i="37"/>
  <c r="AF29" i="37"/>
  <c r="AF30" i="37"/>
  <c r="C49" i="37"/>
  <c r="W59" i="37" s="1"/>
  <c r="AF26" i="37"/>
  <c r="AM38" i="37"/>
  <c r="B47" i="37"/>
  <c r="W48" i="37" s="1"/>
  <c r="AK39" i="37"/>
  <c r="B44" i="37"/>
  <c r="W45" i="37" s="1"/>
  <c r="AH42" i="37"/>
  <c r="AL31" i="37"/>
  <c r="AM43" i="37"/>
  <c r="AH44" i="37"/>
  <c r="AL33" i="37"/>
  <c r="AF45" i="37"/>
  <c r="AJ34" i="37"/>
  <c r="AL26" i="37"/>
  <c r="AJ28" i="37"/>
  <c r="AH43" i="37"/>
  <c r="AF40" i="37"/>
  <c r="AG26" i="37"/>
  <c r="AE27" i="37"/>
  <c r="AL39" i="37"/>
  <c r="AJ41" i="37"/>
  <c r="AI42" i="37"/>
  <c r="AM31" i="37"/>
  <c r="AE32" i="37"/>
  <c r="AI44" i="37"/>
  <c r="AM33" i="37"/>
  <c r="AG45" i="37"/>
  <c r="AK34" i="37"/>
  <c r="AI27" i="37"/>
  <c r="AH28" i="37"/>
  <c r="AF27" i="37"/>
  <c r="AK40" i="37"/>
  <c r="AL34" i="37"/>
  <c r="AE37" i="37"/>
  <c r="AI26" i="37"/>
  <c r="AG27" i="37"/>
  <c r="AE28" i="37"/>
  <c r="AL40" i="37"/>
  <c r="AJ42" i="37"/>
  <c r="C43" i="37"/>
  <c r="W53" i="37" s="1"/>
  <c r="AG32" i="37"/>
  <c r="AJ44" i="37"/>
  <c r="AI45" i="37"/>
  <c r="AM34" i="37"/>
  <c r="AK26" i="37"/>
  <c r="AH26" i="37"/>
  <c r="AM39" i="37"/>
  <c r="AF32" i="37"/>
  <c r="AH45" i="37"/>
  <c r="AF37" i="37"/>
  <c r="AJ26" i="37"/>
  <c r="AH27" i="37"/>
  <c r="AF28" i="37"/>
  <c r="AM40" i="37"/>
  <c r="AK41" i="37"/>
  <c r="AH32" i="37"/>
  <c r="BV3" i="36"/>
  <c r="BW3" i="36"/>
  <c r="BX3" i="36"/>
  <c r="BY3" i="36"/>
  <c r="BZ3" i="36"/>
  <c r="CA3" i="36"/>
  <c r="BV4" i="36"/>
  <c r="BW4" i="36"/>
  <c r="BX4" i="36"/>
  <c r="BY4" i="36"/>
  <c r="BZ4" i="36"/>
  <c r="CA4" i="36"/>
  <c r="BV5" i="36"/>
  <c r="BW5" i="36"/>
  <c r="BX5" i="36"/>
  <c r="BY5" i="36"/>
  <c r="BZ5" i="36"/>
  <c r="CA5" i="36"/>
  <c r="BV6" i="36"/>
  <c r="BW6" i="36"/>
  <c r="BX6" i="36"/>
  <c r="BY6" i="36"/>
  <c r="BZ6" i="36"/>
  <c r="CA6" i="36"/>
  <c r="BV7" i="36"/>
  <c r="BW7" i="36"/>
  <c r="BX7" i="36"/>
  <c r="BY7" i="36"/>
  <c r="BZ7" i="36"/>
  <c r="CA7" i="36"/>
  <c r="BV8" i="36"/>
  <c r="BW8" i="36"/>
  <c r="BX8" i="36"/>
  <c r="BY8" i="36"/>
  <c r="BZ8" i="36"/>
  <c r="CA8" i="36"/>
  <c r="BV9" i="36"/>
  <c r="BW9" i="36"/>
  <c r="BX9" i="36"/>
  <c r="BY9" i="36"/>
  <c r="BZ9" i="36"/>
  <c r="CA9" i="36"/>
  <c r="BV10" i="36"/>
  <c r="BW10" i="36"/>
  <c r="BX10" i="36"/>
  <c r="BY10" i="36"/>
  <c r="BZ10" i="36"/>
  <c r="CA10" i="36"/>
  <c r="BV11" i="36"/>
  <c r="BW11" i="36"/>
  <c r="BX11" i="36"/>
  <c r="BY11" i="36"/>
  <c r="BZ11" i="36"/>
  <c r="CA11" i="36"/>
  <c r="BV12" i="36"/>
  <c r="BW12" i="36"/>
  <c r="BX12" i="36"/>
  <c r="BY12" i="36"/>
  <c r="BZ12" i="36"/>
  <c r="CA12" i="36"/>
  <c r="BV13" i="36"/>
  <c r="BW13" i="36"/>
  <c r="BX13" i="36"/>
  <c r="BY13" i="36"/>
  <c r="BZ13" i="36"/>
  <c r="CA13" i="36"/>
  <c r="BV14" i="36"/>
  <c r="BW14" i="36"/>
  <c r="BX14" i="36"/>
  <c r="BY14" i="36"/>
  <c r="BZ14" i="36"/>
  <c r="CA14" i="36"/>
  <c r="BV15" i="36"/>
  <c r="BW15" i="36"/>
  <c r="BX15" i="36"/>
  <c r="BY15" i="36"/>
  <c r="BZ15" i="36"/>
  <c r="CA15" i="36"/>
  <c r="BV16" i="36"/>
  <c r="BW16" i="36"/>
  <c r="BX16" i="36"/>
  <c r="BY16" i="36"/>
  <c r="BZ16" i="36"/>
  <c r="CA16" i="36"/>
  <c r="BV17" i="36"/>
  <c r="BW17" i="36"/>
  <c r="BX17" i="36"/>
  <c r="BY17" i="36"/>
  <c r="BZ17" i="36"/>
  <c r="CA17" i="36"/>
  <c r="AQ3" i="36"/>
  <c r="AR3" i="36"/>
  <c r="AS3" i="36"/>
  <c r="AT3" i="36"/>
  <c r="AU3" i="36"/>
  <c r="AV3" i="36"/>
  <c r="AW3" i="36"/>
  <c r="AX3" i="36"/>
  <c r="AY3" i="36"/>
  <c r="AZ3" i="36"/>
  <c r="BA3" i="36"/>
  <c r="BB3" i="36"/>
  <c r="BC3" i="36"/>
  <c r="BD3" i="36"/>
  <c r="BE3" i="36"/>
  <c r="BF3" i="36"/>
  <c r="BG3" i="36"/>
  <c r="BH3" i="36"/>
  <c r="BI3" i="36"/>
  <c r="BJ3" i="36"/>
  <c r="BK3" i="36"/>
  <c r="BL3" i="36"/>
  <c r="BM3" i="36"/>
  <c r="BN3" i="36"/>
  <c r="BO3" i="36"/>
  <c r="BP3" i="36"/>
  <c r="BQ3" i="36"/>
  <c r="BR3" i="36"/>
  <c r="BS3" i="36"/>
  <c r="BT3" i="36"/>
  <c r="BU3" i="36"/>
  <c r="AQ4" i="36"/>
  <c r="AR4" i="36"/>
  <c r="AS4" i="36"/>
  <c r="AT4" i="36"/>
  <c r="AU4" i="36"/>
  <c r="AV4" i="36"/>
  <c r="AW4" i="36"/>
  <c r="AX4" i="36"/>
  <c r="AY4" i="36"/>
  <c r="AZ4" i="36"/>
  <c r="BA4" i="36"/>
  <c r="BB4" i="36"/>
  <c r="BC4" i="36"/>
  <c r="BD4" i="36"/>
  <c r="BE4" i="36"/>
  <c r="BF4" i="36"/>
  <c r="BG4" i="36"/>
  <c r="BH4" i="36"/>
  <c r="BI4" i="36"/>
  <c r="BJ4" i="36"/>
  <c r="BK4" i="36"/>
  <c r="BL4" i="36"/>
  <c r="BM4" i="36"/>
  <c r="BN4" i="36"/>
  <c r="BO4" i="36"/>
  <c r="BP4" i="36"/>
  <c r="BQ4" i="36"/>
  <c r="BR4" i="36"/>
  <c r="BS4" i="36"/>
  <c r="BT4" i="36"/>
  <c r="BU4" i="36"/>
  <c r="AQ5" i="36"/>
  <c r="AR5" i="36"/>
  <c r="AS5" i="36"/>
  <c r="AT5" i="36"/>
  <c r="AU5" i="36"/>
  <c r="AV5" i="36"/>
  <c r="AW5" i="36"/>
  <c r="AX5" i="36"/>
  <c r="AY5" i="36"/>
  <c r="AZ5" i="36"/>
  <c r="BA5" i="36"/>
  <c r="BB5" i="36"/>
  <c r="BC5" i="36"/>
  <c r="BD5" i="36"/>
  <c r="BE5" i="36"/>
  <c r="BF5" i="36"/>
  <c r="BG5" i="36"/>
  <c r="BH5" i="36"/>
  <c r="BI5" i="36"/>
  <c r="BJ5" i="36"/>
  <c r="BK5" i="36"/>
  <c r="BL5" i="36"/>
  <c r="BM5" i="36"/>
  <c r="BN5" i="36"/>
  <c r="BO5" i="36"/>
  <c r="BP5" i="36"/>
  <c r="BQ5" i="36"/>
  <c r="BR5" i="36"/>
  <c r="BS5" i="36"/>
  <c r="BT5" i="36"/>
  <c r="BU5" i="36"/>
  <c r="AQ6" i="36"/>
  <c r="AR6" i="36"/>
  <c r="AS6" i="36"/>
  <c r="AT6" i="36"/>
  <c r="AU6" i="36"/>
  <c r="AV6" i="36"/>
  <c r="AW6" i="36"/>
  <c r="AX6" i="36"/>
  <c r="AY6" i="36"/>
  <c r="AZ6" i="36"/>
  <c r="BA6" i="36"/>
  <c r="BB6" i="36"/>
  <c r="BC6" i="36"/>
  <c r="BD6" i="36"/>
  <c r="BE6" i="36"/>
  <c r="BF6" i="36"/>
  <c r="BG6" i="36"/>
  <c r="BH6" i="36"/>
  <c r="BI6" i="36"/>
  <c r="BJ6" i="36"/>
  <c r="BK6" i="36"/>
  <c r="BL6" i="36"/>
  <c r="BM6" i="36"/>
  <c r="BN6" i="36"/>
  <c r="BO6" i="36"/>
  <c r="BP6" i="36"/>
  <c r="BQ6" i="36"/>
  <c r="BR6" i="36"/>
  <c r="BS6" i="36"/>
  <c r="BT6" i="36"/>
  <c r="BU6" i="36"/>
  <c r="AQ7" i="36"/>
  <c r="AR7" i="36"/>
  <c r="AS7" i="36"/>
  <c r="AT7" i="36"/>
  <c r="AU7" i="36"/>
  <c r="AV7" i="36"/>
  <c r="AW7" i="36"/>
  <c r="AX7" i="36"/>
  <c r="AY7" i="36"/>
  <c r="AZ7" i="36"/>
  <c r="BA7" i="36"/>
  <c r="BB7" i="36"/>
  <c r="BC7" i="36"/>
  <c r="BD7" i="36"/>
  <c r="BE7" i="36"/>
  <c r="BF7" i="36"/>
  <c r="BG7" i="36"/>
  <c r="BH7" i="36"/>
  <c r="BI7" i="36"/>
  <c r="BJ7" i="36"/>
  <c r="BK7" i="36"/>
  <c r="BL7" i="36"/>
  <c r="BM7" i="36"/>
  <c r="BN7" i="36"/>
  <c r="BO7" i="36"/>
  <c r="BP7" i="36"/>
  <c r="BQ7" i="36"/>
  <c r="BR7" i="36"/>
  <c r="BS7" i="36"/>
  <c r="BT7" i="36"/>
  <c r="BU7" i="36"/>
  <c r="AQ8" i="36"/>
  <c r="AR8" i="36"/>
  <c r="AS8" i="36"/>
  <c r="AT8" i="36"/>
  <c r="AU8" i="36"/>
  <c r="AV8" i="36"/>
  <c r="AW8" i="36"/>
  <c r="AX8" i="36"/>
  <c r="AY8" i="36"/>
  <c r="AZ8" i="36"/>
  <c r="BA8" i="36"/>
  <c r="BB8" i="36"/>
  <c r="BC8" i="36"/>
  <c r="BD8" i="36"/>
  <c r="BE8" i="36"/>
  <c r="BF8" i="36"/>
  <c r="BG8" i="36"/>
  <c r="BH8" i="36"/>
  <c r="BI8" i="36"/>
  <c r="BJ8" i="36"/>
  <c r="BK8" i="36"/>
  <c r="BL8" i="36"/>
  <c r="BM8" i="36"/>
  <c r="BN8" i="36"/>
  <c r="BO8" i="36"/>
  <c r="BP8" i="36"/>
  <c r="BQ8" i="36"/>
  <c r="BR8" i="36"/>
  <c r="BS8" i="36"/>
  <c r="BT8" i="36"/>
  <c r="BU8" i="36"/>
  <c r="AQ9" i="36"/>
  <c r="AR9" i="36"/>
  <c r="AS9" i="36"/>
  <c r="AT9" i="36"/>
  <c r="AU9" i="36"/>
  <c r="AV9" i="36"/>
  <c r="AW9" i="36"/>
  <c r="AX9" i="36"/>
  <c r="AY9" i="36"/>
  <c r="AZ9" i="36"/>
  <c r="BA9" i="36"/>
  <c r="BB9" i="36"/>
  <c r="BC9" i="36"/>
  <c r="BD9" i="36"/>
  <c r="BE9" i="36"/>
  <c r="BF9" i="36"/>
  <c r="BG9" i="36"/>
  <c r="BH9" i="36"/>
  <c r="BI9" i="36"/>
  <c r="BJ9" i="36"/>
  <c r="BK9" i="36"/>
  <c r="BL9" i="36"/>
  <c r="BM9" i="36"/>
  <c r="BN9" i="36"/>
  <c r="BO9" i="36"/>
  <c r="BP9" i="36"/>
  <c r="BQ9" i="36"/>
  <c r="BR9" i="36"/>
  <c r="BS9" i="36"/>
  <c r="BT9" i="36"/>
  <c r="BU9" i="36"/>
  <c r="AQ10" i="36"/>
  <c r="AR10" i="36"/>
  <c r="AS10" i="36"/>
  <c r="AT10" i="36"/>
  <c r="AU10" i="36"/>
  <c r="AV10" i="36"/>
  <c r="AW10" i="36"/>
  <c r="AX10" i="36"/>
  <c r="AY10" i="36"/>
  <c r="AZ10" i="36"/>
  <c r="BA10" i="36"/>
  <c r="BB10" i="36"/>
  <c r="BC10" i="36"/>
  <c r="BD10" i="36"/>
  <c r="BE10" i="36"/>
  <c r="BF10" i="36"/>
  <c r="BG10" i="36"/>
  <c r="BH10" i="36"/>
  <c r="BI10" i="36"/>
  <c r="BJ10" i="36"/>
  <c r="BK10" i="36"/>
  <c r="BL10" i="36"/>
  <c r="BM10" i="36"/>
  <c r="BN10" i="36"/>
  <c r="BO10" i="36"/>
  <c r="BP10" i="36"/>
  <c r="BQ10" i="36"/>
  <c r="BR10" i="36"/>
  <c r="BS10" i="36"/>
  <c r="BT10" i="36"/>
  <c r="BU10" i="36"/>
  <c r="AQ11" i="36"/>
  <c r="AR11" i="36"/>
  <c r="AS11" i="36"/>
  <c r="AT11" i="36"/>
  <c r="AU11" i="36"/>
  <c r="AV11" i="36"/>
  <c r="AW11" i="36"/>
  <c r="AX11" i="36"/>
  <c r="AY11" i="36"/>
  <c r="AZ11" i="36"/>
  <c r="BA11" i="36"/>
  <c r="BB11" i="36"/>
  <c r="BC11" i="36"/>
  <c r="BD11" i="36"/>
  <c r="BE11" i="36"/>
  <c r="BF11" i="36"/>
  <c r="BG11" i="36"/>
  <c r="BH11" i="36"/>
  <c r="BI11" i="36"/>
  <c r="BJ11" i="36"/>
  <c r="BK11" i="36"/>
  <c r="BL11" i="36"/>
  <c r="BM11" i="36"/>
  <c r="BN11" i="36"/>
  <c r="BO11" i="36"/>
  <c r="BP11" i="36"/>
  <c r="BQ11" i="36"/>
  <c r="BR11" i="36"/>
  <c r="BS11" i="36"/>
  <c r="BT11" i="36"/>
  <c r="BU11" i="36"/>
  <c r="AQ12" i="36"/>
  <c r="AR12" i="36"/>
  <c r="AS12" i="36"/>
  <c r="AT12" i="36"/>
  <c r="AU12" i="36"/>
  <c r="AV12" i="36"/>
  <c r="AW12" i="36"/>
  <c r="AX12" i="36"/>
  <c r="AY12" i="36"/>
  <c r="AZ12" i="36"/>
  <c r="BA12" i="36"/>
  <c r="BB12" i="36"/>
  <c r="BC12" i="36"/>
  <c r="BD12" i="36"/>
  <c r="BE12" i="36"/>
  <c r="BF12" i="36"/>
  <c r="BG12" i="36"/>
  <c r="BH12" i="36"/>
  <c r="BI12" i="36"/>
  <c r="BJ12" i="36"/>
  <c r="BK12" i="36"/>
  <c r="BL12" i="36"/>
  <c r="BM12" i="36"/>
  <c r="BN12" i="36"/>
  <c r="BO12" i="36"/>
  <c r="BP12" i="36"/>
  <c r="BQ12" i="36"/>
  <c r="BR12" i="36"/>
  <c r="BS12" i="36"/>
  <c r="BT12" i="36"/>
  <c r="BU12" i="36"/>
  <c r="AQ13" i="36"/>
  <c r="AR13" i="36"/>
  <c r="AS13" i="36"/>
  <c r="AT13" i="36"/>
  <c r="AU13" i="36"/>
  <c r="AV13" i="36"/>
  <c r="AW13" i="36"/>
  <c r="AX13" i="36"/>
  <c r="AY13" i="36"/>
  <c r="AZ13" i="36"/>
  <c r="BA13" i="36"/>
  <c r="BB13" i="36"/>
  <c r="BC13" i="36"/>
  <c r="BD13" i="36"/>
  <c r="BE13" i="36"/>
  <c r="BF13" i="36"/>
  <c r="BG13" i="36"/>
  <c r="BH13" i="36"/>
  <c r="BI13" i="36"/>
  <c r="BJ13" i="36"/>
  <c r="BK13" i="36"/>
  <c r="BL13" i="36"/>
  <c r="BM13" i="36"/>
  <c r="BN13" i="36"/>
  <c r="BO13" i="36"/>
  <c r="BP13" i="36"/>
  <c r="BQ13" i="36"/>
  <c r="BR13" i="36"/>
  <c r="BS13" i="36"/>
  <c r="BT13" i="36"/>
  <c r="BU13" i="36"/>
  <c r="AQ14" i="36"/>
  <c r="AR14" i="36"/>
  <c r="AS14" i="36"/>
  <c r="AT14" i="36"/>
  <c r="AU14" i="36"/>
  <c r="AV14" i="36"/>
  <c r="AW14" i="36"/>
  <c r="AX14" i="36"/>
  <c r="AY14" i="36"/>
  <c r="AZ14" i="36"/>
  <c r="BA14" i="36"/>
  <c r="BB14" i="36"/>
  <c r="BC14" i="36"/>
  <c r="BD14" i="36"/>
  <c r="BE14" i="36"/>
  <c r="BF14" i="36"/>
  <c r="BG14" i="36"/>
  <c r="BH14" i="36"/>
  <c r="BI14" i="36"/>
  <c r="BJ14" i="36"/>
  <c r="BK14" i="36"/>
  <c r="BL14" i="36"/>
  <c r="BM14" i="36"/>
  <c r="BN14" i="36"/>
  <c r="BO14" i="36"/>
  <c r="BP14" i="36"/>
  <c r="BQ14" i="36"/>
  <c r="BR14" i="36"/>
  <c r="BS14" i="36"/>
  <c r="BT14" i="36"/>
  <c r="BU14" i="36"/>
  <c r="AQ15" i="36"/>
  <c r="AR15" i="36"/>
  <c r="AS15" i="36"/>
  <c r="AT15" i="36"/>
  <c r="AU15" i="36"/>
  <c r="AV15" i="36"/>
  <c r="AW15" i="36"/>
  <c r="AX15" i="36"/>
  <c r="AY15" i="36"/>
  <c r="AZ15" i="36"/>
  <c r="BA15" i="36"/>
  <c r="BB15" i="36"/>
  <c r="BC15" i="36"/>
  <c r="BD15" i="36"/>
  <c r="BE15" i="36"/>
  <c r="BF15" i="36"/>
  <c r="BG15" i="36"/>
  <c r="BH15" i="36"/>
  <c r="BI15" i="36"/>
  <c r="BJ15" i="36"/>
  <c r="BK15" i="36"/>
  <c r="BL15" i="36"/>
  <c r="BM15" i="36"/>
  <c r="BN15" i="36"/>
  <c r="BO15" i="36"/>
  <c r="BP15" i="36"/>
  <c r="BQ15" i="36"/>
  <c r="BR15" i="36"/>
  <c r="BS15" i="36"/>
  <c r="BT15" i="36"/>
  <c r="BU15" i="36"/>
  <c r="AQ16" i="36"/>
  <c r="AR16" i="36"/>
  <c r="AS16" i="36"/>
  <c r="AT16" i="36"/>
  <c r="AU16" i="36"/>
  <c r="AV16" i="36"/>
  <c r="AW16" i="36"/>
  <c r="AX16" i="36"/>
  <c r="AY16" i="36"/>
  <c r="AZ16" i="36"/>
  <c r="BA16" i="36"/>
  <c r="BB16" i="36"/>
  <c r="BC16" i="36"/>
  <c r="BD16" i="36"/>
  <c r="BE16" i="36"/>
  <c r="BF16" i="36"/>
  <c r="BG16" i="36"/>
  <c r="BH16" i="36"/>
  <c r="BI16" i="36"/>
  <c r="BJ16" i="36"/>
  <c r="BK16" i="36"/>
  <c r="BL16" i="36"/>
  <c r="BM16" i="36"/>
  <c r="BN16" i="36"/>
  <c r="BO16" i="36"/>
  <c r="BP16" i="36"/>
  <c r="BQ16" i="36"/>
  <c r="BR16" i="36"/>
  <c r="BS16" i="36"/>
  <c r="BT16" i="36"/>
  <c r="BU16" i="36"/>
  <c r="AQ17" i="36"/>
  <c r="AR17" i="36"/>
  <c r="AS17" i="36"/>
  <c r="AT17" i="36"/>
  <c r="AU17" i="36"/>
  <c r="AV17" i="36"/>
  <c r="AW17" i="36"/>
  <c r="AX17" i="36"/>
  <c r="AY17" i="36"/>
  <c r="AZ17" i="36"/>
  <c r="BA17" i="36"/>
  <c r="BB17" i="36"/>
  <c r="BC17" i="36"/>
  <c r="BD17" i="36"/>
  <c r="BE17" i="36"/>
  <c r="BF17" i="36"/>
  <c r="BG17" i="36"/>
  <c r="BH17" i="36"/>
  <c r="BI17" i="36"/>
  <c r="BJ17" i="36"/>
  <c r="BK17" i="36"/>
  <c r="BL17" i="36"/>
  <c r="BM17" i="36"/>
  <c r="BN17" i="36"/>
  <c r="BO17" i="36"/>
  <c r="BP17" i="36"/>
  <c r="BQ17" i="36"/>
  <c r="BR17" i="36"/>
  <c r="BS17" i="36"/>
  <c r="BT17" i="36"/>
  <c r="BU17" i="36"/>
  <c r="AP4" i="36"/>
  <c r="AP5" i="36"/>
  <c r="AP6" i="36"/>
  <c r="AP7" i="36"/>
  <c r="AP8" i="36"/>
  <c r="AP9" i="36"/>
  <c r="AP10" i="36"/>
  <c r="AP11" i="36"/>
  <c r="AP12" i="36"/>
  <c r="AP13" i="36"/>
  <c r="AP14" i="36"/>
  <c r="AP15" i="36"/>
  <c r="AP16" i="36"/>
  <c r="AP17" i="36"/>
  <c r="AP3" i="36"/>
  <c r="AO34" i="37" l="1"/>
  <c r="AO45" i="37"/>
  <c r="AO42" i="37"/>
  <c r="AO41" i="37"/>
  <c r="AO28" i="37"/>
  <c r="AO27" i="37"/>
  <c r="AO31" i="37"/>
  <c r="AO37" i="37"/>
  <c r="AO40" i="37"/>
  <c r="AO43" i="37"/>
  <c r="AO30" i="37"/>
  <c r="AO38" i="37"/>
  <c r="AO26" i="37"/>
  <c r="AO29" i="37"/>
  <c r="AO39" i="37"/>
  <c r="AO32" i="37"/>
  <c r="AO44" i="37"/>
  <c r="AO33" i="37"/>
  <c r="C25" i="34" l="1"/>
  <c r="F24" i="34"/>
  <c r="E21" i="34"/>
  <c r="B21" i="34"/>
  <c r="H30" i="34"/>
  <c r="G24" i="34"/>
  <c r="D19" i="34"/>
  <c r="F18" i="34"/>
  <c r="J28" i="34"/>
  <c r="D21" i="34"/>
  <c r="M25" i="34"/>
  <c r="M28" i="34"/>
  <c r="S20" i="34"/>
  <c r="Q24" i="34"/>
  <c r="L20" i="34"/>
  <c r="J19" i="34"/>
  <c r="T27" i="34"/>
  <c r="P25" i="34"/>
  <c r="S28" i="34"/>
  <c r="Q20" i="34"/>
  <c r="M21" i="34"/>
  <c r="N25" i="34"/>
  <c r="R27" i="34"/>
  <c r="O18" i="34"/>
  <c r="R21" i="34"/>
  <c r="P26" i="34"/>
  <c r="T25" i="34"/>
  <c r="N21" i="34"/>
  <c r="L18" i="34"/>
  <c r="S18" i="34"/>
  <c r="M20" i="34"/>
  <c r="T24" i="34"/>
  <c r="O20" i="34"/>
  <c r="Q28" i="34"/>
  <c r="O19" i="34"/>
  <c r="M18" i="34"/>
  <c r="T18" i="34"/>
  <c r="S27" i="34"/>
  <c r="P20" i="34"/>
  <c r="Q19" i="34"/>
  <c r="P18" i="34"/>
  <c r="Q18" i="34"/>
  <c r="T20" i="34"/>
  <c r="O26" i="34"/>
  <c r="L19" i="34"/>
  <c r="R28" i="34"/>
  <c r="L21" i="34"/>
  <c r="T19" i="34"/>
  <c r="S26" i="34"/>
  <c r="L28" i="34"/>
  <c r="L27" i="34"/>
  <c r="N20" i="34"/>
  <c r="N27" i="34"/>
  <c r="N26" i="34"/>
  <c r="P19" i="34"/>
  <c r="R25" i="34"/>
  <c r="O28" i="34"/>
  <c r="Q27" i="34"/>
  <c r="F27" i="34"/>
  <c r="S21" i="34"/>
  <c r="R18" i="34"/>
  <c r="R24" i="34"/>
  <c r="Q21" i="34"/>
  <c r="M27" i="34"/>
  <c r="J29" i="34"/>
  <c r="M19" i="34"/>
  <c r="F26" i="34"/>
  <c r="I23" i="34"/>
  <c r="L26" i="34"/>
  <c r="F25" i="34"/>
  <c r="R19" i="34"/>
  <c r="M24" i="34"/>
  <c r="L25" i="34"/>
  <c r="N19" i="34"/>
  <c r="O27" i="34"/>
  <c r="O21" i="34"/>
  <c r="Q26" i="34"/>
  <c r="L24" i="34"/>
  <c r="S24" i="34"/>
  <c r="S25" i="34"/>
  <c r="O24" i="34"/>
  <c r="O25" i="34"/>
  <c r="P24" i="34"/>
  <c r="C19" i="34"/>
  <c r="T28" i="34"/>
  <c r="P21" i="34"/>
  <c r="S19" i="34"/>
  <c r="N28" i="34"/>
  <c r="T21" i="34"/>
  <c r="R20" i="34"/>
  <c r="P28" i="34"/>
  <c r="H24" i="34"/>
  <c r="P27" i="34"/>
  <c r="M26" i="34"/>
  <c r="Q25" i="34"/>
  <c r="N24" i="34"/>
  <c r="T26" i="34"/>
  <c r="G30" i="34"/>
  <c r="G29" i="34"/>
  <c r="R26" i="34"/>
  <c r="I28" i="34"/>
  <c r="N18" i="34"/>
  <c r="F21" i="34"/>
  <c r="G27" i="34"/>
  <c r="G25" i="34"/>
  <c r="E25" i="34"/>
  <c r="B27" i="34"/>
  <c r="B30" i="34"/>
  <c r="J20" i="34"/>
  <c r="E24" i="34"/>
  <c r="G22" i="34"/>
  <c r="D24" i="34"/>
  <c r="F22" i="34"/>
  <c r="C23" i="34"/>
  <c r="D29" i="34"/>
  <c r="E20" i="34"/>
  <c r="B29" i="34"/>
  <c r="E18" i="34"/>
  <c r="F23" i="34"/>
  <c r="G23" i="34"/>
  <c r="E22" i="34"/>
  <c r="B22" i="34"/>
  <c r="E29" i="34"/>
  <c r="D28" i="34"/>
  <c r="G19" i="34"/>
  <c r="C30" i="34"/>
  <c r="J23" i="34"/>
  <c r="H22" i="34"/>
  <c r="I22" i="34"/>
  <c r="G21" i="34"/>
  <c r="J18" i="34"/>
  <c r="C24" i="34"/>
  <c r="E23" i="34"/>
  <c r="I18" i="34"/>
  <c r="B19" i="34"/>
  <c r="J21" i="34"/>
  <c r="I20" i="34"/>
  <c r="I21" i="34"/>
  <c r="F28" i="34"/>
  <c r="G28" i="34"/>
  <c r="D20" i="34"/>
  <c r="G20" i="34"/>
  <c r="I24" i="34"/>
  <c r="B25" i="34"/>
  <c r="E27" i="34"/>
  <c r="I27" i="34"/>
  <c r="H26" i="34"/>
  <c r="C28" i="34"/>
  <c r="F20" i="34"/>
  <c r="D23" i="34"/>
  <c r="D18" i="34"/>
  <c r="C18" i="34"/>
  <c r="I19" i="34"/>
  <c r="H21" i="34"/>
  <c r="B28" i="34"/>
  <c r="D30" i="34"/>
  <c r="B26" i="34"/>
  <c r="D25" i="34"/>
  <c r="J25" i="34"/>
  <c r="C26" i="34"/>
  <c r="J22" i="34"/>
  <c r="H25" i="34"/>
  <c r="B18" i="34"/>
  <c r="F19" i="34"/>
  <c r="G26" i="34"/>
  <c r="I25" i="34"/>
  <c r="D26" i="34"/>
  <c r="J24" i="34"/>
  <c r="F29" i="34"/>
  <c r="E19" i="34"/>
  <c r="H18" i="34"/>
  <c r="J26" i="34"/>
  <c r="H20" i="34"/>
  <c r="H29" i="34"/>
  <c r="C20" i="34"/>
  <c r="H19" i="34"/>
  <c r="C21" i="34"/>
  <c r="H28" i="34"/>
  <c r="I29" i="34"/>
  <c r="G18" i="34"/>
  <c r="D27" i="34"/>
  <c r="J27" i="34"/>
  <c r="J30" i="34"/>
  <c r="F30" i="34"/>
  <c r="I30" i="34"/>
  <c r="L23" i="34"/>
  <c r="C27" i="34"/>
  <c r="M22" i="34"/>
  <c r="P23" i="34"/>
  <c r="P22" i="34"/>
  <c r="C22" i="34"/>
  <c r="L22" i="34"/>
  <c r="M23" i="34"/>
  <c r="B23" i="34"/>
  <c r="Q22" i="34"/>
  <c r="E30" i="34"/>
  <c r="C29" i="34"/>
  <c r="R23" i="34"/>
  <c r="E28" i="34"/>
  <c r="E26" i="34"/>
  <c r="S22" i="34"/>
  <c r="N22" i="34"/>
  <c r="N23" i="34"/>
  <c r="T22" i="34"/>
  <c r="O23" i="34"/>
  <c r="Q23" i="34"/>
  <c r="H23" i="34"/>
  <c r="B20" i="34"/>
  <c r="I26" i="34"/>
  <c r="D22" i="34"/>
  <c r="H27" i="34"/>
  <c r="B24" i="34"/>
  <c r="R22" i="34"/>
  <c r="O22" i="34"/>
  <c r="T23" i="34"/>
  <c r="S23" i="34"/>
  <c r="C2" i="29" l="1"/>
  <c r="H23" i="24"/>
  <c r="I30" i="24"/>
  <c r="AA44" i="35"/>
  <c r="C6" i="29"/>
  <c r="C24" i="24"/>
  <c r="AA46" i="35"/>
  <c r="AA41" i="35"/>
  <c r="C10" i="29"/>
  <c r="G24" i="24"/>
  <c r="C14" i="29"/>
  <c r="K24" i="24"/>
  <c r="AA35" i="35"/>
  <c r="F25" i="24"/>
  <c r="I18" i="24"/>
  <c r="E18" i="24"/>
  <c r="J25" i="24"/>
  <c r="D19" i="24"/>
  <c r="E26" i="24"/>
  <c r="H19" i="24"/>
  <c r="I26" i="24"/>
  <c r="AA42" i="35"/>
  <c r="C20" i="24"/>
  <c r="D27" i="24"/>
  <c r="AA45" i="35"/>
  <c r="G20" i="24"/>
  <c r="H27" i="24"/>
  <c r="K20" i="24"/>
  <c r="C28" i="24"/>
  <c r="AA43" i="35"/>
  <c r="F21" i="24"/>
  <c r="G28" i="24"/>
  <c r="AA47" i="35"/>
  <c r="J21" i="24"/>
  <c r="K28" i="24"/>
  <c r="E22" i="24"/>
  <c r="F29" i="24"/>
  <c r="AA40" i="35"/>
  <c r="I22" i="24"/>
  <c r="J29" i="24"/>
  <c r="AA36" i="35"/>
  <c r="D23" i="24"/>
  <c r="E30" i="24"/>
  <c r="AA38" i="35"/>
  <c r="C5" i="29"/>
  <c r="H18" i="24"/>
  <c r="F20" i="24"/>
  <c r="D22" i="24"/>
  <c r="K23" i="24"/>
  <c r="I25" i="24"/>
  <c r="G27" i="24"/>
  <c r="E29" i="24"/>
  <c r="G29" i="24"/>
  <c r="J18" i="24"/>
  <c r="F22" i="24"/>
  <c r="K25" i="24"/>
  <c r="C8" i="29"/>
  <c r="K18" i="24"/>
  <c r="I20" i="24"/>
  <c r="G22" i="24"/>
  <c r="E24" i="24"/>
  <c r="C26" i="24"/>
  <c r="J27" i="24"/>
  <c r="H29" i="24"/>
  <c r="C7" i="29"/>
  <c r="H20" i="24"/>
  <c r="D24" i="24"/>
  <c r="I27" i="24"/>
  <c r="C9" i="29"/>
  <c r="C19" i="24"/>
  <c r="J20" i="24"/>
  <c r="H22" i="24"/>
  <c r="F24" i="24"/>
  <c r="D26" i="24"/>
  <c r="K27" i="24"/>
  <c r="I29" i="24"/>
  <c r="C21" i="24"/>
  <c r="D28" i="24"/>
  <c r="E19" i="24"/>
  <c r="AA39" i="35"/>
  <c r="C12" i="29"/>
  <c r="F19" i="24"/>
  <c r="D21" i="24"/>
  <c r="K22" i="24"/>
  <c r="I24" i="24"/>
  <c r="G26" i="24"/>
  <c r="E28" i="24"/>
  <c r="C30" i="24"/>
  <c r="C11" i="29"/>
  <c r="J22" i="24"/>
  <c r="H24" i="24"/>
  <c r="F26" i="24"/>
  <c r="K29" i="24"/>
  <c r="C13" i="29"/>
  <c r="G19" i="24"/>
  <c r="E21" i="24"/>
  <c r="C23" i="24"/>
  <c r="J24" i="24"/>
  <c r="H26" i="24"/>
  <c r="F28" i="24"/>
  <c r="D30" i="24"/>
  <c r="C15" i="29"/>
  <c r="G21" i="24"/>
  <c r="C25" i="24"/>
  <c r="H28" i="24"/>
  <c r="I19" i="24"/>
  <c r="E23" i="24"/>
  <c r="J26" i="24"/>
  <c r="F30" i="24"/>
  <c r="C18" i="24"/>
  <c r="J19" i="24"/>
  <c r="H21" i="24"/>
  <c r="F23" i="24"/>
  <c r="D25" i="24"/>
  <c r="K26" i="24"/>
  <c r="I28" i="24"/>
  <c r="G30" i="24"/>
  <c r="AA34" i="35"/>
  <c r="D18" i="24"/>
  <c r="K19" i="24"/>
  <c r="I21" i="24"/>
  <c r="G23" i="24"/>
  <c r="E25" i="24"/>
  <c r="C27" i="24"/>
  <c r="J28" i="24"/>
  <c r="H30" i="24"/>
  <c r="C3" i="29"/>
  <c r="F18" i="24"/>
  <c r="D20" i="24"/>
  <c r="K21" i="24"/>
  <c r="I23" i="24"/>
  <c r="G25" i="24"/>
  <c r="E27" i="24"/>
  <c r="C29" i="24"/>
  <c r="J30" i="24"/>
  <c r="AA37" i="35"/>
  <c r="C4" i="29"/>
  <c r="G18" i="24"/>
  <c r="E20" i="24"/>
  <c r="C22" i="24"/>
  <c r="J23" i="24"/>
  <c r="H25" i="24"/>
  <c r="F27" i="24"/>
  <c r="D29" i="24"/>
  <c r="K30" i="24"/>
  <c r="N220" i="32" l="1"/>
  <c r="M220" i="32"/>
  <c r="L220" i="32"/>
  <c r="K220" i="32"/>
  <c r="J220" i="32"/>
  <c r="I220" i="32"/>
  <c r="H220" i="32"/>
  <c r="G220" i="32"/>
  <c r="F220" i="32"/>
  <c r="E220" i="32"/>
  <c r="D220" i="32"/>
  <c r="C220" i="32"/>
  <c r="B220" i="32"/>
  <c r="N219" i="32"/>
  <c r="M219" i="32"/>
  <c r="L219" i="32"/>
  <c r="K219" i="32"/>
  <c r="J219" i="32"/>
  <c r="I219" i="32"/>
  <c r="H219" i="32"/>
  <c r="G219" i="32"/>
  <c r="F219" i="32"/>
  <c r="E219" i="32"/>
  <c r="D219" i="32"/>
  <c r="C219" i="32"/>
  <c r="B219" i="32"/>
  <c r="N218" i="32"/>
  <c r="M218" i="32"/>
  <c r="L218" i="32"/>
  <c r="K218" i="32"/>
  <c r="J218" i="32"/>
  <c r="I218" i="32"/>
  <c r="H218" i="32"/>
  <c r="G218" i="32"/>
  <c r="F218" i="32"/>
  <c r="E218" i="32"/>
  <c r="D218" i="32"/>
  <c r="C218" i="32"/>
  <c r="B218" i="32"/>
  <c r="N217" i="32"/>
  <c r="M217" i="32"/>
  <c r="L217" i="32"/>
  <c r="K217" i="32"/>
  <c r="J217" i="32"/>
  <c r="I217" i="32"/>
  <c r="H217" i="32"/>
  <c r="G217" i="32"/>
  <c r="F217" i="32"/>
  <c r="E217" i="32"/>
  <c r="D217" i="32"/>
  <c r="C217" i="32"/>
  <c r="B217" i="32"/>
  <c r="N216" i="32"/>
  <c r="M216" i="32"/>
  <c r="L216" i="32"/>
  <c r="K216" i="32"/>
  <c r="J216" i="32"/>
  <c r="I216" i="32"/>
  <c r="H216" i="32"/>
  <c r="G216" i="32"/>
  <c r="F216" i="32"/>
  <c r="E216" i="32"/>
  <c r="D216" i="32"/>
  <c r="C216" i="32"/>
  <c r="B216" i="32"/>
  <c r="N215" i="32"/>
  <c r="M215" i="32"/>
  <c r="L215" i="32"/>
  <c r="K215" i="32"/>
  <c r="J215" i="32"/>
  <c r="I215" i="32"/>
  <c r="H215" i="32"/>
  <c r="G215" i="32"/>
  <c r="F215" i="32"/>
  <c r="E215" i="32"/>
  <c r="D215" i="32"/>
  <c r="C215" i="32"/>
  <c r="B215" i="32"/>
  <c r="N214" i="32"/>
  <c r="M214" i="32"/>
  <c r="L214" i="32"/>
  <c r="K214" i="32"/>
  <c r="J214" i="32"/>
  <c r="I214" i="32"/>
  <c r="H214" i="32"/>
  <c r="G214" i="32"/>
  <c r="F214" i="32"/>
  <c r="E214" i="32"/>
  <c r="D214" i="32"/>
  <c r="C214" i="32"/>
  <c r="B214" i="32"/>
  <c r="N213" i="32"/>
  <c r="M213" i="32"/>
  <c r="L213" i="32"/>
  <c r="K213" i="32"/>
  <c r="J213" i="32"/>
  <c r="I213" i="32"/>
  <c r="H213" i="32"/>
  <c r="G213" i="32"/>
  <c r="F213" i="32"/>
  <c r="E213" i="32"/>
  <c r="D213" i="32"/>
  <c r="C213" i="32"/>
  <c r="B213" i="32"/>
  <c r="N212" i="32"/>
  <c r="M212" i="32"/>
  <c r="L212" i="32"/>
  <c r="K212" i="32"/>
  <c r="J212" i="32"/>
  <c r="I212" i="32"/>
  <c r="H212" i="32"/>
  <c r="G212" i="32"/>
  <c r="F212" i="32"/>
  <c r="E212" i="32"/>
  <c r="D212" i="32"/>
  <c r="C212" i="32"/>
  <c r="B212" i="32"/>
  <c r="N211" i="32"/>
  <c r="M211" i="32"/>
  <c r="L211" i="32"/>
  <c r="K211" i="32"/>
  <c r="J211" i="32"/>
  <c r="I211" i="32"/>
  <c r="H211" i="32"/>
  <c r="G211" i="32"/>
  <c r="F211" i="32"/>
  <c r="E211" i="32"/>
  <c r="D211" i="32"/>
  <c r="C211" i="32"/>
  <c r="B211" i="32"/>
  <c r="N210" i="32"/>
  <c r="M210" i="32"/>
  <c r="L210" i="32"/>
  <c r="K210" i="32"/>
  <c r="J210" i="32"/>
  <c r="I210" i="32"/>
  <c r="H210" i="32"/>
  <c r="G210" i="32"/>
  <c r="F210" i="32"/>
  <c r="E210" i="32"/>
  <c r="D210" i="32"/>
  <c r="C210" i="32"/>
  <c r="B210" i="32"/>
  <c r="N209" i="32"/>
  <c r="M209" i="32"/>
  <c r="L209" i="32"/>
  <c r="K209" i="32"/>
  <c r="J209" i="32"/>
  <c r="I209" i="32"/>
  <c r="H209" i="32"/>
  <c r="G209" i="32"/>
  <c r="F209" i="32"/>
  <c r="E209" i="32"/>
  <c r="D209" i="32"/>
  <c r="C209" i="32"/>
  <c r="B209" i="32"/>
  <c r="N208" i="32"/>
  <c r="M208" i="32"/>
  <c r="L208" i="32"/>
  <c r="K208" i="32"/>
  <c r="J208" i="32"/>
  <c r="I208" i="32"/>
  <c r="H208" i="32"/>
  <c r="G208" i="32"/>
  <c r="F208" i="32"/>
  <c r="E208" i="32"/>
  <c r="D208" i="32"/>
  <c r="C208" i="32"/>
  <c r="B208" i="32"/>
  <c r="N207" i="32"/>
  <c r="M207" i="32"/>
  <c r="L207" i="32"/>
  <c r="K207" i="32"/>
  <c r="J207" i="32"/>
  <c r="I207" i="32"/>
  <c r="H207" i="32"/>
  <c r="G207" i="32"/>
  <c r="F207" i="32"/>
  <c r="E207" i="32"/>
  <c r="D207" i="32"/>
  <c r="C207" i="32"/>
  <c r="B207" i="32"/>
  <c r="N206" i="32"/>
  <c r="M206" i="32"/>
  <c r="L206" i="32"/>
  <c r="K206" i="32"/>
  <c r="J206" i="32"/>
  <c r="I206" i="32"/>
  <c r="H206" i="32"/>
  <c r="G206" i="32"/>
  <c r="F206" i="32"/>
  <c r="E206" i="32"/>
  <c r="D206" i="32"/>
  <c r="C206" i="32"/>
  <c r="B206" i="32"/>
  <c r="N205" i="32"/>
  <c r="M205" i="32"/>
  <c r="L205" i="32"/>
  <c r="K205" i="32"/>
  <c r="J205" i="32"/>
  <c r="I205" i="32"/>
  <c r="H205" i="32"/>
  <c r="G205" i="32"/>
  <c r="F205" i="32"/>
  <c r="E205" i="32"/>
  <c r="D205" i="32"/>
  <c r="C205" i="32"/>
  <c r="B205" i="32"/>
  <c r="N204" i="32"/>
  <c r="M204" i="32"/>
  <c r="L204" i="32"/>
  <c r="K204" i="32"/>
  <c r="J204" i="32"/>
  <c r="I204" i="32"/>
  <c r="H204" i="32"/>
  <c r="G204" i="32"/>
  <c r="F204" i="32"/>
  <c r="E204" i="32"/>
  <c r="D204" i="32"/>
  <c r="C204" i="32"/>
  <c r="B204" i="32"/>
  <c r="N203" i="32"/>
  <c r="M203" i="32"/>
  <c r="L203" i="32"/>
  <c r="K203" i="32"/>
  <c r="J203" i="32"/>
  <c r="I203" i="32"/>
  <c r="H203" i="32"/>
  <c r="G203" i="32"/>
  <c r="F203" i="32"/>
  <c r="E203" i="32"/>
  <c r="D203" i="32"/>
  <c r="C203" i="32"/>
  <c r="B203" i="32"/>
  <c r="N202" i="32"/>
  <c r="M202" i="32"/>
  <c r="L202" i="32"/>
  <c r="K202" i="32"/>
  <c r="J202" i="32"/>
  <c r="I202" i="32"/>
  <c r="H202" i="32"/>
  <c r="G202" i="32"/>
  <c r="F202" i="32"/>
  <c r="E202" i="32"/>
  <c r="D202" i="32"/>
  <c r="C202" i="32"/>
  <c r="B202" i="32"/>
  <c r="N201" i="32"/>
  <c r="M201" i="32"/>
  <c r="L201" i="32"/>
  <c r="K201" i="32"/>
  <c r="J201" i="32"/>
  <c r="I201" i="32"/>
  <c r="H201" i="32"/>
  <c r="G201" i="32"/>
  <c r="F201" i="32"/>
  <c r="E201" i="32"/>
  <c r="D201" i="32"/>
  <c r="C201" i="32"/>
  <c r="B201" i="32"/>
  <c r="N200" i="32"/>
  <c r="M200" i="32"/>
  <c r="L200" i="32"/>
  <c r="K200" i="32"/>
  <c r="J200" i="32"/>
  <c r="I200" i="32"/>
  <c r="H200" i="32"/>
  <c r="G200" i="32"/>
  <c r="F200" i="32"/>
  <c r="E200" i="32"/>
  <c r="D200" i="32"/>
  <c r="C200" i="32"/>
  <c r="B200" i="32"/>
  <c r="N199" i="32"/>
  <c r="M199" i="32"/>
  <c r="L199" i="32"/>
  <c r="K199" i="32"/>
  <c r="J199" i="32"/>
  <c r="I199" i="32"/>
  <c r="H199" i="32"/>
  <c r="G199" i="32"/>
  <c r="F199" i="32"/>
  <c r="E199" i="32"/>
  <c r="D199" i="32"/>
  <c r="C199" i="32"/>
  <c r="B199" i="32"/>
  <c r="N198" i="32"/>
  <c r="M198" i="32"/>
  <c r="L198" i="32"/>
  <c r="K198" i="32"/>
  <c r="J198" i="32"/>
  <c r="I198" i="32"/>
  <c r="H198" i="32"/>
  <c r="G198" i="32"/>
  <c r="F198" i="32"/>
  <c r="E198" i="32"/>
  <c r="D198" i="32"/>
  <c r="C198" i="32"/>
  <c r="B198" i="32"/>
  <c r="N197" i="32"/>
  <c r="M197" i="32"/>
  <c r="L197" i="32"/>
  <c r="K197" i="32"/>
  <c r="J197" i="32"/>
  <c r="I197" i="32"/>
  <c r="H197" i="32"/>
  <c r="G197" i="32"/>
  <c r="F197" i="32"/>
  <c r="E197" i="32"/>
  <c r="D197" i="32"/>
  <c r="C197" i="32"/>
  <c r="B197" i="32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B196" i="32"/>
  <c r="N195" i="32"/>
  <c r="M195" i="32"/>
  <c r="L195" i="32"/>
  <c r="K195" i="32"/>
  <c r="J195" i="32"/>
  <c r="I195" i="32"/>
  <c r="H195" i="32"/>
  <c r="G195" i="32"/>
  <c r="F195" i="32"/>
  <c r="E195" i="32"/>
  <c r="D195" i="32"/>
  <c r="C195" i="32"/>
  <c r="B195" i="32"/>
  <c r="N194" i="32"/>
  <c r="M194" i="32"/>
  <c r="L194" i="32"/>
  <c r="K194" i="32"/>
  <c r="J194" i="32"/>
  <c r="I194" i="32"/>
  <c r="H194" i="32"/>
  <c r="G194" i="32"/>
  <c r="F194" i="32"/>
  <c r="E194" i="32"/>
  <c r="D194" i="32"/>
  <c r="C194" i="32"/>
  <c r="B194" i="32"/>
  <c r="N193" i="32"/>
  <c r="M193" i="32"/>
  <c r="L193" i="32"/>
  <c r="K193" i="32"/>
  <c r="J193" i="32"/>
  <c r="I193" i="32"/>
  <c r="H193" i="32"/>
  <c r="G193" i="32"/>
  <c r="F193" i="32"/>
  <c r="E193" i="32"/>
  <c r="D193" i="32"/>
  <c r="C193" i="32"/>
  <c r="B193" i="32"/>
  <c r="N192" i="32"/>
  <c r="M192" i="32"/>
  <c r="L192" i="32"/>
  <c r="K192" i="32"/>
  <c r="J192" i="32"/>
  <c r="I192" i="32"/>
  <c r="H192" i="32"/>
  <c r="G192" i="32"/>
  <c r="F192" i="32"/>
  <c r="E192" i="32"/>
  <c r="D192" i="32"/>
  <c r="C192" i="32"/>
  <c r="B192" i="32"/>
  <c r="N191" i="32"/>
  <c r="M191" i="32"/>
  <c r="L191" i="32"/>
  <c r="K191" i="32"/>
  <c r="J191" i="32"/>
  <c r="I191" i="32"/>
  <c r="H191" i="32"/>
  <c r="G191" i="32"/>
  <c r="F191" i="32"/>
  <c r="E191" i="32"/>
  <c r="D191" i="32"/>
  <c r="C191" i="32"/>
  <c r="B191" i="32"/>
  <c r="N190" i="32"/>
  <c r="M190" i="32"/>
  <c r="L190" i="32"/>
  <c r="K190" i="32"/>
  <c r="J190" i="32"/>
  <c r="I190" i="32"/>
  <c r="H190" i="32"/>
  <c r="G190" i="32"/>
  <c r="F190" i="32"/>
  <c r="E190" i="32"/>
  <c r="D190" i="32"/>
  <c r="C190" i="32"/>
  <c r="B190" i="32"/>
  <c r="N189" i="32"/>
  <c r="M189" i="32"/>
  <c r="L189" i="32"/>
  <c r="K189" i="32"/>
  <c r="J189" i="32"/>
  <c r="I189" i="32"/>
  <c r="H189" i="32"/>
  <c r="G189" i="32"/>
  <c r="F189" i="32"/>
  <c r="E189" i="32"/>
  <c r="D189" i="32"/>
  <c r="C189" i="32"/>
  <c r="B189" i="32"/>
  <c r="N188" i="32"/>
  <c r="M188" i="32"/>
  <c r="L188" i="32"/>
  <c r="K188" i="32"/>
  <c r="J188" i="32"/>
  <c r="I188" i="32"/>
  <c r="H188" i="32"/>
  <c r="G188" i="32"/>
  <c r="F188" i="32"/>
  <c r="E188" i="32"/>
  <c r="D188" i="32"/>
  <c r="C188" i="32"/>
  <c r="B188" i="32"/>
  <c r="N187" i="32"/>
  <c r="M187" i="32"/>
  <c r="L187" i="32"/>
  <c r="K187" i="32"/>
  <c r="J187" i="32"/>
  <c r="I187" i="32"/>
  <c r="H187" i="32"/>
  <c r="G187" i="32"/>
  <c r="F187" i="32"/>
  <c r="E187" i="32"/>
  <c r="D187" i="32"/>
  <c r="C187" i="32"/>
  <c r="B187" i="32"/>
  <c r="N186" i="32"/>
  <c r="M186" i="32"/>
  <c r="L186" i="32"/>
  <c r="K186" i="32"/>
  <c r="J186" i="32"/>
  <c r="I186" i="32"/>
  <c r="H186" i="32"/>
  <c r="G186" i="32"/>
  <c r="F186" i="32"/>
  <c r="E186" i="32"/>
  <c r="D186" i="32"/>
  <c r="C186" i="32"/>
  <c r="B186" i="32"/>
  <c r="N185" i="32"/>
  <c r="M185" i="32"/>
  <c r="L185" i="32"/>
  <c r="K185" i="32"/>
  <c r="J185" i="32"/>
  <c r="I185" i="32"/>
  <c r="H185" i="32"/>
  <c r="G185" i="32"/>
  <c r="F185" i="32"/>
  <c r="E185" i="32"/>
  <c r="D185" i="32"/>
  <c r="C185" i="32"/>
  <c r="B185" i="32"/>
  <c r="N184" i="32"/>
  <c r="M184" i="32"/>
  <c r="L184" i="32"/>
  <c r="K184" i="32"/>
  <c r="J184" i="32"/>
  <c r="I184" i="32"/>
  <c r="H184" i="32"/>
  <c r="G184" i="32"/>
  <c r="F184" i="32"/>
  <c r="E184" i="32"/>
  <c r="D184" i="32"/>
  <c r="C184" i="32"/>
  <c r="B184" i="32"/>
  <c r="N183" i="32"/>
  <c r="M183" i="32"/>
  <c r="L183" i="32"/>
  <c r="K183" i="32"/>
  <c r="J183" i="32"/>
  <c r="I183" i="32"/>
  <c r="H183" i="32"/>
  <c r="G183" i="32"/>
  <c r="F183" i="32"/>
  <c r="E183" i="32"/>
  <c r="D183" i="32"/>
  <c r="C183" i="32"/>
  <c r="B183" i="32"/>
  <c r="N182" i="32"/>
  <c r="M182" i="32"/>
  <c r="L182" i="32"/>
  <c r="K182" i="32"/>
  <c r="J182" i="32"/>
  <c r="I182" i="32"/>
  <c r="H182" i="32"/>
  <c r="G182" i="32"/>
  <c r="F182" i="32"/>
  <c r="E182" i="32"/>
  <c r="D182" i="32"/>
  <c r="C182" i="32"/>
  <c r="B182" i="32"/>
  <c r="N181" i="32"/>
  <c r="M181" i="32"/>
  <c r="L181" i="32"/>
  <c r="K181" i="32"/>
  <c r="J181" i="32"/>
  <c r="I181" i="32"/>
  <c r="H181" i="32"/>
  <c r="G181" i="32"/>
  <c r="F181" i="32"/>
  <c r="E181" i="32"/>
  <c r="D181" i="32"/>
  <c r="C181" i="32"/>
  <c r="B181" i="32"/>
  <c r="N180" i="32"/>
  <c r="M180" i="32"/>
  <c r="L180" i="32"/>
  <c r="K180" i="32"/>
  <c r="J180" i="32"/>
  <c r="I180" i="32"/>
  <c r="H180" i="32"/>
  <c r="G180" i="32"/>
  <c r="F180" i="32"/>
  <c r="E180" i="32"/>
  <c r="D180" i="32"/>
  <c r="C180" i="32"/>
  <c r="B180" i="32"/>
  <c r="N179" i="32"/>
  <c r="M179" i="32"/>
  <c r="L179" i="32"/>
  <c r="K179" i="32"/>
  <c r="J179" i="32"/>
  <c r="I179" i="32"/>
  <c r="H179" i="32"/>
  <c r="G179" i="32"/>
  <c r="F179" i="32"/>
  <c r="E179" i="32"/>
  <c r="D179" i="32"/>
  <c r="C179" i="32"/>
  <c r="B179" i="32"/>
  <c r="N178" i="32"/>
  <c r="M178" i="32"/>
  <c r="L178" i="32"/>
  <c r="K178" i="32"/>
  <c r="J178" i="32"/>
  <c r="I178" i="32"/>
  <c r="H178" i="32"/>
  <c r="G178" i="32"/>
  <c r="F178" i="32"/>
  <c r="E178" i="32"/>
  <c r="D178" i="32"/>
  <c r="C178" i="32"/>
  <c r="B178" i="32"/>
  <c r="N177" i="32"/>
  <c r="M177" i="32"/>
  <c r="L177" i="32"/>
  <c r="K177" i="32"/>
  <c r="J177" i="32"/>
  <c r="I177" i="32"/>
  <c r="H177" i="32"/>
  <c r="G177" i="32"/>
  <c r="F177" i="32"/>
  <c r="E177" i="32"/>
  <c r="D177" i="32"/>
  <c r="C177" i="32"/>
  <c r="B177" i="32"/>
  <c r="N176" i="32"/>
  <c r="M176" i="32"/>
  <c r="L176" i="32"/>
  <c r="K176" i="32"/>
  <c r="J176" i="32"/>
  <c r="I176" i="32"/>
  <c r="H176" i="32"/>
  <c r="G176" i="32"/>
  <c r="F176" i="32"/>
  <c r="E176" i="32"/>
  <c r="D176" i="32"/>
  <c r="C176" i="32"/>
  <c r="B176" i="32"/>
  <c r="N175" i="32"/>
  <c r="M175" i="32"/>
  <c r="L175" i="32"/>
  <c r="K175" i="32"/>
  <c r="J175" i="32"/>
  <c r="I175" i="32"/>
  <c r="H175" i="32"/>
  <c r="G175" i="32"/>
  <c r="F175" i="32"/>
  <c r="E175" i="32"/>
  <c r="D175" i="32"/>
  <c r="C175" i="32"/>
  <c r="B175" i="32"/>
  <c r="N174" i="32"/>
  <c r="M174" i="32"/>
  <c r="L174" i="32"/>
  <c r="K174" i="32"/>
  <c r="J174" i="32"/>
  <c r="I174" i="32"/>
  <c r="H174" i="32"/>
  <c r="G174" i="32"/>
  <c r="F174" i="32"/>
  <c r="E174" i="32"/>
  <c r="D174" i="32"/>
  <c r="C174" i="32"/>
  <c r="B174" i="32"/>
  <c r="N173" i="32"/>
  <c r="M173" i="32"/>
  <c r="L173" i="32"/>
  <c r="K173" i="32"/>
  <c r="J173" i="32"/>
  <c r="I173" i="32"/>
  <c r="H173" i="32"/>
  <c r="G173" i="32"/>
  <c r="F173" i="32"/>
  <c r="E173" i="32"/>
  <c r="D173" i="32"/>
  <c r="C173" i="32"/>
  <c r="B173" i="32"/>
  <c r="N172" i="32"/>
  <c r="M172" i="32"/>
  <c r="L172" i="32"/>
  <c r="K172" i="32"/>
  <c r="J172" i="32"/>
  <c r="I172" i="32"/>
  <c r="H172" i="32"/>
  <c r="G172" i="32"/>
  <c r="F172" i="32"/>
  <c r="E172" i="32"/>
  <c r="D172" i="32"/>
  <c r="C172" i="32"/>
  <c r="B172" i="32"/>
  <c r="N171" i="32"/>
  <c r="M171" i="32"/>
  <c r="L171" i="32"/>
  <c r="K171" i="32"/>
  <c r="J171" i="32"/>
  <c r="I171" i="32"/>
  <c r="H171" i="32"/>
  <c r="G171" i="32"/>
  <c r="F171" i="32"/>
  <c r="E171" i="32"/>
  <c r="D171" i="32"/>
  <c r="C171" i="32"/>
  <c r="B171" i="32"/>
  <c r="N170" i="32"/>
  <c r="M170" i="32"/>
  <c r="L170" i="32"/>
  <c r="K170" i="32"/>
  <c r="J170" i="32"/>
  <c r="I170" i="32"/>
  <c r="H170" i="32"/>
  <c r="G170" i="32"/>
  <c r="F170" i="32"/>
  <c r="E170" i="32"/>
  <c r="D170" i="32"/>
  <c r="C170" i="32"/>
  <c r="B170" i="32"/>
  <c r="N169" i="32"/>
  <c r="M169" i="32"/>
  <c r="L169" i="32"/>
  <c r="K169" i="32"/>
  <c r="J169" i="32"/>
  <c r="I169" i="32"/>
  <c r="H169" i="32"/>
  <c r="G169" i="32"/>
  <c r="F169" i="32"/>
  <c r="E169" i="32"/>
  <c r="D169" i="32"/>
  <c r="C169" i="32"/>
  <c r="B169" i="32"/>
  <c r="N168" i="32"/>
  <c r="M168" i="32"/>
  <c r="L168" i="32"/>
  <c r="K168" i="32"/>
  <c r="J168" i="32"/>
  <c r="I168" i="32"/>
  <c r="H168" i="32"/>
  <c r="G168" i="32"/>
  <c r="F168" i="32"/>
  <c r="E168" i="32"/>
  <c r="D168" i="32"/>
  <c r="C168" i="32"/>
  <c r="B168" i="32"/>
  <c r="N167" i="32"/>
  <c r="M167" i="32"/>
  <c r="L167" i="32"/>
  <c r="K167" i="32"/>
  <c r="J167" i="32"/>
  <c r="I167" i="32"/>
  <c r="H167" i="32"/>
  <c r="G167" i="32"/>
  <c r="F167" i="32"/>
  <c r="E167" i="32"/>
  <c r="D167" i="32"/>
  <c r="C167" i="32"/>
  <c r="B167" i="32"/>
  <c r="N166" i="32"/>
  <c r="M166" i="32"/>
  <c r="L166" i="32"/>
  <c r="K166" i="32"/>
  <c r="J166" i="32"/>
  <c r="I166" i="32"/>
  <c r="H166" i="32"/>
  <c r="G166" i="32"/>
  <c r="F166" i="32"/>
  <c r="E166" i="32"/>
  <c r="D166" i="32"/>
  <c r="C166" i="32"/>
  <c r="B166" i="32"/>
  <c r="N165" i="32"/>
  <c r="M165" i="32"/>
  <c r="L165" i="32"/>
  <c r="K165" i="32"/>
  <c r="J165" i="32"/>
  <c r="I165" i="32"/>
  <c r="H165" i="32"/>
  <c r="G165" i="32"/>
  <c r="F165" i="32"/>
  <c r="E165" i="32"/>
  <c r="D165" i="32"/>
  <c r="C165" i="32"/>
  <c r="B165" i="32"/>
  <c r="N164" i="32"/>
  <c r="M164" i="32"/>
  <c r="L164" i="32"/>
  <c r="K164" i="32"/>
  <c r="J164" i="32"/>
  <c r="I164" i="32"/>
  <c r="H164" i="32"/>
  <c r="G164" i="32"/>
  <c r="F164" i="32"/>
  <c r="E164" i="32"/>
  <c r="D164" i="32"/>
  <c r="C164" i="32"/>
  <c r="B164" i="32"/>
  <c r="N163" i="32"/>
  <c r="M163" i="32"/>
  <c r="L163" i="32"/>
  <c r="K163" i="32"/>
  <c r="J163" i="32"/>
  <c r="I163" i="32"/>
  <c r="H163" i="32"/>
  <c r="G163" i="32"/>
  <c r="F163" i="32"/>
  <c r="E163" i="32"/>
  <c r="D163" i="32"/>
  <c r="C163" i="32"/>
  <c r="B163" i="32"/>
  <c r="N162" i="32"/>
  <c r="M162" i="32"/>
  <c r="L162" i="32"/>
  <c r="K162" i="32"/>
  <c r="J162" i="32"/>
  <c r="I162" i="32"/>
  <c r="H162" i="32"/>
  <c r="G162" i="32"/>
  <c r="F162" i="32"/>
  <c r="E162" i="32"/>
  <c r="D162" i="32"/>
  <c r="C162" i="32"/>
  <c r="B162" i="32"/>
  <c r="N161" i="32"/>
  <c r="M161" i="32"/>
  <c r="L161" i="32"/>
  <c r="K161" i="32"/>
  <c r="J161" i="32"/>
  <c r="I161" i="32"/>
  <c r="H161" i="32"/>
  <c r="G161" i="32"/>
  <c r="F161" i="32"/>
  <c r="E161" i="32"/>
  <c r="D161" i="32"/>
  <c r="C161" i="32"/>
  <c r="B161" i="32"/>
  <c r="N160" i="32"/>
  <c r="M160" i="32"/>
  <c r="L160" i="32"/>
  <c r="K160" i="32"/>
  <c r="J160" i="32"/>
  <c r="I160" i="32"/>
  <c r="H160" i="32"/>
  <c r="G160" i="32"/>
  <c r="F160" i="32"/>
  <c r="E160" i="32"/>
  <c r="D160" i="32"/>
  <c r="C160" i="32"/>
  <c r="B160" i="32"/>
  <c r="N159" i="32"/>
  <c r="M159" i="32"/>
  <c r="L159" i="32"/>
  <c r="K159" i="32"/>
  <c r="J159" i="32"/>
  <c r="I159" i="32"/>
  <c r="H159" i="32"/>
  <c r="G159" i="32"/>
  <c r="F159" i="32"/>
  <c r="E159" i="32"/>
  <c r="D159" i="32"/>
  <c r="C159" i="32"/>
  <c r="B159" i="32"/>
  <c r="N158" i="32"/>
  <c r="M158" i="32"/>
  <c r="L158" i="32"/>
  <c r="K158" i="32"/>
  <c r="J158" i="32"/>
  <c r="I158" i="32"/>
  <c r="H158" i="32"/>
  <c r="G158" i="32"/>
  <c r="F158" i="32"/>
  <c r="E158" i="32"/>
  <c r="D158" i="32"/>
  <c r="C158" i="32"/>
  <c r="B158" i="32"/>
  <c r="N157" i="32"/>
  <c r="M157" i="32"/>
  <c r="L157" i="32"/>
  <c r="K157" i="32"/>
  <c r="J157" i="32"/>
  <c r="I157" i="32"/>
  <c r="H157" i="32"/>
  <c r="G157" i="32"/>
  <c r="F157" i="32"/>
  <c r="E157" i="32"/>
  <c r="D157" i="32"/>
  <c r="C157" i="32"/>
  <c r="B157" i="32"/>
  <c r="N156" i="32"/>
  <c r="M156" i="32"/>
  <c r="L156" i="32"/>
  <c r="K156" i="32"/>
  <c r="J156" i="32"/>
  <c r="I156" i="32"/>
  <c r="H156" i="32"/>
  <c r="G156" i="32"/>
  <c r="F156" i="32"/>
  <c r="E156" i="32"/>
  <c r="D156" i="32"/>
  <c r="C156" i="32"/>
  <c r="B156" i="32"/>
  <c r="N155" i="32"/>
  <c r="M155" i="32"/>
  <c r="L155" i="32"/>
  <c r="K155" i="32"/>
  <c r="J155" i="32"/>
  <c r="I155" i="32"/>
  <c r="H155" i="32"/>
  <c r="G155" i="32"/>
  <c r="F155" i="32"/>
  <c r="E155" i="32"/>
  <c r="D155" i="32"/>
  <c r="C155" i="32"/>
  <c r="B155" i="32"/>
  <c r="N154" i="32"/>
  <c r="M154" i="32"/>
  <c r="L154" i="32"/>
  <c r="K154" i="32"/>
  <c r="J154" i="32"/>
  <c r="I154" i="32"/>
  <c r="H154" i="32"/>
  <c r="G154" i="32"/>
  <c r="F154" i="32"/>
  <c r="E154" i="32"/>
  <c r="D154" i="32"/>
  <c r="C154" i="32"/>
  <c r="B154" i="32"/>
  <c r="N153" i="32"/>
  <c r="M153" i="32"/>
  <c r="L153" i="32"/>
  <c r="K153" i="32"/>
  <c r="J153" i="32"/>
  <c r="I153" i="32"/>
  <c r="H153" i="32"/>
  <c r="G153" i="32"/>
  <c r="F153" i="32"/>
  <c r="E153" i="32"/>
  <c r="D153" i="32"/>
  <c r="C153" i="32"/>
  <c r="B153" i="32"/>
  <c r="N152" i="32"/>
  <c r="M152" i="32"/>
  <c r="L152" i="32"/>
  <c r="K152" i="32"/>
  <c r="J152" i="32"/>
  <c r="I152" i="32"/>
  <c r="H152" i="32"/>
  <c r="G152" i="32"/>
  <c r="F152" i="32"/>
  <c r="E152" i="32"/>
  <c r="D152" i="32"/>
  <c r="C152" i="32"/>
  <c r="B152" i="32"/>
  <c r="N151" i="32"/>
  <c r="M151" i="32"/>
  <c r="L151" i="32"/>
  <c r="K151" i="32"/>
  <c r="J151" i="32"/>
  <c r="I151" i="32"/>
  <c r="H151" i="32"/>
  <c r="G151" i="32"/>
  <c r="F151" i="32"/>
  <c r="E151" i="32"/>
  <c r="D151" i="32"/>
  <c r="C151" i="32"/>
  <c r="B151" i="32"/>
  <c r="N150" i="32"/>
  <c r="M150" i="32"/>
  <c r="L150" i="32"/>
  <c r="K150" i="32"/>
  <c r="J150" i="32"/>
  <c r="I150" i="32"/>
  <c r="H150" i="32"/>
  <c r="G150" i="32"/>
  <c r="F150" i="32"/>
  <c r="E150" i="32"/>
  <c r="D150" i="32"/>
  <c r="C150" i="32"/>
  <c r="B150" i="32"/>
  <c r="N149" i="32"/>
  <c r="M149" i="32"/>
  <c r="L149" i="32"/>
  <c r="K149" i="32"/>
  <c r="J149" i="32"/>
  <c r="I149" i="32"/>
  <c r="H149" i="32"/>
  <c r="G149" i="32"/>
  <c r="F149" i="32"/>
  <c r="E149" i="32"/>
  <c r="D149" i="32"/>
  <c r="C149" i="32"/>
  <c r="B149" i="32"/>
  <c r="N148" i="32"/>
  <c r="M148" i="32"/>
  <c r="L148" i="32"/>
  <c r="K148" i="32"/>
  <c r="J148" i="32"/>
  <c r="I148" i="32"/>
  <c r="H148" i="32"/>
  <c r="G148" i="32"/>
  <c r="F148" i="32"/>
  <c r="E148" i="32"/>
  <c r="D148" i="32"/>
  <c r="C148" i="32"/>
  <c r="B148" i="32"/>
  <c r="N147" i="32"/>
  <c r="M147" i="32"/>
  <c r="L147" i="32"/>
  <c r="K147" i="32"/>
  <c r="J147" i="32"/>
  <c r="I147" i="32"/>
  <c r="H147" i="32"/>
  <c r="G147" i="32"/>
  <c r="F147" i="32"/>
  <c r="E147" i="32"/>
  <c r="D147" i="32"/>
  <c r="C147" i="32"/>
  <c r="B147" i="32"/>
  <c r="N146" i="32"/>
  <c r="M146" i="32"/>
  <c r="L146" i="32"/>
  <c r="K146" i="32"/>
  <c r="J146" i="32"/>
  <c r="I146" i="32"/>
  <c r="H146" i="32"/>
  <c r="G146" i="32"/>
  <c r="F146" i="32"/>
  <c r="E146" i="32"/>
  <c r="D146" i="32"/>
  <c r="C146" i="32"/>
  <c r="B146" i="32"/>
  <c r="N145" i="32"/>
  <c r="M145" i="32"/>
  <c r="L145" i="32"/>
  <c r="K145" i="32"/>
  <c r="J145" i="32"/>
  <c r="I145" i="32"/>
  <c r="H145" i="32"/>
  <c r="G145" i="32"/>
  <c r="F145" i="32"/>
  <c r="E145" i="32"/>
  <c r="D145" i="32"/>
  <c r="C145" i="32"/>
  <c r="B145" i="32"/>
  <c r="N144" i="32"/>
  <c r="M144" i="32"/>
  <c r="L144" i="32"/>
  <c r="K144" i="32"/>
  <c r="J144" i="32"/>
  <c r="I144" i="32"/>
  <c r="H144" i="32"/>
  <c r="G144" i="32"/>
  <c r="F144" i="32"/>
  <c r="E144" i="32"/>
  <c r="D144" i="32"/>
  <c r="C144" i="32"/>
  <c r="B144" i="32"/>
  <c r="N143" i="32"/>
  <c r="M143" i="32"/>
  <c r="L143" i="32"/>
  <c r="K143" i="32"/>
  <c r="J143" i="32"/>
  <c r="I143" i="32"/>
  <c r="H143" i="32"/>
  <c r="G143" i="32"/>
  <c r="F143" i="32"/>
  <c r="E143" i="32"/>
  <c r="D143" i="32"/>
  <c r="C143" i="32"/>
  <c r="B143" i="32"/>
  <c r="N142" i="32"/>
  <c r="M142" i="32"/>
  <c r="L142" i="32"/>
  <c r="K142" i="32"/>
  <c r="J142" i="32"/>
  <c r="I142" i="32"/>
  <c r="H142" i="32"/>
  <c r="G142" i="32"/>
  <c r="F142" i="32"/>
  <c r="E142" i="32"/>
  <c r="D142" i="32"/>
  <c r="C142" i="32"/>
  <c r="B142" i="32"/>
  <c r="N141" i="32"/>
  <c r="M141" i="32"/>
  <c r="L141" i="32"/>
  <c r="K141" i="32"/>
  <c r="J141" i="32"/>
  <c r="I141" i="32"/>
  <c r="H141" i="32"/>
  <c r="G141" i="32"/>
  <c r="F141" i="32"/>
  <c r="E141" i="32"/>
  <c r="D141" i="32"/>
  <c r="C141" i="32"/>
  <c r="B141" i="32"/>
  <c r="N140" i="32"/>
  <c r="M140" i="32"/>
  <c r="L140" i="32"/>
  <c r="K140" i="32"/>
  <c r="J140" i="32"/>
  <c r="I140" i="32"/>
  <c r="H140" i="32"/>
  <c r="G140" i="32"/>
  <c r="F140" i="32"/>
  <c r="E140" i="32"/>
  <c r="D140" i="32"/>
  <c r="C140" i="32"/>
  <c r="B140" i="32"/>
  <c r="N139" i="32"/>
  <c r="M139" i="32"/>
  <c r="L139" i="32"/>
  <c r="K139" i="32"/>
  <c r="J139" i="32"/>
  <c r="I139" i="32"/>
  <c r="H139" i="32"/>
  <c r="G139" i="32"/>
  <c r="F139" i="32"/>
  <c r="E139" i="32"/>
  <c r="D139" i="32"/>
  <c r="C139" i="32"/>
  <c r="B139" i="32"/>
  <c r="N138" i="32"/>
  <c r="M138" i="32"/>
  <c r="L138" i="32"/>
  <c r="K138" i="32"/>
  <c r="J138" i="32"/>
  <c r="I138" i="32"/>
  <c r="H138" i="32"/>
  <c r="G138" i="32"/>
  <c r="F138" i="32"/>
  <c r="E138" i="32"/>
  <c r="D138" i="32"/>
  <c r="C138" i="32"/>
  <c r="B138" i="32"/>
  <c r="N137" i="32"/>
  <c r="M137" i="32"/>
  <c r="L137" i="32"/>
  <c r="K137" i="32"/>
  <c r="J137" i="32"/>
  <c r="I137" i="32"/>
  <c r="H137" i="32"/>
  <c r="G137" i="32"/>
  <c r="F137" i="32"/>
  <c r="E137" i="32"/>
  <c r="D137" i="32"/>
  <c r="C137" i="32"/>
  <c r="B137" i="32"/>
  <c r="N136" i="32"/>
  <c r="M136" i="32"/>
  <c r="L136" i="32"/>
  <c r="K136" i="32"/>
  <c r="J136" i="32"/>
  <c r="I136" i="32"/>
  <c r="H136" i="32"/>
  <c r="G136" i="32"/>
  <c r="F136" i="32"/>
  <c r="E136" i="32"/>
  <c r="D136" i="32"/>
  <c r="C136" i="32"/>
  <c r="B136" i="32"/>
  <c r="N135" i="32"/>
  <c r="M135" i="32"/>
  <c r="L135" i="32"/>
  <c r="K135" i="32"/>
  <c r="J135" i="32"/>
  <c r="I135" i="32"/>
  <c r="H135" i="32"/>
  <c r="G135" i="32"/>
  <c r="F135" i="32"/>
  <c r="E135" i="32"/>
  <c r="D135" i="32"/>
  <c r="C135" i="32"/>
  <c r="B135" i="32"/>
  <c r="N134" i="32"/>
  <c r="M134" i="32"/>
  <c r="L134" i="32"/>
  <c r="K134" i="32"/>
  <c r="J134" i="32"/>
  <c r="I134" i="32"/>
  <c r="H134" i="32"/>
  <c r="G134" i="32"/>
  <c r="F134" i="32"/>
  <c r="E134" i="32"/>
  <c r="D134" i="32"/>
  <c r="C134" i="32"/>
  <c r="B134" i="32"/>
  <c r="N133" i="32"/>
  <c r="M133" i="32"/>
  <c r="L133" i="32"/>
  <c r="K133" i="32"/>
  <c r="J133" i="32"/>
  <c r="I133" i="32"/>
  <c r="H133" i="32"/>
  <c r="G133" i="32"/>
  <c r="F133" i="32"/>
  <c r="E133" i="32"/>
  <c r="D133" i="32"/>
  <c r="C133" i="32"/>
  <c r="B133" i="32"/>
  <c r="N132" i="32"/>
  <c r="M132" i="32"/>
  <c r="L132" i="32"/>
  <c r="K132" i="32"/>
  <c r="J132" i="32"/>
  <c r="I132" i="32"/>
  <c r="H132" i="32"/>
  <c r="G132" i="32"/>
  <c r="F132" i="32"/>
  <c r="E132" i="32"/>
  <c r="D132" i="32"/>
  <c r="C132" i="32"/>
  <c r="B132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B131" i="32"/>
  <c r="N130" i="32"/>
  <c r="M130" i="32"/>
  <c r="L130" i="32"/>
  <c r="K130" i="32"/>
  <c r="J130" i="32"/>
  <c r="I130" i="32"/>
  <c r="H130" i="32"/>
  <c r="G130" i="32"/>
  <c r="F130" i="32"/>
  <c r="E130" i="32"/>
  <c r="D130" i="32"/>
  <c r="C130" i="32"/>
  <c r="B130" i="32"/>
  <c r="N129" i="32"/>
  <c r="M129" i="32"/>
  <c r="L129" i="32"/>
  <c r="K129" i="32"/>
  <c r="J129" i="32"/>
  <c r="I129" i="32"/>
  <c r="H129" i="32"/>
  <c r="G129" i="32"/>
  <c r="F129" i="32"/>
  <c r="E129" i="32"/>
  <c r="D129" i="32"/>
  <c r="C129" i="32"/>
  <c r="B129" i="32"/>
  <c r="N128" i="32"/>
  <c r="M128" i="32"/>
  <c r="L128" i="32"/>
  <c r="K128" i="32"/>
  <c r="J128" i="32"/>
  <c r="I128" i="32"/>
  <c r="H128" i="32"/>
  <c r="G128" i="32"/>
  <c r="F128" i="32"/>
  <c r="E128" i="32"/>
  <c r="D128" i="32"/>
  <c r="C128" i="32"/>
  <c r="B128" i="32"/>
  <c r="N127" i="32"/>
  <c r="M127" i="32"/>
  <c r="L127" i="32"/>
  <c r="K127" i="32"/>
  <c r="J127" i="32"/>
  <c r="I127" i="32"/>
  <c r="H127" i="32"/>
  <c r="G127" i="32"/>
  <c r="F127" i="32"/>
  <c r="E127" i="32"/>
  <c r="D127" i="32"/>
  <c r="C127" i="32"/>
  <c r="B127" i="32"/>
  <c r="N126" i="32"/>
  <c r="M126" i="32"/>
  <c r="L126" i="32"/>
  <c r="K126" i="32"/>
  <c r="J126" i="32"/>
  <c r="I126" i="32"/>
  <c r="H126" i="32"/>
  <c r="G126" i="32"/>
  <c r="F126" i="32"/>
  <c r="E126" i="32"/>
  <c r="D126" i="32"/>
  <c r="C126" i="32"/>
  <c r="B126" i="32"/>
  <c r="N125" i="32"/>
  <c r="M125" i="32"/>
  <c r="L125" i="32"/>
  <c r="K125" i="32"/>
  <c r="J125" i="32"/>
  <c r="I125" i="32"/>
  <c r="H125" i="32"/>
  <c r="G125" i="32"/>
  <c r="F125" i="32"/>
  <c r="E125" i="32"/>
  <c r="D125" i="32"/>
  <c r="C125" i="32"/>
  <c r="B125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B124" i="32"/>
  <c r="N123" i="32"/>
  <c r="M123" i="32"/>
  <c r="L123" i="32"/>
  <c r="K123" i="32"/>
  <c r="J123" i="32"/>
  <c r="I123" i="32"/>
  <c r="H123" i="32"/>
  <c r="G123" i="32"/>
  <c r="F123" i="32"/>
  <c r="E123" i="32"/>
  <c r="D123" i="32"/>
  <c r="C123" i="32"/>
  <c r="B123" i="32"/>
  <c r="N122" i="32"/>
  <c r="M122" i="32"/>
  <c r="L122" i="32"/>
  <c r="K122" i="32"/>
  <c r="J122" i="32"/>
  <c r="I122" i="32"/>
  <c r="H122" i="32"/>
  <c r="G122" i="32"/>
  <c r="F122" i="32"/>
  <c r="E122" i="32"/>
  <c r="D122" i="32"/>
  <c r="C122" i="32"/>
  <c r="B122" i="32"/>
  <c r="N121" i="32"/>
  <c r="M121" i="32"/>
  <c r="L121" i="32"/>
  <c r="K121" i="32"/>
  <c r="J121" i="32"/>
  <c r="I121" i="32"/>
  <c r="H121" i="32"/>
  <c r="G121" i="32"/>
  <c r="F121" i="32"/>
  <c r="E121" i="32"/>
  <c r="D121" i="32"/>
  <c r="C121" i="32"/>
  <c r="B121" i="32"/>
  <c r="N120" i="32"/>
  <c r="M120" i="32"/>
  <c r="L120" i="32"/>
  <c r="K120" i="32"/>
  <c r="J120" i="32"/>
  <c r="I120" i="32"/>
  <c r="H120" i="32"/>
  <c r="G120" i="32"/>
  <c r="F120" i="32"/>
  <c r="E120" i="32"/>
  <c r="D120" i="32"/>
  <c r="C120" i="32"/>
  <c r="B120" i="32"/>
  <c r="N119" i="32"/>
  <c r="M119" i="32"/>
  <c r="L119" i="32"/>
  <c r="K119" i="32"/>
  <c r="J119" i="32"/>
  <c r="I119" i="32"/>
  <c r="H119" i="32"/>
  <c r="G119" i="32"/>
  <c r="F119" i="32"/>
  <c r="E119" i="32"/>
  <c r="D119" i="32"/>
  <c r="C119" i="32"/>
  <c r="B119" i="32"/>
  <c r="N118" i="32"/>
  <c r="M118" i="32"/>
  <c r="L118" i="32"/>
  <c r="K118" i="32"/>
  <c r="J118" i="32"/>
  <c r="I118" i="32"/>
  <c r="H118" i="32"/>
  <c r="G118" i="32"/>
  <c r="F118" i="32"/>
  <c r="E118" i="32"/>
  <c r="D118" i="32"/>
  <c r="C118" i="32"/>
  <c r="B118" i="32"/>
  <c r="N117" i="32"/>
  <c r="M117" i="32"/>
  <c r="L117" i="32"/>
  <c r="K117" i="32"/>
  <c r="J117" i="32"/>
  <c r="I117" i="32"/>
  <c r="H117" i="32"/>
  <c r="G117" i="32"/>
  <c r="F117" i="32"/>
  <c r="E117" i="32"/>
  <c r="D117" i="32"/>
  <c r="C117" i="32"/>
  <c r="B117" i="32"/>
  <c r="N116" i="32"/>
  <c r="M116" i="32"/>
  <c r="L116" i="32"/>
  <c r="K116" i="32"/>
  <c r="J116" i="32"/>
  <c r="I116" i="32"/>
  <c r="H116" i="32"/>
  <c r="G116" i="32"/>
  <c r="F116" i="32"/>
  <c r="E116" i="32"/>
  <c r="D116" i="32"/>
  <c r="C116" i="32"/>
  <c r="B116" i="32"/>
  <c r="N115" i="32"/>
  <c r="M115" i="32"/>
  <c r="L115" i="32"/>
  <c r="K115" i="32"/>
  <c r="J115" i="32"/>
  <c r="I115" i="32"/>
  <c r="H115" i="32"/>
  <c r="G115" i="32"/>
  <c r="F115" i="32"/>
  <c r="E115" i="32"/>
  <c r="D115" i="32"/>
  <c r="C115" i="32"/>
  <c r="B115" i="32"/>
  <c r="N114" i="32"/>
  <c r="M114" i="32"/>
  <c r="L114" i="32"/>
  <c r="K114" i="32"/>
  <c r="J114" i="32"/>
  <c r="I114" i="32"/>
  <c r="H114" i="32"/>
  <c r="G114" i="32"/>
  <c r="F114" i="32"/>
  <c r="E114" i="32"/>
  <c r="D114" i="32"/>
  <c r="C114" i="32"/>
  <c r="B114" i="32"/>
  <c r="N113" i="32"/>
  <c r="M113" i="32"/>
  <c r="L113" i="32"/>
  <c r="K113" i="32"/>
  <c r="J113" i="32"/>
  <c r="I113" i="32"/>
  <c r="H113" i="32"/>
  <c r="G113" i="32"/>
  <c r="F113" i="32"/>
  <c r="E113" i="32"/>
  <c r="D113" i="32"/>
  <c r="C113" i="32"/>
  <c r="B113" i="32"/>
  <c r="U51" i="35"/>
  <c r="T51" i="35"/>
  <c r="U50" i="35"/>
  <c r="T50" i="35"/>
  <c r="U49" i="35"/>
  <c r="T49" i="35"/>
  <c r="U48" i="35"/>
  <c r="T48" i="35"/>
  <c r="U47" i="35"/>
  <c r="T47" i="35"/>
  <c r="U46" i="35"/>
  <c r="T46" i="35"/>
  <c r="U45" i="35"/>
  <c r="T45" i="35"/>
  <c r="U44" i="35"/>
  <c r="T44" i="35"/>
  <c r="U43" i="35"/>
  <c r="T43" i="35"/>
  <c r="V42" i="35"/>
  <c r="U42" i="35"/>
  <c r="T42" i="35"/>
  <c r="V41" i="35"/>
  <c r="U41" i="35"/>
  <c r="T41" i="35"/>
  <c r="V40" i="35"/>
  <c r="U40" i="35"/>
  <c r="T40" i="35"/>
  <c r="V39" i="35"/>
  <c r="U39" i="35"/>
  <c r="T39" i="35"/>
  <c r="V38" i="35"/>
  <c r="U38" i="35"/>
  <c r="T38" i="35"/>
  <c r="V37" i="35"/>
  <c r="U37" i="35"/>
  <c r="T37" i="35"/>
  <c r="V36" i="35"/>
  <c r="U36" i="35"/>
  <c r="T36" i="35"/>
  <c r="V35" i="35"/>
  <c r="U35" i="35"/>
  <c r="T35" i="35"/>
  <c r="V34" i="35"/>
  <c r="U34" i="35"/>
  <c r="T34" i="35"/>
  <c r="AE37" i="35" l="1"/>
  <c r="B33" i="35"/>
  <c r="W34" i="35" s="1"/>
  <c r="AF37" i="35"/>
  <c r="AG37" i="35"/>
  <c r="AH37" i="35"/>
  <c r="AI37" i="35"/>
  <c r="AJ37" i="35"/>
  <c r="AK37" i="35"/>
  <c r="AL37" i="35"/>
  <c r="AM37" i="35"/>
  <c r="C33" i="35"/>
  <c r="W43" i="35" s="1"/>
  <c r="AE34" i="35" l="1"/>
  <c r="AF34" i="35"/>
  <c r="AG34" i="35"/>
  <c r="B36" i="35"/>
  <c r="W37" i="35" s="1"/>
  <c r="AH34" i="35"/>
  <c r="AI34" i="35"/>
  <c r="AJ34" i="35"/>
  <c r="AK34" i="35"/>
  <c r="AL34" i="35"/>
  <c r="AM34" i="35"/>
  <c r="C36" i="35"/>
  <c r="W46" i="35" s="1"/>
  <c r="AE35" i="35"/>
  <c r="AF35" i="35"/>
  <c r="B35" i="35"/>
  <c r="W36" i="35" s="1"/>
  <c r="AG35" i="35"/>
  <c r="AH35" i="35"/>
  <c r="AI35" i="35"/>
  <c r="AJ35" i="35"/>
  <c r="AK35" i="35"/>
  <c r="AL35" i="35"/>
  <c r="AM35" i="35"/>
  <c r="C35" i="35"/>
  <c r="W45" i="35" s="1"/>
  <c r="AE36" i="35"/>
  <c r="AF36" i="35"/>
  <c r="B34" i="35"/>
  <c r="W35" i="35" s="1"/>
  <c r="AG36" i="35"/>
  <c r="AH36" i="35"/>
  <c r="AI36" i="35"/>
  <c r="AJ36" i="35"/>
  <c r="AK36" i="35"/>
  <c r="AL36" i="35"/>
  <c r="AM36" i="35"/>
  <c r="C34" i="35"/>
  <c r="W44" i="35" s="1"/>
  <c r="AO37" i="35"/>
  <c r="AM26" i="35"/>
  <c r="AL26" i="35"/>
  <c r="AK26" i="35"/>
  <c r="AJ26" i="35"/>
  <c r="AI26" i="35"/>
  <c r="AH26" i="35"/>
  <c r="AG26" i="35"/>
  <c r="AF26" i="35"/>
  <c r="AE26" i="35"/>
  <c r="AO26" i="35" l="1"/>
  <c r="AE33" i="35"/>
  <c r="AF33" i="35"/>
  <c r="AG33" i="35"/>
  <c r="AH33" i="35"/>
  <c r="AI33" i="35"/>
  <c r="B37" i="35"/>
  <c r="W38" i="35" s="1"/>
  <c r="AJ33" i="35"/>
  <c r="AK33" i="35"/>
  <c r="AL33" i="35"/>
  <c r="AM33" i="35"/>
  <c r="C37" i="35"/>
  <c r="W47" i="35" s="1"/>
  <c r="AO36" i="35"/>
  <c r="AO35" i="35"/>
  <c r="AO34" i="35"/>
  <c r="AM25" i="35"/>
  <c r="AL25" i="35"/>
  <c r="AK25" i="35"/>
  <c r="AJ25" i="35"/>
  <c r="AI25" i="35"/>
  <c r="AH25" i="35"/>
  <c r="AG25" i="35"/>
  <c r="AF25" i="35"/>
  <c r="AE25" i="35"/>
  <c r="AO25" i="35" l="1"/>
  <c r="AE32" i="35"/>
  <c r="AF32" i="35"/>
  <c r="AG32" i="35"/>
  <c r="AH32" i="35"/>
  <c r="AI32" i="35"/>
  <c r="AJ32" i="35"/>
  <c r="B38" i="35"/>
  <c r="W39" i="35" s="1"/>
  <c r="AK32" i="35"/>
  <c r="AL32" i="35"/>
  <c r="AM32" i="35"/>
  <c r="C38" i="35"/>
  <c r="W48" i="35" s="1"/>
  <c r="AO33" i="35"/>
  <c r="AM24" i="35"/>
  <c r="AL24" i="35"/>
  <c r="AK24" i="35"/>
  <c r="AJ24" i="35"/>
  <c r="AI24" i="35"/>
  <c r="AH24" i="35"/>
  <c r="AG24" i="35"/>
  <c r="AF24" i="35"/>
  <c r="AE24" i="35"/>
  <c r="AO24" i="35" l="1"/>
  <c r="AE31" i="35"/>
  <c r="AF31" i="35"/>
  <c r="AG31" i="35"/>
  <c r="AH31" i="35"/>
  <c r="AI31" i="35"/>
  <c r="AJ31" i="35"/>
  <c r="AK31" i="35"/>
  <c r="B39" i="35"/>
  <c r="W40" i="35" s="1"/>
  <c r="AL31" i="35"/>
  <c r="AM31" i="35"/>
  <c r="C39" i="35"/>
  <c r="W49" i="35" s="1"/>
  <c r="AO32" i="35"/>
  <c r="AM23" i="35"/>
  <c r="AL23" i="35"/>
  <c r="AK23" i="35"/>
  <c r="AJ23" i="35"/>
  <c r="AI23" i="35"/>
  <c r="AH23" i="35"/>
  <c r="AG23" i="35"/>
  <c r="AF23" i="35"/>
  <c r="AE23" i="35"/>
  <c r="AO23" i="35" l="1"/>
  <c r="AE30" i="35"/>
  <c r="AF30" i="35"/>
  <c r="AG30" i="35"/>
  <c r="AH30" i="35"/>
  <c r="AI30" i="35"/>
  <c r="AJ30" i="35"/>
  <c r="AK30" i="35"/>
  <c r="B40" i="35"/>
  <c r="W41" i="35" s="1"/>
  <c r="AL30" i="35"/>
  <c r="AM30" i="35"/>
  <c r="C40" i="35"/>
  <c r="W50" i="35" s="1"/>
  <c r="AO31" i="35"/>
  <c r="AM22" i="35"/>
  <c r="AL22" i="35"/>
  <c r="AK22" i="35"/>
  <c r="AJ22" i="35"/>
  <c r="AI22" i="35"/>
  <c r="AH22" i="35"/>
  <c r="AG22" i="35"/>
  <c r="AF22" i="35"/>
  <c r="AE22" i="35"/>
  <c r="AO22" i="35" l="1"/>
  <c r="AE29" i="35"/>
  <c r="AF29" i="35"/>
  <c r="AG29" i="35"/>
  <c r="AH29" i="35"/>
  <c r="AI29" i="35"/>
  <c r="AJ29" i="35"/>
  <c r="AK29" i="35"/>
  <c r="AL29" i="35"/>
  <c r="B41" i="35"/>
  <c r="W42" i="35" s="1"/>
  <c r="AM29" i="35"/>
  <c r="C41" i="35"/>
  <c r="W51" i="35" s="1"/>
  <c r="AO30" i="35"/>
  <c r="AM21" i="35"/>
  <c r="AL21" i="35"/>
  <c r="AK21" i="35"/>
  <c r="AJ21" i="35"/>
  <c r="AI21" i="35"/>
  <c r="AH21" i="35"/>
  <c r="AG21" i="35"/>
  <c r="AF21" i="35"/>
  <c r="AE21" i="35"/>
  <c r="AO21" i="35" l="1"/>
  <c r="AO29" i="35"/>
  <c r="AM20" i="35"/>
  <c r="AL20" i="35"/>
  <c r="AK20" i="35"/>
  <c r="AJ20" i="35"/>
  <c r="AI20" i="35"/>
  <c r="AH20" i="35"/>
  <c r="AG20" i="35"/>
  <c r="AF20" i="35"/>
  <c r="AE20" i="35"/>
  <c r="AO20" i="35" l="1"/>
  <c r="AM19" i="35"/>
  <c r="AL19" i="35"/>
  <c r="AK19" i="35"/>
  <c r="AJ19" i="35"/>
  <c r="AI19" i="35"/>
  <c r="AH19" i="35"/>
  <c r="AG19" i="35"/>
  <c r="AF19" i="35"/>
  <c r="AE19" i="35"/>
  <c r="AO19" i="35" l="1"/>
  <c r="AM18" i="35"/>
  <c r="AL18" i="35"/>
  <c r="AK18" i="35"/>
  <c r="AJ18" i="35"/>
  <c r="AI18" i="35"/>
  <c r="AH18" i="35"/>
  <c r="AG18" i="35"/>
  <c r="AF18" i="35"/>
  <c r="AE18" i="35"/>
  <c r="AO18" i="35" l="1"/>
</calcChain>
</file>

<file path=xl/sharedStrings.xml><?xml version="1.0" encoding="utf-8"?>
<sst xmlns="http://schemas.openxmlformats.org/spreadsheetml/2006/main" count="8083" uniqueCount="3290">
  <si>
    <t>KWSV0A1 TRHK Curncy</t>
  </si>
  <si>
    <t>KWSV0A2 TRHK Curncy</t>
  </si>
  <si>
    <t>KWSV0A3 TRHK Curncy</t>
  </si>
  <si>
    <t>KWSV0A4 TRHK Curncy</t>
  </si>
  <si>
    <t>KWSV0A5 TRHK Curncy</t>
  </si>
  <si>
    <t>KWSV0A6 TRHK Curncy</t>
  </si>
  <si>
    <t>KWSV0A7 TRHK Curncy</t>
  </si>
  <si>
    <t>KWSV0A8 TRHK Curncy</t>
  </si>
  <si>
    <t>KWSV0A9 TRHK Curncy</t>
  </si>
  <si>
    <t>KWSV0A10 TRHK Curncy</t>
  </si>
  <si>
    <t>KWSV0A20 TRHK Curncy</t>
  </si>
  <si>
    <t>KWSV0C1 TRHK Curncy</t>
  </si>
  <si>
    <t>KWSV0C2 TRHK Curncy</t>
  </si>
  <si>
    <t>KWSV0C3 TRHK Curncy</t>
  </si>
  <si>
    <t>KWSV0C4 TRHK Curncy</t>
  </si>
  <si>
    <t>KWSV0C5 TRHK Curncy</t>
  </si>
  <si>
    <t>KWSV0C6 TRHK Curncy</t>
  </si>
  <si>
    <t>KWSV0C7 TRHK Curncy</t>
  </si>
  <si>
    <t>KWSV0C8 TRHK Curncy</t>
  </si>
  <si>
    <t>KWSV0C9 TRHK Curncy</t>
  </si>
  <si>
    <t>KWSV0C10 TRHK Curncy</t>
  </si>
  <si>
    <t>KWSV0C15 TRHK Curncy</t>
  </si>
  <si>
    <t>KWSV0C20 TRHK Curncy</t>
  </si>
  <si>
    <t>KWSV0F1 TRHK Curncy</t>
  </si>
  <si>
    <t>KWSV0F2 TRHK Curncy</t>
  </si>
  <si>
    <t>KWSV0F3 TRHK Curncy</t>
  </si>
  <si>
    <t>KWSV0F4 TRHK Curncy</t>
  </si>
  <si>
    <t>KWSV0F5 TRHK Curncy</t>
  </si>
  <si>
    <t>KWSV0F6 TRHK Curncy</t>
  </si>
  <si>
    <t>KWSV0F7 TRHK Curncy</t>
  </si>
  <si>
    <t>KWSV0F8 TRHK Curncy</t>
  </si>
  <si>
    <t>KWSV0F9 TRHK Curncy</t>
  </si>
  <si>
    <t>KWSV0F10 TRHK Curncy</t>
  </si>
  <si>
    <t>KWSV0F15 TRHK Curncy</t>
  </si>
  <si>
    <t>KWSV0F20 TRHK Curncy</t>
  </si>
  <si>
    <t>KWSV0I1 TRHK Curncy</t>
  </si>
  <si>
    <t>KWSV0I2 TRHK Curncy</t>
  </si>
  <si>
    <t>KWSV0I3 TRHK Curncy</t>
  </si>
  <si>
    <t>KWSV0I4 TRHK Curncy</t>
  </si>
  <si>
    <t>KWSV0I5 TRHK Curncy</t>
  </si>
  <si>
    <t>KWSV0I6 TRHK Curncy</t>
  </si>
  <si>
    <t>KWSV0I7 TRHK Curncy</t>
  </si>
  <si>
    <t>KWSV0I8 TRHK Curncy</t>
  </si>
  <si>
    <t>KWSV0I9 TRHK Curncy</t>
  </si>
  <si>
    <t>KWSV0I10 TRHK Curncy</t>
  </si>
  <si>
    <t>KWSV0I15 TRHK Curncy</t>
  </si>
  <si>
    <t>KWSV0I20 TRHK Curncy</t>
  </si>
  <si>
    <t>KWSV011 TRHK Curncy</t>
  </si>
  <si>
    <t>KWSV012 TRHK Curncy</t>
  </si>
  <si>
    <t>KWSV013 TRHK Curncy</t>
  </si>
  <si>
    <t>KWSV014 TRHK Curncy</t>
  </si>
  <si>
    <t>KWSV015 TRHK Curncy</t>
  </si>
  <si>
    <t>KWSV016 TRHK Curncy</t>
  </si>
  <si>
    <t>KWSV017 TRHK Curncy</t>
  </si>
  <si>
    <t>KWSV018 TRHK Curncy</t>
  </si>
  <si>
    <t>KWSV019 TRHK Curncy</t>
  </si>
  <si>
    <t>KWSV0110 TRHK Curncy</t>
  </si>
  <si>
    <t>KWSV0115 TRHK Curncy</t>
  </si>
  <si>
    <t>KWSV0120 TRHK Curncy</t>
  </si>
  <si>
    <t>KWSV021 TRHK Curncy</t>
  </si>
  <si>
    <t>KWSV022 TRHK Curncy</t>
  </si>
  <si>
    <t>KWSV023 TRHK Curncy</t>
  </si>
  <si>
    <t>KWSV024 TRHK Curncy</t>
  </si>
  <si>
    <t>KWSV025 TRHK Curncy</t>
  </si>
  <si>
    <t>KWSV026 TRHK Curncy</t>
  </si>
  <si>
    <t>KWSV027 TRHK Curncy</t>
  </si>
  <si>
    <t>KWSV028 TRHK Curncy</t>
  </si>
  <si>
    <t>KWSV029 TRHK Curncy</t>
  </si>
  <si>
    <t>KWSV0210 TRHK Curncy</t>
  </si>
  <si>
    <t>KWSV0215 TRHK Curncy</t>
  </si>
  <si>
    <t>KWSV0220 TRHK Curncy</t>
  </si>
  <si>
    <t>KWSV031 TRHK Curncy</t>
  </si>
  <si>
    <t>KWSV032 TRHK Curncy</t>
  </si>
  <si>
    <t>KWSV033 TRHK Curncy</t>
  </si>
  <si>
    <t>KWSV034 TRHK Curncy</t>
  </si>
  <si>
    <t>KWSV035 TRHK Curncy</t>
  </si>
  <si>
    <t>KWSV036 TRHK Curncy</t>
  </si>
  <si>
    <t>KWSV037 TRHK Curncy</t>
  </si>
  <si>
    <t>KWSV038 TRHK Curncy</t>
  </si>
  <si>
    <t>KWSV039 TRHK Curncy</t>
  </si>
  <si>
    <t>KWSV0310 TRHK Curncy</t>
  </si>
  <si>
    <t>KWSV0315 TRHK Curncy</t>
  </si>
  <si>
    <t>KWSV0320 TRHK Curncy</t>
  </si>
  <si>
    <t>KWSV041 TRHK Curncy</t>
  </si>
  <si>
    <t>KWSV042 TRHK Curncy</t>
  </si>
  <si>
    <t>KWSV043 TRHK Curncy</t>
  </si>
  <si>
    <t>KWSV044 TRHK Curncy</t>
  </si>
  <si>
    <t>KWSV045 TRHK Curncy</t>
  </si>
  <si>
    <t>KWSV046 TRHK Curncy</t>
  </si>
  <si>
    <t>KWSV047 TRHK Curncy</t>
  </si>
  <si>
    <t>KWSV048 TRHK Curncy</t>
  </si>
  <si>
    <t>KWSV049 TRHK Curncy</t>
  </si>
  <si>
    <t>KWSV0410 TRHK Curncy</t>
  </si>
  <si>
    <t>KWSV0415 TRHK Curncy</t>
  </si>
  <si>
    <t>KWSV0420 TRHK Curncy</t>
  </si>
  <si>
    <t>KWSV071 TRHK Curncy</t>
  </si>
  <si>
    <t>KWSV072 TRHK Curncy</t>
  </si>
  <si>
    <t>KWSV073 TRHK Curncy</t>
  </si>
  <si>
    <t>KWSV074 TRHK Curncy</t>
  </si>
  <si>
    <t>KWSV075 TRHK Curncy</t>
  </si>
  <si>
    <t>KWSV076 TRHK Curncy</t>
  </si>
  <si>
    <t>KWSV077 TRHK Curncy</t>
  </si>
  <si>
    <t>KWSV078 TRHK Curncy</t>
  </si>
  <si>
    <t>KWSV079 TRHK Curncy</t>
  </si>
  <si>
    <t>KWSV0710 TRHK Curncy</t>
  </si>
  <si>
    <t>KWSV0715 TRHK Curncy</t>
  </si>
  <si>
    <t>KWSV0720 TRHK Curncy</t>
  </si>
  <si>
    <t>KWSV101 TRHK Curncy</t>
  </si>
  <si>
    <t>KWSV102 TRHK Curncy</t>
  </si>
  <si>
    <t>KWSV103 TRHK Curncy</t>
  </si>
  <si>
    <t>KWSV104 TRHK Curncy</t>
  </si>
  <si>
    <t>KWSV105 TRHK Curncy</t>
  </si>
  <si>
    <t>KWSV106 TRHK Curncy</t>
  </si>
  <si>
    <t>KWSV107 TRHK Curncy</t>
  </si>
  <si>
    <t>KWSV108 TRHK Curncy</t>
  </si>
  <si>
    <t>KWSV109 TRHK Curncy</t>
  </si>
  <si>
    <t>KWSV1010 TRHK Curncy</t>
  </si>
  <si>
    <t>KWSV1015 TRHK Curncy</t>
  </si>
  <si>
    <t>KWSV1020 TRHK Curncy</t>
  </si>
  <si>
    <t>KWSV151 TRHK Curncy</t>
  </si>
  <si>
    <t>KWSV152 TRHK Curncy</t>
  </si>
  <si>
    <t>KWSV153 TRHK Curncy</t>
  </si>
  <si>
    <t>KWSV154 TRHK Curncy</t>
  </si>
  <si>
    <t>KWSV155 TRHK Curncy</t>
  </si>
  <si>
    <t>KWSV156 TRHK Curncy</t>
  </si>
  <si>
    <t>KWSV157 TRHK Curncy</t>
  </si>
  <si>
    <t>KWSV158 TRHK Curncy</t>
  </si>
  <si>
    <t>KWSV159 TRHK Curncy</t>
  </si>
  <si>
    <t>KWSV1510 TRHK Curncy</t>
  </si>
  <si>
    <t>KWSV1515 TRHK Curncy</t>
  </si>
  <si>
    <t>KWSV1520 TRHK Curncy</t>
  </si>
  <si>
    <t>KWSV201 TRHK Curncy</t>
  </si>
  <si>
    <t>KWSV202 TRHK Curncy</t>
  </si>
  <si>
    <t>KWSV203 TRHK Curncy</t>
  </si>
  <si>
    <t>KWSV204 TRHK Curncy</t>
  </si>
  <si>
    <t>KWSV205 TRHK Curncy</t>
  </si>
  <si>
    <t>KWSV206 TRHK Curncy</t>
  </si>
  <si>
    <t>KWSV207 TRHK Curncy</t>
  </si>
  <si>
    <t>KWSV208 TRHK Curncy</t>
  </si>
  <si>
    <t>KWSV209 TRHK Curncy</t>
  </si>
  <si>
    <t>KWSV2010 TRHK Curncy</t>
  </si>
  <si>
    <t>KWSV2015 TRHK Curncy</t>
  </si>
  <si>
    <t>KWSV2020 TRHK Curncy</t>
  </si>
  <si>
    <t>KWSV051 TRHK Curncy</t>
  </si>
  <si>
    <t>KWSV052 TRHK Curncy</t>
  </si>
  <si>
    <t>KWSV053 TRHK Curncy</t>
  </si>
  <si>
    <t>KWSV054 TRHK Curncy</t>
  </si>
  <si>
    <t>KWSV055 TRHK Curncy</t>
  </si>
  <si>
    <t>KWSV056 TRHK Curncy</t>
  </si>
  <si>
    <t>KWSV057 TRHK Curncy</t>
  </si>
  <si>
    <t>KWSV058 TRHK Curncy</t>
  </si>
  <si>
    <t>KWSV059 TRHK Curncy</t>
  </si>
  <si>
    <t>KWSV0510 TRHK Curncy</t>
  </si>
  <si>
    <t>KWSV0515 TRHK Curncy</t>
  </si>
  <si>
    <t>KWSV0520 TRHK Curncy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</si>
  <si>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</si>
  <si>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</si>
  <si>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</si>
  <si>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</si>
  <si>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</si>
  <si>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</si>
  <si>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</si>
  <si>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</si>
  <si>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</si>
  <si>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</si>
  <si>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</si>
  <si>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</si>
  <si>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1M</t>
  </si>
  <si>
    <t>3M</t>
  </si>
  <si>
    <t>6M</t>
  </si>
  <si>
    <t>9M</t>
  </si>
  <si>
    <t>PX_LAST</t>
  </si>
  <si>
    <t>Tenor</t>
    <phoneticPr fontId="2" type="noConversion"/>
  </si>
  <si>
    <t>Expiration</t>
    <phoneticPr fontId="2" type="noConversion"/>
  </si>
  <si>
    <t>Bloomberg</t>
    <phoneticPr fontId="2" type="noConversion"/>
  </si>
  <si>
    <t>Quote</t>
    <phoneticPr fontId="2" type="noConversion"/>
  </si>
  <si>
    <t>Today Result</t>
    <phoneticPr fontId="2" type="noConversion"/>
  </si>
  <si>
    <t>Strike</t>
    <phoneticPr fontId="2" type="noConversion"/>
  </si>
  <si>
    <t>KOSPI2 1M 80 VOL BVOL Index</t>
  </si>
  <si>
    <t>KOSPI2 1M 90 VOL BVOL Index</t>
  </si>
  <si>
    <t>KOSPI2 1M 95 VOL BVOL Index</t>
  </si>
  <si>
    <t>KOSPI2 1M 97.5 VOL BVOL Index</t>
  </si>
  <si>
    <t>KOSPI2 1M 100C VOL BVOL Index</t>
  </si>
  <si>
    <t>KOSPI2 1M 102.5 VOL BVOL Index</t>
  </si>
  <si>
    <t>KOSPI2 1M 105 VOL BVOL Index</t>
  </si>
  <si>
    <t>KOSPI2 1M 110 VOL BVOL Index</t>
  </si>
  <si>
    <t>KOSPI2 1M 120 VOL BVOL Index</t>
  </si>
  <si>
    <t>KOSPI2 2M 80 VOL BVOL Index</t>
  </si>
  <si>
    <t>KOSPI2 2M 90 VOL BVOL Index</t>
  </si>
  <si>
    <t>KOSPI2 2M 95 VOL BVOL Index</t>
  </si>
  <si>
    <t>KOSPI2 2M 97.5 VOL BVOL Index</t>
  </si>
  <si>
    <t>KOSPI2 2M 100C VOL BVOL Index</t>
  </si>
  <si>
    <t>KOSPI2 2M 102.5 VOL BVOL Index</t>
  </si>
  <si>
    <t>KOSPI2 2M 105 VOL BVOL Index</t>
  </si>
  <si>
    <t>KOSPI2 2M 110 VOL BVOL Index</t>
  </si>
  <si>
    <t>KOSPI2 2M 120 VOL BVOL Index</t>
  </si>
  <si>
    <t>KOSPI2 3M 80 VOL BVOL Index</t>
  </si>
  <si>
    <t>KOSPI2 3M 90 VOL BVOL Index</t>
  </si>
  <si>
    <t>KOSPI2 3M 95 VOL BVOL Index</t>
  </si>
  <si>
    <t>KOSPI2 3M 97.5 VOL BVOL Index</t>
  </si>
  <si>
    <t>KOSPI2 3M 100C VOL BVOL Index</t>
  </si>
  <si>
    <t>KOSPI2 3M 102.5 VOL BVOL Index</t>
  </si>
  <si>
    <t>KOSPI2 3M 105 VOL BVOL Index</t>
  </si>
  <si>
    <t>KOSPI2 3M 110 VOL BVOL Index</t>
  </si>
  <si>
    <t>KOSPI2 3M 120 VOL BVOL Index</t>
  </si>
  <si>
    <t>KOSPI2 6M 80 VOL BVOL Index</t>
  </si>
  <si>
    <t>KOSPI2 6M 90 VOL BVOL Index</t>
  </si>
  <si>
    <t>KOSPI2 6M 95 VOL BVOL Index</t>
  </si>
  <si>
    <t>KOSPI2 6M 97.5 VOL BVOL Index</t>
  </si>
  <si>
    <t>KOSPI2 6M 100C VOL BVOL Index</t>
  </si>
  <si>
    <t>KOSPI2 6M 102.5 VOL BVOL Index</t>
  </si>
  <si>
    <t>KOSPI2 6M 105 VOL BVOL Index</t>
  </si>
  <si>
    <t>KOSPI2 6M 110 VOL BVOL Index</t>
  </si>
  <si>
    <t>KOSPI2 6M 120 VOL BVOL Index</t>
  </si>
  <si>
    <t>KOSPI2 9M 80 VOL BVOL Index</t>
  </si>
  <si>
    <t>KOSPI2 9M 90 VOL BVOL Index</t>
  </si>
  <si>
    <t>KOSPI2 9M 95 VOL BVOL Index</t>
  </si>
  <si>
    <t>KOSPI2 9M 97.5 VOL BVOL Index</t>
  </si>
  <si>
    <t>KOSPI2 9M 100C VOL BVOL Index</t>
  </si>
  <si>
    <t>KOSPI2 9M 102.5 VOL BVOL Index</t>
  </si>
  <si>
    <t>KOSPI2 9M 105 VOL BVOL Index</t>
  </si>
  <si>
    <t>KOSPI2 9M 110 VOL BVOL Index</t>
  </si>
  <si>
    <t>KOSPI2 9M 120 VOL BVOL Index</t>
  </si>
  <si>
    <t>KOSPI2 1Y 80 VOL BVOL Index</t>
  </si>
  <si>
    <t>KOSPI2 1Y 90 VOL BVOL Index</t>
  </si>
  <si>
    <t>KOSPI2 1Y 95 VOL BVOL Index</t>
  </si>
  <si>
    <t>KOSPI2 1Y 97.5 VOL BVOL Index</t>
  </si>
  <si>
    <t>KOSPI2 1Y 100C VOL BVOL Index</t>
  </si>
  <si>
    <t>KOSPI2 1Y 102.5 VOL BVOL Index</t>
  </si>
  <si>
    <t>KOSPI2 1Y 105 VOL BVOL Index</t>
  </si>
  <si>
    <t>KOSPI2 1Y 110 VOL BVOL Index</t>
  </si>
  <si>
    <t>KOSPI2 1Y 120 VOL BVOL Index</t>
  </si>
  <si>
    <t>KOSPI2 18M 80 VOL BVOL Index</t>
  </si>
  <si>
    <t>KOSPI2 18M 90 VOL BVOL Index</t>
  </si>
  <si>
    <t>KOSPI2 18M 95 VOL BVOL Index</t>
  </si>
  <si>
    <t>KOSPI2 18M 97.5 VOL BVOL Index</t>
  </si>
  <si>
    <t>KOSPI2 18M 100C VOL BVOL Index</t>
  </si>
  <si>
    <t>KOSPI2 18M 102.5 VOL BVOL Index</t>
  </si>
  <si>
    <t>KOSPI2 18M 105 VOL BVOL Index</t>
  </si>
  <si>
    <t>KOSPI2 18M 110 VOL BVOL Index</t>
  </si>
  <si>
    <t>KOSPI2 18M 120 VOL BVOL Index</t>
  </si>
  <si>
    <t>KOSPI2 2Y 80 VOL BVOL Index</t>
  </si>
  <si>
    <t>KOSPI2 2Y 90 VOL BVOL Index</t>
  </si>
  <si>
    <t>KOSPI2 2Y 95 VOL BVOL Index</t>
  </si>
  <si>
    <t>KOSPI2 2Y 97.5 VOL BVOL Index</t>
  </si>
  <si>
    <t>KOSPI2 2Y 100C VOL BVOL Index</t>
  </si>
  <si>
    <t>KOSPI2 2Y 102.5 VOL BVOL Index</t>
  </si>
  <si>
    <t>KOSPI2 2Y 105 VOL BVOL Index</t>
  </si>
  <si>
    <t>KOSPI2 2Y 110 VOL BVOL Index</t>
  </si>
  <si>
    <t>KOSPI2 2Y 120 VOL BVOL Index</t>
  </si>
  <si>
    <t>KOSPI2 3Y 80 VOL BVOL Index</t>
  </si>
  <si>
    <t>KOSPI2 3Y 90 VOL BVOL Index</t>
  </si>
  <si>
    <t>KOSPI2 3Y 95 VOL BVOL Index</t>
  </si>
  <si>
    <t>KOSPI2 3Y 97.5 VOL BVOL Index</t>
  </si>
  <si>
    <t>KOSPI2 3Y 100C VOL BVOL Index</t>
  </si>
  <si>
    <t>KOSPI2 3Y 102.5 VOL BVOL Index</t>
  </si>
  <si>
    <t>KOSPI2 3Y 105 VOL BVOL Index</t>
  </si>
  <si>
    <t>KOSPI2 3Y 110 VOL BVOL Index</t>
  </si>
  <si>
    <t>KOSPI2 3Y 120 VOL BVOL Index</t>
  </si>
  <si>
    <t>KOSPI2 4Y 80 VOL BVOL Index</t>
  </si>
  <si>
    <t>KOSPI2 4Y 90 VOL BVOL Index</t>
  </si>
  <si>
    <t>KOSPI2 4Y 95 VOL BVOL Index</t>
  </si>
  <si>
    <t>KOSPI2 4Y 97.5 VOL BVOL Index</t>
  </si>
  <si>
    <t>KOSPI2 4Y 100C VOL BVOL Index</t>
  </si>
  <si>
    <t>KOSPI2 4Y 102.5 VOL BVOL Index</t>
  </si>
  <si>
    <t>KOSPI2 4Y 105 VOL BVOL Index</t>
  </si>
  <si>
    <t>KOSPI2 4Y 110 VOL BVOL Index</t>
  </si>
  <si>
    <t>KOSPI2 4Y 120 VOL BVOL Index</t>
  </si>
  <si>
    <t>KOSPI2 5Y 80 VOL BVOL Index</t>
  </si>
  <si>
    <t>KOSPI2 5Y 90 VOL BVOL Index</t>
  </si>
  <si>
    <t>KOSPI2 5Y 95 VOL BVOL Index</t>
  </si>
  <si>
    <t>KOSPI2 5Y 97.5 VOL BVOL Index</t>
  </si>
  <si>
    <t>KOSPI2 5Y 100C VOL BVOL Index</t>
  </si>
  <si>
    <t>KOSPI2 5Y 102.5 VOL BVOL Index</t>
  </si>
  <si>
    <t>KOSPI2 5Y 105 VOL BVOL Index</t>
  </si>
  <si>
    <t>KOSPI2 5Y 110 VOL BVOL Index</t>
  </si>
  <si>
    <t>KOSPI2 5Y 120 VOL BVOL Index</t>
  </si>
  <si>
    <t>KOSPI2 7Y 80 VOL BVOL Index</t>
  </si>
  <si>
    <t>KOSPI2 7Y 90 VOL BVOL Index</t>
  </si>
  <si>
    <t>KOSPI2 7Y 95 VOL BVOL Index</t>
  </si>
  <si>
    <t>KOSPI2 7Y 97.5 VOL BVOL Index</t>
  </si>
  <si>
    <t>KOSPI2 7Y 100C VOL BVOL Index</t>
  </si>
  <si>
    <t>KOSPI2 7Y 102.5 VOL BVOL Index</t>
  </si>
  <si>
    <t>KOSPI2 7Y 105 VOL BVOL Index</t>
  </si>
  <si>
    <t>KOSPI2 7Y 110 VOL BVOL Index</t>
  </si>
  <si>
    <t>KOSPI2 7Y 120 VOL BVOL Index</t>
  </si>
  <si>
    <t>KOSPI2 10Y 80 VOL BVOL Index</t>
  </si>
  <si>
    <t>KOSPI2 10Y 95 VOL BVOL Index</t>
  </si>
  <si>
    <t>KOSPI2 10Y 97.5 VOL BVOL Index</t>
  </si>
  <si>
    <t>KOSPI2 10Y 100C VOL BVOL Index</t>
  </si>
  <si>
    <t>KOSPI2 10Y 102.5 VOL BVOL Index</t>
  </si>
  <si>
    <t>KOSPI2 10Y 105 VOL BVOL Index</t>
  </si>
  <si>
    <t>KOSPI2 10Y 110 VOL BVOL Index</t>
  </si>
  <si>
    <t>KOSPI2 10Y 120 VOL BVOL Index</t>
  </si>
  <si>
    <t>2M</t>
  </si>
  <si>
    <t>18M</t>
  </si>
  <si>
    <t>PX_LAST</t>
    <phoneticPr fontId="2" type="noConversion"/>
  </si>
  <si>
    <t>5Y5Y</t>
    <phoneticPr fontId="2" type="noConversion"/>
  </si>
  <si>
    <t xml:space="preserve">Diagnoal Matrix </t>
    <phoneticPr fontId="2" type="noConversion"/>
  </si>
  <si>
    <t>Normal</t>
    <phoneticPr fontId="2" type="noConversion"/>
  </si>
  <si>
    <t>Black</t>
    <phoneticPr fontId="2" type="noConversion"/>
  </si>
  <si>
    <t>Expiry</t>
  </si>
  <si>
    <t>1Yr</t>
  </si>
  <si>
    <t>2Yr</t>
  </si>
  <si>
    <t>3Yr</t>
  </si>
  <si>
    <t>4Yr</t>
  </si>
  <si>
    <t>5Yr</t>
  </si>
  <si>
    <t>6Yr</t>
  </si>
  <si>
    <t>7Yr</t>
  </si>
  <si>
    <t>8Yr</t>
  </si>
  <si>
    <t>9Yr</t>
  </si>
  <si>
    <t>10Yr</t>
  </si>
  <si>
    <t>15Yr</t>
  </si>
  <si>
    <t>20Yr</t>
  </si>
  <si>
    <t>1Mo</t>
  </si>
  <si>
    <t>3Mo</t>
  </si>
  <si>
    <t>6Mo</t>
  </si>
  <si>
    <t>9Mo</t>
  </si>
  <si>
    <t>Normal Volatility</t>
    <phoneticPr fontId="2" type="noConversion"/>
  </si>
  <si>
    <t>KWSV0A15  TRHK Curncy</t>
  </si>
  <si>
    <t>KOSPI2 10Y 90 VOL BVOL Index</t>
    <phoneticPr fontId="2" type="noConversion"/>
  </si>
  <si>
    <t>Quote</t>
    <phoneticPr fontId="2" type="noConversion"/>
  </si>
  <si>
    <t>BLACK Volatility</t>
    <phoneticPr fontId="2" type="noConversion"/>
  </si>
  <si>
    <t>KWSN0A2   BBIR Curncy</t>
  </si>
  <si>
    <t>KWSN0A3  BBIR Curncy</t>
  </si>
  <si>
    <t>KWSN0A4  BBIR Curncy</t>
  </si>
  <si>
    <t>KWSN0A5  BBIR Curncy</t>
  </si>
  <si>
    <t>KWSN0A6  BBIR Curncy</t>
  </si>
  <si>
    <t>KWSN0A7  BBIR Curncy</t>
  </si>
  <si>
    <t>KWSN0A8  BBIR Curncy</t>
  </si>
  <si>
    <t>KWSN0A9  BBIR Curncy</t>
  </si>
  <si>
    <t>KWSN0A10   BBIR Curncy</t>
  </si>
  <si>
    <t>KWSN0A15   BBIR Curncy</t>
  </si>
  <si>
    <t>KWSN0A20   BBIR Curncy</t>
  </si>
  <si>
    <t>KWSN0C2  BBIR Curncy</t>
  </si>
  <si>
    <t>KWSN0C3  BBIR Curncy</t>
  </si>
  <si>
    <t>KWSN0C4  BBIR Curncy</t>
  </si>
  <si>
    <t>KWSN0C5  BBIR Curncy</t>
  </si>
  <si>
    <t>KWSN0C6  BBIR Curncy</t>
  </si>
  <si>
    <t>KWSN0C7  BBIR Curncy</t>
  </si>
  <si>
    <t>KWSN0C8  BBIR Curncy</t>
  </si>
  <si>
    <t>KWSN0C9  BBIR Curncy</t>
  </si>
  <si>
    <t>KWSN0C10   BBIR Curncy</t>
  </si>
  <si>
    <t>KWSN0C15   BBIR Curncy</t>
  </si>
  <si>
    <t>KWSN0C20   BBIR Curncy</t>
  </si>
  <si>
    <t>KWSN0F1  BBIR Curncy</t>
  </si>
  <si>
    <t>KWSN0F2  BBIR Curncy</t>
  </si>
  <si>
    <t>KWSN0F3  BBIR Curncy</t>
  </si>
  <si>
    <t>KWSN0F4  BBIR Curncy</t>
  </si>
  <si>
    <t>KWSN0F5  BBIR Curncy</t>
  </si>
  <si>
    <t>KWSN0F6  BBIR Curncy</t>
  </si>
  <si>
    <t>KWSN0F7  BBIR Curncy</t>
  </si>
  <si>
    <t>KWSN0F8  BBIR Curncy</t>
  </si>
  <si>
    <t>KWSN0F9  BBIR Curncy</t>
  </si>
  <si>
    <t>KWSN0F10   BBIR Curncy</t>
  </si>
  <si>
    <t>KWSN0F15   BBIR Curncy</t>
  </si>
  <si>
    <t>KWSN0F20   BBIR Curncy</t>
  </si>
  <si>
    <t>KWSN0I1  BBIR Curncy</t>
  </si>
  <si>
    <t>KWSN0I2  BBIR Curncy</t>
  </si>
  <si>
    <t>KWSN0I3  BBIR Curncy</t>
  </si>
  <si>
    <t>KWSN0I4  BBIR Curncy</t>
  </si>
  <si>
    <t>KWSN0I5  BBIR Curncy</t>
  </si>
  <si>
    <t>KWSN0I6  BBIR Curncy</t>
  </si>
  <si>
    <t>KWSN0I7  BBIR Curncy</t>
  </si>
  <si>
    <t>KWSN0I8  BBIR Curncy</t>
  </si>
  <si>
    <t>KWSN0I9  BBIR Curncy</t>
  </si>
  <si>
    <t>KWSN0I10   BBIR Curncy</t>
  </si>
  <si>
    <t>KWSN0I15   BBIR Curncy</t>
  </si>
  <si>
    <t>KWSN0I20   BBIR Curncy</t>
  </si>
  <si>
    <t>KWSN011  BBIR Curncy</t>
  </si>
  <si>
    <t>KWSN012  BBIR Curncy</t>
  </si>
  <si>
    <t>KWSN013  BBIR Curncy</t>
  </si>
  <si>
    <t>KWSN014  BBIR Curncy</t>
  </si>
  <si>
    <t>KWSN015  BBIR Curncy</t>
  </si>
  <si>
    <t>KWSN016  BBIR Curncy</t>
  </si>
  <si>
    <t>KWSN017  BBIR Curncy</t>
  </si>
  <si>
    <t>KWSN018  BBIR Curncy</t>
  </si>
  <si>
    <t>KWSN019  BBIR Curncy</t>
  </si>
  <si>
    <t>KWSN0110   BBIR Curncy</t>
  </si>
  <si>
    <t>KWSN0115   BBIR Curncy</t>
  </si>
  <si>
    <t>KWSN0120   BBIR Curncy</t>
  </si>
  <si>
    <t>KWSN021  BBIR Curncy</t>
  </si>
  <si>
    <t>KWSN022  BBIR Curncy</t>
  </si>
  <si>
    <t>KWSN023  BBIR Curncy</t>
  </si>
  <si>
    <t>KWSN025  BBIR Curncy</t>
  </si>
  <si>
    <t>KWSN026  BBIR Curncy</t>
  </si>
  <si>
    <t>KWSN027  BBIR Curncy</t>
  </si>
  <si>
    <t>KWSN028  BBIR Curncy</t>
  </si>
  <si>
    <t>KWSN029  BBIR Curncy</t>
  </si>
  <si>
    <t>KWSN0210   BBIR Curncy</t>
  </si>
  <si>
    <t>KWSN0215   BBIR Curncy</t>
  </si>
  <si>
    <t>KWSN0220   BBIR Curncy</t>
  </si>
  <si>
    <t>KWSN031  BBIR Curncy</t>
  </si>
  <si>
    <t>KWSN032  BBIR Curncy</t>
  </si>
  <si>
    <t>KWSN033  BBIR Curncy</t>
  </si>
  <si>
    <t>KWSN034  BBIR Curncy</t>
  </si>
  <si>
    <t>KWSN035  BBIR Curncy</t>
  </si>
  <si>
    <t>KWSN036  BBIR Curncy</t>
  </si>
  <si>
    <t>KWSN037  BBIR Curncy</t>
  </si>
  <si>
    <t>KWSN038  BBIR Curncy</t>
  </si>
  <si>
    <t>KWSN039  BBIR Curncy</t>
  </si>
  <si>
    <t>KWSN0310   BBIR Curncy</t>
  </si>
  <si>
    <t>KWSN0315   BBIR Curncy</t>
  </si>
  <si>
    <t>KWSN0320   BBIR Curncy</t>
  </si>
  <si>
    <t>KWSN041  BBIR Curncy</t>
  </si>
  <si>
    <t>KWSN042  BBIR Curncy</t>
  </si>
  <si>
    <t>KWSN043  BBIR Curncy</t>
  </si>
  <si>
    <t>KWSN044  BBIR Curncy</t>
  </si>
  <si>
    <t>KWSN045  BBIR Curncy</t>
  </si>
  <si>
    <t>KWSN046  BBIR Curncy</t>
  </si>
  <si>
    <t>KWSN047  BBIR Curncy</t>
  </si>
  <si>
    <t>KWSN048  BBIR Curncy</t>
  </si>
  <si>
    <t>KWSN049  BBIR Curncy</t>
  </si>
  <si>
    <t>KWSN0410   BBIR Curncy</t>
  </si>
  <si>
    <t>KWSN0415   BBIR Curncy</t>
  </si>
  <si>
    <t>KWSN0420   BBIR Curncy</t>
  </si>
  <si>
    <t>KWSN051  BBIR Curncy</t>
  </si>
  <si>
    <t>KWSN052  BBIR Curncy</t>
  </si>
  <si>
    <t>KWSN053  BBIR Curncy</t>
  </si>
  <si>
    <t>KWSN054  BBIR Curncy</t>
  </si>
  <si>
    <t>KWSN055  BBIR Curncy</t>
  </si>
  <si>
    <t>KWSN056  BBIR Curncy</t>
  </si>
  <si>
    <t>KWSN057  BBIR Curncy</t>
  </si>
  <si>
    <t>KWSN058  BBIR Curncy</t>
  </si>
  <si>
    <t>KWSN059  BBIR Curncy</t>
  </si>
  <si>
    <t>KWSN0510   BBIR Curncy</t>
  </si>
  <si>
    <t>KWSN0515   BBIR Curncy</t>
  </si>
  <si>
    <t>KWSN0520   BBIR Curncy</t>
  </si>
  <si>
    <t>KWSN071  BBIR Curncy</t>
  </si>
  <si>
    <t>KWSN072  BBIR Curncy</t>
  </si>
  <si>
    <t>KWSN073  BBIR Curncy</t>
  </si>
  <si>
    <t>KWSN074  BBIR Curncy</t>
  </si>
  <si>
    <t>KWSN075  BBIR Curncy</t>
  </si>
  <si>
    <t>KWSN076  BBIR Curncy</t>
  </si>
  <si>
    <t>KWSN077  BBIR Curncy</t>
  </si>
  <si>
    <t>KWSN078  BBIR Curncy</t>
  </si>
  <si>
    <t>KWSN079  BBIR Curncy</t>
  </si>
  <si>
    <t>KWSN0710   BBIR Curncy</t>
  </si>
  <si>
    <t>KWSN0715   BBIR Curncy</t>
  </si>
  <si>
    <t>KWSN0720   BBIR Curncy</t>
  </si>
  <si>
    <t>KWSN101  BBIR Curncy</t>
  </si>
  <si>
    <t>KWSN102  BBIR Curncy</t>
  </si>
  <si>
    <t>KWSN103  BBIR Curncy</t>
  </si>
  <si>
    <t>KWSN104  BBIR Curncy</t>
  </si>
  <si>
    <t>KWSN105  BBIR Curncy</t>
  </si>
  <si>
    <t>KWSN106  BBIR Curncy</t>
  </si>
  <si>
    <t>KWSN107  BBIR Curncy</t>
  </si>
  <si>
    <t>KWSN108  BBIR Curncy</t>
  </si>
  <si>
    <t>KWSN109  BBIR Curncy</t>
  </si>
  <si>
    <t>KWSN1010   BBIR Curncy</t>
  </si>
  <si>
    <t>KWSN1015   BBIR Curncy</t>
  </si>
  <si>
    <t>KWSN1020   BBIR Curncy</t>
  </si>
  <si>
    <t>KWSN151  BBIR Curncy</t>
  </si>
  <si>
    <t>KWSN152  BBIR Curncy</t>
  </si>
  <si>
    <t>KWSN153  BBIR Curncy</t>
  </si>
  <si>
    <t>KWSN154  BBIR Curncy</t>
  </si>
  <si>
    <t>KWSN155  BBIR Curncy</t>
  </si>
  <si>
    <t>KWSN156  BBIR Curncy</t>
  </si>
  <si>
    <t>KWSN157  BBIR Curncy</t>
  </si>
  <si>
    <t>KWSN158  BBIR Curncy</t>
  </si>
  <si>
    <t>KWSN159  BBIR Curncy</t>
  </si>
  <si>
    <t>KWSN1510   BBIR Curncy</t>
  </si>
  <si>
    <t>KWSN1515   BBIR Curncy</t>
  </si>
  <si>
    <t>KWSN1520   BBIR Curncy</t>
  </si>
  <si>
    <t>KWSN201  BBIR Curncy</t>
  </si>
  <si>
    <t>KWSN202  BBIR Curncy</t>
  </si>
  <si>
    <t>KWSN203  BBIR Curncy</t>
  </si>
  <si>
    <t>KWSN204  BBIR Curncy</t>
  </si>
  <si>
    <t>KWSN205  BBIR Curncy</t>
  </si>
  <si>
    <t>KWSN206  BBIR Curncy</t>
  </si>
  <si>
    <t>KWSN207  BBIR Curncy</t>
  </si>
  <si>
    <t>KWSN208  BBIR Curncy</t>
  </si>
  <si>
    <t>KWSN209  BBIR Curncy</t>
  </si>
  <si>
    <t>KWSN2010   BBIR Curncy</t>
  </si>
  <si>
    <t>KWSN2015   BBIR Curncy</t>
  </si>
  <si>
    <t>KWSN2020   BBIR Curncy</t>
  </si>
  <si>
    <t>KWSN0A1 TRHK Curncy</t>
    <phoneticPr fontId="2" type="noConversion"/>
  </si>
  <si>
    <t>5Y5Y</t>
  </si>
  <si>
    <t>20Y1Y</t>
  </si>
  <si>
    <t>20Y1Y</t>
    <phoneticPr fontId="2" type="noConversion"/>
  </si>
  <si>
    <t>15Y2Y</t>
  </si>
  <si>
    <t>15Y2Y</t>
    <phoneticPr fontId="2" type="noConversion"/>
  </si>
  <si>
    <t>10Y3Y</t>
  </si>
  <si>
    <t>10Y3Y</t>
    <phoneticPr fontId="2" type="noConversion"/>
  </si>
  <si>
    <t>7Y4Y</t>
  </si>
  <si>
    <t>7Y4Y</t>
    <phoneticPr fontId="2" type="noConversion"/>
  </si>
  <si>
    <t>4Y7Y</t>
  </si>
  <si>
    <t>4Y7Y</t>
    <phoneticPr fontId="2" type="noConversion"/>
  </si>
  <si>
    <t>3Y10Y</t>
  </si>
  <si>
    <t>3Y10Y</t>
    <phoneticPr fontId="2" type="noConversion"/>
  </si>
  <si>
    <t>2Y15Y</t>
  </si>
  <si>
    <t>2Y15Y</t>
    <phoneticPr fontId="2" type="noConversion"/>
  </si>
  <si>
    <t>1Y20Y</t>
  </si>
  <si>
    <t>1Y20Y</t>
    <phoneticPr fontId="2" type="noConversion"/>
  </si>
  <si>
    <t>1M</t>
    <phoneticPr fontId="2" type="noConversion"/>
  </si>
  <si>
    <t>Normal</t>
  </si>
  <si>
    <t>Black</t>
  </si>
  <si>
    <t>Diagonal Matrix</t>
    <phoneticPr fontId="2" type="noConversion"/>
  </si>
  <si>
    <t>TRHK - 10:30 Notification</t>
    <phoneticPr fontId="2" type="noConversion"/>
  </si>
  <si>
    <t>View</t>
    <phoneticPr fontId="2" type="noConversion"/>
  </si>
  <si>
    <t>ODBC Tool</t>
    <phoneticPr fontId="2" type="noConversion"/>
  </si>
  <si>
    <t>Mat x Tenor</t>
    <phoneticPr fontId="2" type="noConversion"/>
  </si>
  <si>
    <t>KWCDC CMPN Curncy</t>
  </si>
  <si>
    <t>KWSWOF TPRA Curncy</t>
  </si>
  <si>
    <t>KWSWOI TPRA Curncy</t>
  </si>
  <si>
    <t>KWSWO1 TPRA Curncy</t>
  </si>
  <si>
    <t>KWSWO2 TPRA Curncy</t>
  </si>
  <si>
    <t>KWSWO3 TPRA Curncy</t>
  </si>
  <si>
    <t>KWSWO4 TPRA Curncy</t>
  </si>
  <si>
    <t>KWSWO5 TPRA Curncy</t>
  </si>
  <si>
    <t>KWSWO7 TPRA Curncy</t>
  </si>
  <si>
    <t>KWSWO10 TPRA Curncy</t>
  </si>
  <si>
    <t>KWSWO12 TPRA Curncy</t>
  </si>
  <si>
    <t>KWSWO15 TPRA Curncy</t>
  </si>
  <si>
    <t>KWSWO20 TPRA Curncy</t>
  </si>
  <si>
    <t>KWSWO30 TPRA Curncy</t>
  </si>
  <si>
    <t>3M</t>
    <phoneticPr fontId="2" type="noConversion"/>
  </si>
  <si>
    <t>6M</t>
    <phoneticPr fontId="2" type="noConversion"/>
  </si>
  <si>
    <t>9M</t>
    <phoneticPr fontId="2" type="noConversion"/>
  </si>
  <si>
    <t>1Y</t>
    <phoneticPr fontId="2" type="noConversion"/>
  </si>
  <si>
    <t>2Y</t>
    <phoneticPr fontId="2" type="noConversion"/>
  </si>
  <si>
    <t>3Y</t>
    <phoneticPr fontId="2" type="noConversion"/>
  </si>
  <si>
    <t>4Y</t>
    <phoneticPr fontId="2" type="noConversion"/>
  </si>
  <si>
    <t>5Y</t>
    <phoneticPr fontId="2" type="noConversion"/>
  </si>
  <si>
    <t>7Y</t>
    <phoneticPr fontId="2" type="noConversion"/>
  </si>
  <si>
    <t>10Y</t>
    <phoneticPr fontId="2" type="noConversion"/>
  </si>
  <si>
    <t>12Y</t>
    <phoneticPr fontId="2" type="noConversion"/>
  </si>
  <si>
    <t>15Y</t>
    <phoneticPr fontId="2" type="noConversion"/>
  </si>
  <si>
    <t>20Y</t>
    <phoneticPr fontId="2" type="noConversion"/>
  </si>
  <si>
    <t>30Y</t>
    <phoneticPr fontId="2" type="noConversion"/>
  </si>
  <si>
    <t>Tenor</t>
  </si>
  <si>
    <t>ATM</t>
  </si>
  <si>
    <t>12Yr</t>
  </si>
  <si>
    <t>25Yr</t>
  </si>
  <si>
    <t>30Yr</t>
  </si>
  <si>
    <t>\</t>
    <phoneticPr fontId="2" type="noConversion"/>
  </si>
  <si>
    <t>Convex during Crisis, Concave during both Pre-Crisis and Post-Crisis</t>
    <phoneticPr fontId="2" type="noConversion"/>
  </si>
  <si>
    <t>BVOL_CAP_VOL</t>
  </si>
  <si>
    <t>1%</t>
  </si>
  <si>
    <t>1.5%</t>
  </si>
  <si>
    <t>2%</t>
  </si>
  <si>
    <t>2.5%</t>
  </si>
  <si>
    <t>3%</t>
  </si>
  <si>
    <t>3.5%</t>
  </si>
  <si>
    <t>4%</t>
  </si>
  <si>
    <t>4.5%</t>
  </si>
  <si>
    <t>5%</t>
  </si>
  <si>
    <t>5.5%</t>
  </si>
  <si>
    <t>6%</t>
  </si>
  <si>
    <t>6.5%</t>
  </si>
  <si>
    <t>7%</t>
  </si>
  <si>
    <t>7.5%</t>
  </si>
  <si>
    <t>8%</t>
  </si>
  <si>
    <t>8.5%</t>
  </si>
  <si>
    <t>9%</t>
  </si>
  <si>
    <t>9.5%</t>
  </si>
  <si>
    <t>10%</t>
  </si>
  <si>
    <t>10.5%</t>
  </si>
  <si>
    <t>11%</t>
  </si>
  <si>
    <t>11.5%</t>
  </si>
  <si>
    <t>12%</t>
  </si>
  <si>
    <t>12.5%</t>
  </si>
  <si>
    <t>13%</t>
  </si>
  <si>
    <t>13.5%</t>
  </si>
  <si>
    <t>14%</t>
  </si>
  <si>
    <t>14.5%</t>
  </si>
  <si>
    <t>15%</t>
  </si>
  <si>
    <t>Bloomberg NSV</t>
    <phoneticPr fontId="2" type="noConversion"/>
  </si>
  <si>
    <t>-1.5%</t>
  </si>
  <si>
    <t>-1%</t>
  </si>
  <si>
    <t>-0.75%</t>
  </si>
  <si>
    <t>-0.5%</t>
  </si>
  <si>
    <t>-0.25%</t>
  </si>
  <si>
    <t>0.25%</t>
  </si>
  <si>
    <t>0.5%</t>
  </si>
  <si>
    <t>0.75%</t>
  </si>
  <si>
    <t>Black Vol</t>
    <phoneticPr fontId="2" type="noConversion"/>
  </si>
  <si>
    <t>Normal Vol</t>
    <phoneticPr fontId="2" type="noConversion"/>
  </si>
  <si>
    <t>not includes jump implied by IR levels</t>
    <phoneticPr fontId="2" type="noConversion"/>
  </si>
  <si>
    <t>marginal dist not displaying tails</t>
    <phoneticPr fontId="2" type="noConversion"/>
  </si>
  <si>
    <t>marginal dist displaying tails</t>
    <phoneticPr fontId="2" type="noConversion"/>
  </si>
  <si>
    <t xml:space="preserve">marginal dist </t>
    <phoneticPr fontId="2" type="noConversion"/>
  </si>
  <si>
    <t>jump</t>
    <phoneticPr fontId="2" type="noConversion"/>
  </si>
  <si>
    <t>includes jump implied by IR levels</t>
    <phoneticPr fontId="2" type="noConversion"/>
  </si>
  <si>
    <t>IR level vs Swaption</t>
    <phoneticPr fontId="2" type="noConversion"/>
  </si>
  <si>
    <t>positive correlated</t>
    <phoneticPr fontId="2" type="noConversion"/>
  </si>
  <si>
    <t>no correlated</t>
    <phoneticPr fontId="2" type="noConversion"/>
  </si>
  <si>
    <t>no contiditional probability by IR level</t>
    <phoneticPr fontId="2" type="noConversion"/>
  </si>
  <si>
    <t>no relationship between local vol and IR level</t>
    <phoneticPr fontId="2" type="noConversion"/>
  </si>
  <si>
    <t>(* local vol = exponential weighted average vol pt / squared abs(IR changes) in a certain time span)</t>
    <phoneticPr fontId="2" type="noConversion"/>
  </si>
  <si>
    <t>to CSV Black</t>
    <phoneticPr fontId="2" type="noConversion"/>
  </si>
  <si>
    <t>Black</t>
    <phoneticPr fontId="2" type="noConversion"/>
  </si>
  <si>
    <t>Nomral</t>
    <phoneticPr fontId="2" type="noConversion"/>
  </si>
  <si>
    <t>to CSV Normal</t>
    <phoneticPr fontId="2" type="noConversion"/>
  </si>
  <si>
    <t>Term x Tenor</t>
  </si>
  <si>
    <t>-300bps</t>
  </si>
  <si>
    <t>-200bps</t>
  </si>
  <si>
    <t>-100bps</t>
  </si>
  <si>
    <t>-75bps</t>
  </si>
  <si>
    <t>-50bps</t>
  </si>
  <si>
    <t>-25bps</t>
  </si>
  <si>
    <t>25bps</t>
  </si>
  <si>
    <t>50bps</t>
  </si>
  <si>
    <t>75bps</t>
  </si>
  <si>
    <t>100bps</t>
  </si>
  <si>
    <t>200bps</t>
  </si>
  <si>
    <t>300bps</t>
  </si>
  <si>
    <t>1Mo X 1Yr</t>
  </si>
  <si>
    <t>KRWA0A01</t>
  </si>
  <si>
    <t>KRWK0A01</t>
  </si>
  <si>
    <t>KRWL0A01</t>
  </si>
  <si>
    <t>KRWB0A01</t>
  </si>
  <si>
    <t>KRWM0A01</t>
  </si>
  <si>
    <t>KRWN0A01</t>
  </si>
  <si>
    <t xml:space="preserve">KWSN0A1 </t>
  </si>
  <si>
    <t>KRWO0A01</t>
  </si>
  <si>
    <t>KRWP0A01</t>
  </si>
  <si>
    <t>KRWC0A01</t>
  </si>
  <si>
    <t>KRWQ0A01</t>
  </si>
  <si>
    <t>KRWR0A01</t>
  </si>
  <si>
    <t>KRWD0A01</t>
  </si>
  <si>
    <t>1Mo X 2Yr</t>
  </si>
  <si>
    <t>KRWA0A02</t>
  </si>
  <si>
    <t>KRWK0A02</t>
  </si>
  <si>
    <t>KRWL0A02</t>
  </si>
  <si>
    <t>KRWB0A02</t>
  </si>
  <si>
    <t>KRWM0A02</t>
  </si>
  <si>
    <t>KRWN0A02</t>
  </si>
  <si>
    <t xml:space="preserve">KWSN0A2 </t>
  </si>
  <si>
    <t>KRWO0A02</t>
  </si>
  <si>
    <t>KRWP0A02</t>
  </si>
  <si>
    <t>KRWC0A02</t>
  </si>
  <si>
    <t>KRWQ0A02</t>
  </si>
  <si>
    <t>KRWR0A02</t>
  </si>
  <si>
    <t>KRWD0A02</t>
  </si>
  <si>
    <t>1Mo X 3Yr</t>
  </si>
  <si>
    <t>KRWA0A03</t>
  </si>
  <si>
    <t>KRWK0A03</t>
  </si>
  <si>
    <t>KRWL0A03</t>
  </si>
  <si>
    <t>KRWB0A03</t>
  </si>
  <si>
    <t>KRWM0A03</t>
  </si>
  <si>
    <t>KRWN0A03</t>
  </si>
  <si>
    <t xml:space="preserve">KWSN0A3 </t>
  </si>
  <si>
    <t>KRWO0A03</t>
  </si>
  <si>
    <t>KRWP0A03</t>
  </si>
  <si>
    <t>KRWC0A03</t>
  </si>
  <si>
    <t>KRWQ0A03</t>
  </si>
  <si>
    <t>KRWR0A03</t>
  </si>
  <si>
    <t>KRWD0A03</t>
  </si>
  <si>
    <t>1Mo X 4Yr</t>
  </si>
  <si>
    <t>KRWA0A04</t>
  </si>
  <si>
    <t>KRWK0A04</t>
  </si>
  <si>
    <t>KRWL0A04</t>
  </si>
  <si>
    <t>KRWB0A04</t>
  </si>
  <si>
    <t>KRWM0A04</t>
  </si>
  <si>
    <t>KRWN0A04</t>
  </si>
  <si>
    <t xml:space="preserve">KWSN0A4 </t>
  </si>
  <si>
    <t>KRWO0A04</t>
  </si>
  <si>
    <t>KRWP0A04</t>
  </si>
  <si>
    <t>KRWC0A04</t>
  </si>
  <si>
    <t>KRWQ0A04</t>
  </si>
  <si>
    <t>KRWR0A04</t>
  </si>
  <si>
    <t>KRWD0A04</t>
  </si>
  <si>
    <t>1Mo X 5Yr</t>
  </si>
  <si>
    <t>KRWA0A05</t>
  </si>
  <si>
    <t>KRWK0A05</t>
  </si>
  <si>
    <t>KRWL0A05</t>
  </si>
  <si>
    <t>KRWB0A05</t>
  </si>
  <si>
    <t>KRWM0A05</t>
  </si>
  <si>
    <t>KRWN0A05</t>
  </si>
  <si>
    <t xml:space="preserve">KWSN0A5 </t>
  </si>
  <si>
    <t>KRWO0A05</t>
  </si>
  <si>
    <t>KRWP0A05</t>
  </si>
  <si>
    <t>KRWC0A05</t>
  </si>
  <si>
    <t>KRWQ0A05</t>
  </si>
  <si>
    <t>KRWR0A05</t>
  </si>
  <si>
    <t>KRWD0A05</t>
  </si>
  <si>
    <t>1Mo X 6Yr</t>
  </si>
  <si>
    <t>KRWA0A06</t>
  </si>
  <si>
    <t>KRWK0A06</t>
  </si>
  <si>
    <t>KRWL0A06</t>
  </si>
  <si>
    <t>KRWB0A06</t>
  </si>
  <si>
    <t>KRWM0A06</t>
  </si>
  <si>
    <t>KRWN0A06</t>
  </si>
  <si>
    <t xml:space="preserve">KWSN0A6 </t>
  </si>
  <si>
    <t>KRWO0A06</t>
  </si>
  <si>
    <t>KRWP0A06</t>
  </si>
  <si>
    <t>KRWC0A06</t>
  </si>
  <si>
    <t>KRWQ0A06</t>
  </si>
  <si>
    <t>KRWR0A06</t>
  </si>
  <si>
    <t>KRWD0A06</t>
  </si>
  <si>
    <t>1Mo X 7Yr</t>
  </si>
  <si>
    <t>KRWA0A07</t>
  </si>
  <si>
    <t>KRWK0A07</t>
  </si>
  <si>
    <t>KRWL0A07</t>
  </si>
  <si>
    <t>KRWB0A07</t>
  </si>
  <si>
    <t>KRWM0A07</t>
  </si>
  <si>
    <t>KRWN0A07</t>
  </si>
  <si>
    <t xml:space="preserve">KWSN0A7 </t>
  </si>
  <si>
    <t>KRWO0A07</t>
  </si>
  <si>
    <t>KRWP0A07</t>
  </si>
  <si>
    <t>KRWC0A07</t>
  </si>
  <si>
    <t>KRWQ0A07</t>
  </si>
  <si>
    <t>KRWR0A07</t>
  </si>
  <si>
    <t>KRWD0A07</t>
  </si>
  <si>
    <t>1Mo X 8Yr</t>
  </si>
  <si>
    <t>KRWA0A08</t>
  </si>
  <si>
    <t>KRWK0A08</t>
  </si>
  <si>
    <t>KRWL0A08</t>
  </si>
  <si>
    <t>KRWB0A08</t>
  </si>
  <si>
    <t>KRWM0A08</t>
  </si>
  <si>
    <t>KRWN0A08</t>
  </si>
  <si>
    <t xml:space="preserve">KWSN0A8 </t>
  </si>
  <si>
    <t>KRWO0A08</t>
  </si>
  <si>
    <t>KRWP0A08</t>
  </si>
  <si>
    <t>KRWC0A08</t>
  </si>
  <si>
    <t>KRWQ0A08</t>
  </si>
  <si>
    <t>KRWR0A08</t>
  </si>
  <si>
    <t>KRWD0A08</t>
  </si>
  <si>
    <t>1Mo X 9Yr</t>
  </si>
  <si>
    <t>KRWA0A09</t>
  </si>
  <si>
    <t>KRWK0A09</t>
  </si>
  <si>
    <t>KRWL0A09</t>
  </si>
  <si>
    <t>KRWB0A09</t>
  </si>
  <si>
    <t>KRWM0A09</t>
  </si>
  <si>
    <t>KRWN0A09</t>
  </si>
  <si>
    <t xml:space="preserve">KWSN0A9 </t>
  </si>
  <si>
    <t>KRWO0A09</t>
  </si>
  <si>
    <t>KRWP0A09</t>
  </si>
  <si>
    <t>KRWC0A09</t>
  </si>
  <si>
    <t>KRWQ0A09</t>
  </si>
  <si>
    <t>KRWR0A09</t>
  </si>
  <si>
    <t>KRWD0A09</t>
  </si>
  <si>
    <t>1Mo X 10Yr</t>
  </si>
  <si>
    <t>KRWA0A10</t>
  </si>
  <si>
    <t>KRWK0A10</t>
  </si>
  <si>
    <t>KRWL0A10</t>
  </si>
  <si>
    <t>KRWB0A10</t>
  </si>
  <si>
    <t>KRWM0A10</t>
  </si>
  <si>
    <t>KRWN0A10</t>
  </si>
  <si>
    <t>KWSN0A10</t>
  </si>
  <si>
    <t>KRWO0A10</t>
  </si>
  <si>
    <t>KRWP0A10</t>
  </si>
  <si>
    <t>KRWC0A10</t>
  </si>
  <si>
    <t>KRWQ0A10</t>
  </si>
  <si>
    <t>KRWR0A10</t>
  </si>
  <si>
    <t>KRWD0A10</t>
  </si>
  <si>
    <t>1Mo X 15Yr</t>
  </si>
  <si>
    <t>KRWA0A15</t>
  </si>
  <si>
    <t>KRWK0A15</t>
  </si>
  <si>
    <t>KRWL0A15</t>
  </si>
  <si>
    <t>KRWB0A15</t>
  </si>
  <si>
    <t>KRWM0A15</t>
  </si>
  <si>
    <t>KRWN0A15</t>
  </si>
  <si>
    <t>KWSN0A15</t>
  </si>
  <si>
    <t>KRWO0A15</t>
  </si>
  <si>
    <t>KRWP0A15</t>
  </si>
  <si>
    <t>KRWC0A15</t>
  </si>
  <si>
    <t>KRWQ0A15</t>
  </si>
  <si>
    <t>KRWR0A15</t>
  </si>
  <si>
    <t>KRWD0A15</t>
  </si>
  <si>
    <t>1Mo X 20Yr</t>
  </si>
  <si>
    <t>KRWA0A20</t>
  </si>
  <si>
    <t>KRWK0A20</t>
  </si>
  <si>
    <t>KRWL0A20</t>
  </si>
  <si>
    <t>KRWB0A20</t>
  </si>
  <si>
    <t>KRWM0A20</t>
  </si>
  <si>
    <t>KRWN0A20</t>
  </si>
  <si>
    <t>KWSN0A20</t>
  </si>
  <si>
    <t>KRWO0A20</t>
  </si>
  <si>
    <t>KRWP0A20</t>
  </si>
  <si>
    <t>KRWC0A20</t>
  </si>
  <si>
    <t>KRWQ0A20</t>
  </si>
  <si>
    <t>KRWR0A20</t>
  </si>
  <si>
    <t>KRWD0A20</t>
  </si>
  <si>
    <t>3Mo X 1Yr</t>
  </si>
  <si>
    <t>KRWA0C01</t>
  </si>
  <si>
    <t>KRWK0C01</t>
  </si>
  <si>
    <t>KRWL0C01</t>
  </si>
  <si>
    <t>KRWB0C01</t>
  </si>
  <si>
    <t>KRWM0C01</t>
  </si>
  <si>
    <t>KRWN0C01</t>
  </si>
  <si>
    <t xml:space="preserve">KWSN0C1 </t>
  </si>
  <si>
    <t>KRWO0C01</t>
  </si>
  <si>
    <t>KRWP0C01</t>
  </si>
  <si>
    <t>KRWC0C01</t>
  </si>
  <si>
    <t>KRWQ0C01</t>
  </si>
  <si>
    <t>KRWR0C01</t>
  </si>
  <si>
    <t>KRWD0C01</t>
  </si>
  <si>
    <t>3Mo X 2Yr</t>
  </si>
  <si>
    <t>KRWA0C02</t>
  </si>
  <si>
    <t>KRWK0C02</t>
  </si>
  <si>
    <t>KRWL0C02</t>
  </si>
  <si>
    <t>KRWB0C02</t>
  </si>
  <si>
    <t>KRWM0C02</t>
  </si>
  <si>
    <t>KRWN0C02</t>
  </si>
  <si>
    <t xml:space="preserve">KWSN0C2 </t>
  </si>
  <si>
    <t>KRWO0C02</t>
  </si>
  <si>
    <t>KRWP0C02</t>
  </si>
  <si>
    <t>KRWC0C02</t>
  </si>
  <si>
    <t>KRWQ0C02</t>
  </si>
  <si>
    <t>KRWR0C02</t>
  </si>
  <si>
    <t>KRWD0C02</t>
  </si>
  <si>
    <t>3Mo X 3Yr</t>
  </si>
  <si>
    <t>KRWA0C03</t>
  </si>
  <si>
    <t>KRWK0C03</t>
  </si>
  <si>
    <t>KRWL0C03</t>
  </si>
  <si>
    <t>KRWB0C03</t>
  </si>
  <si>
    <t>KRWM0C03</t>
  </si>
  <si>
    <t>KRWN0C03</t>
  </si>
  <si>
    <t xml:space="preserve">KWSN0C3 </t>
  </si>
  <si>
    <t>KRWO0C03</t>
  </si>
  <si>
    <t>KRWP0C03</t>
  </si>
  <si>
    <t>KRWC0C03</t>
  </si>
  <si>
    <t>KRWQ0C03</t>
  </si>
  <si>
    <t>KRWR0C03</t>
  </si>
  <si>
    <t>KRWD0C03</t>
  </si>
  <si>
    <t>3Mo X 4Yr</t>
  </si>
  <si>
    <t>KRWA0C04</t>
  </si>
  <si>
    <t>KRWK0C04</t>
  </si>
  <si>
    <t>KRWL0C04</t>
  </si>
  <si>
    <t>KRWB0C04</t>
  </si>
  <si>
    <t>KRWM0C04</t>
  </si>
  <si>
    <t>KRWN0C04</t>
  </si>
  <si>
    <t xml:space="preserve">KWSN0C4 </t>
  </si>
  <si>
    <t>KRWO0C04</t>
  </si>
  <si>
    <t>KRWP0C04</t>
  </si>
  <si>
    <t>KRWC0C04</t>
  </si>
  <si>
    <t>KRWQ0C04</t>
  </si>
  <si>
    <t>KRWR0C04</t>
  </si>
  <si>
    <t>KRWD0C04</t>
  </si>
  <si>
    <t>3Mo X 5Yr</t>
  </si>
  <si>
    <t>KRWA0C05</t>
  </si>
  <si>
    <t>KRWK0C05</t>
  </si>
  <si>
    <t>KRWL0C05</t>
  </si>
  <si>
    <t>KRWB0C05</t>
  </si>
  <si>
    <t>KRWM0C05</t>
  </si>
  <si>
    <t>KRWN0C05</t>
  </si>
  <si>
    <t xml:space="preserve">KWSN0C5 </t>
  </si>
  <si>
    <t>KRWO0C05</t>
  </si>
  <si>
    <t>KRWP0C05</t>
  </si>
  <si>
    <t>KRWC0C05</t>
  </si>
  <si>
    <t>KRWQ0C05</t>
  </si>
  <si>
    <t>KRWR0C05</t>
  </si>
  <si>
    <t>KRWD0C05</t>
  </si>
  <si>
    <t>3Mo X 6Yr</t>
  </si>
  <si>
    <t>KRWA0C06</t>
  </si>
  <si>
    <t>KRWK0C06</t>
  </si>
  <si>
    <t>KRWL0C06</t>
  </si>
  <si>
    <t>KRWB0C06</t>
  </si>
  <si>
    <t>KRWM0C06</t>
  </si>
  <si>
    <t>KRWN0C06</t>
  </si>
  <si>
    <t xml:space="preserve">KWSN0C6 </t>
  </si>
  <si>
    <t>KRWO0C06</t>
  </si>
  <si>
    <t>KRWP0C06</t>
  </si>
  <si>
    <t>KRWC0C06</t>
  </si>
  <si>
    <t>KRWQ0C06</t>
  </si>
  <si>
    <t>KRWR0C06</t>
  </si>
  <si>
    <t>KRWD0C06</t>
  </si>
  <si>
    <t>3Mo X 7Yr</t>
  </si>
  <si>
    <t>KRWA0C07</t>
  </si>
  <si>
    <t>KRWK0C07</t>
  </si>
  <si>
    <t>KRWL0C07</t>
  </si>
  <si>
    <t>KRWB0C07</t>
  </si>
  <si>
    <t>KRWM0C07</t>
  </si>
  <si>
    <t>KRWN0C07</t>
  </si>
  <si>
    <t xml:space="preserve">KWSN0C7 </t>
  </si>
  <si>
    <t>KRWO0C07</t>
  </si>
  <si>
    <t>KRWP0C07</t>
  </si>
  <si>
    <t>KRWC0C07</t>
  </si>
  <si>
    <t>KRWQ0C07</t>
  </si>
  <si>
    <t>KRWR0C07</t>
  </si>
  <si>
    <t>KRWD0C07</t>
  </si>
  <si>
    <t>3Mo X 8Yr</t>
  </si>
  <si>
    <t>KRWA0C08</t>
  </si>
  <si>
    <t>KRWK0C08</t>
  </si>
  <si>
    <t>KRWL0C08</t>
  </si>
  <si>
    <t>KRWB0C08</t>
  </si>
  <si>
    <t>KRWM0C08</t>
  </si>
  <si>
    <t>KRWN0C08</t>
  </si>
  <si>
    <t xml:space="preserve">KWSN0C8 </t>
  </si>
  <si>
    <t>KRWO0C08</t>
  </si>
  <si>
    <t>KRWP0C08</t>
  </si>
  <si>
    <t>KRWC0C08</t>
  </si>
  <si>
    <t>KRWQ0C08</t>
  </si>
  <si>
    <t>KRWR0C08</t>
  </si>
  <si>
    <t>KRWD0C08</t>
  </si>
  <si>
    <t>3Mo X 9Yr</t>
  </si>
  <si>
    <t>KRWA0C09</t>
  </si>
  <si>
    <t>KRWK0C09</t>
  </si>
  <si>
    <t>KRWL0C09</t>
  </si>
  <si>
    <t>KRWB0C09</t>
  </si>
  <si>
    <t>KRWM0C09</t>
  </si>
  <si>
    <t>KRWN0C09</t>
  </si>
  <si>
    <t xml:space="preserve">KWSN0C9 </t>
  </si>
  <si>
    <t>KRWO0C09</t>
  </si>
  <si>
    <t>KRWP0C09</t>
  </si>
  <si>
    <t>KRWC0C09</t>
  </si>
  <si>
    <t>KRWQ0C09</t>
  </si>
  <si>
    <t>KRWR0C09</t>
  </si>
  <si>
    <t>KRWD0C09</t>
  </si>
  <si>
    <t>3Mo X 10Yr</t>
  </si>
  <si>
    <t>KRWA0C10</t>
  </si>
  <si>
    <t>KRWK0C10</t>
  </si>
  <si>
    <t>KRWL0C10</t>
  </si>
  <si>
    <t>KRWB0C10</t>
  </si>
  <si>
    <t>KRWM0C10</t>
  </si>
  <si>
    <t>KRWN0C10</t>
  </si>
  <si>
    <t>KWSN0C10</t>
  </si>
  <si>
    <t>KRWO0C10</t>
  </si>
  <si>
    <t>KRWP0C10</t>
  </si>
  <si>
    <t>KRWC0C10</t>
  </si>
  <si>
    <t>KRWQ0C10</t>
  </si>
  <si>
    <t>KRWR0C10</t>
  </si>
  <si>
    <t>KRWD0C10</t>
  </si>
  <si>
    <t>3Mo X 15Yr</t>
  </si>
  <si>
    <t>KRWA0C15</t>
  </si>
  <si>
    <t>KRWK0C15</t>
  </si>
  <si>
    <t>KRWL0C15</t>
  </si>
  <si>
    <t>KRWB0C15</t>
  </si>
  <si>
    <t>KRWM0C15</t>
  </si>
  <si>
    <t>KRWN0C15</t>
  </si>
  <si>
    <t>KWSN0C15</t>
  </si>
  <si>
    <t>KRWO0C15</t>
  </si>
  <si>
    <t>KRWP0C15</t>
  </si>
  <si>
    <t>KRWC0C15</t>
  </si>
  <si>
    <t>KRWQ0C15</t>
  </si>
  <si>
    <t>KRWR0C15</t>
  </si>
  <si>
    <t>KRWD0C15</t>
  </si>
  <si>
    <t>3Mo X 20Yr</t>
  </si>
  <si>
    <t>KRWA0C20</t>
  </si>
  <si>
    <t>KRWK0C20</t>
  </si>
  <si>
    <t>KRWL0C20</t>
  </si>
  <si>
    <t>KRWB0C20</t>
  </si>
  <si>
    <t>KRWM0C20</t>
  </si>
  <si>
    <t>KRWN0C20</t>
  </si>
  <si>
    <t>KWSN0C20</t>
  </si>
  <si>
    <t>KRWO0C20</t>
  </si>
  <si>
    <t>KRWP0C20</t>
  </si>
  <si>
    <t>KRWC0C20</t>
  </si>
  <si>
    <t>KRWQ0C20</t>
  </si>
  <si>
    <t>KRWR0C20</t>
  </si>
  <si>
    <t>KRWD0C20</t>
  </si>
  <si>
    <t>6Mo X 1Yr</t>
  </si>
  <si>
    <t>KRWA0F01</t>
  </si>
  <si>
    <t>KRWK0F01</t>
  </si>
  <si>
    <t>KRWL0F01</t>
  </si>
  <si>
    <t>KRWB0F01</t>
  </si>
  <si>
    <t>KRWM0F01</t>
  </si>
  <si>
    <t>KRWN0F01</t>
  </si>
  <si>
    <t xml:space="preserve">KWSN0F1 </t>
  </si>
  <si>
    <t>KRWO0F01</t>
  </si>
  <si>
    <t>KRWP0F01</t>
  </si>
  <si>
    <t>KRWC0F01</t>
  </si>
  <si>
    <t>KRWQ0F01</t>
  </si>
  <si>
    <t>KRWR0F01</t>
  </si>
  <si>
    <t>KRWD0F01</t>
  </si>
  <si>
    <t>6Mo X 2Yr</t>
  </si>
  <si>
    <t>KRWA0F02</t>
  </si>
  <si>
    <t>KRWK0F02</t>
  </si>
  <si>
    <t>KRWL0F02</t>
  </si>
  <si>
    <t>KRWB0F02</t>
  </si>
  <si>
    <t>KRWM0F02</t>
  </si>
  <si>
    <t>KRWN0F02</t>
  </si>
  <si>
    <t xml:space="preserve">KWSN0F2 </t>
  </si>
  <si>
    <t>KRWO0F02</t>
  </si>
  <si>
    <t>KRWP0F02</t>
  </si>
  <si>
    <t>KRWC0F02</t>
  </si>
  <si>
    <t>KRWQ0F02</t>
  </si>
  <si>
    <t>KRWR0F02</t>
  </si>
  <si>
    <t>KRWD0F02</t>
  </si>
  <si>
    <t>6Mo X 3Yr</t>
  </si>
  <si>
    <t>KRWA0F03</t>
  </si>
  <si>
    <t>KRWK0F03</t>
  </si>
  <si>
    <t>KRWL0F03</t>
  </si>
  <si>
    <t>KRWB0F03</t>
  </si>
  <si>
    <t>KRWM0F03</t>
  </si>
  <si>
    <t>KRWN0F03</t>
  </si>
  <si>
    <t xml:space="preserve">KWSN0F3 </t>
  </si>
  <si>
    <t>KRWO0F03</t>
  </si>
  <si>
    <t>KRWP0F03</t>
  </si>
  <si>
    <t>KRWC0F03</t>
  </si>
  <si>
    <t>KRWQ0F03</t>
  </si>
  <si>
    <t>KRWR0F03</t>
  </si>
  <si>
    <t>KRWD0F03</t>
  </si>
  <si>
    <t>6Mo X 4Yr</t>
  </si>
  <si>
    <t>KRWA0F04</t>
  </si>
  <si>
    <t>KRWK0F04</t>
  </si>
  <si>
    <t>KRWL0F04</t>
  </si>
  <si>
    <t>KRWB0F04</t>
  </si>
  <si>
    <t>KRWM0F04</t>
  </si>
  <si>
    <t>KRWN0F04</t>
  </si>
  <si>
    <t xml:space="preserve">KWSN0F4 </t>
  </si>
  <si>
    <t>KRWO0F04</t>
  </si>
  <si>
    <t>KRWP0F04</t>
  </si>
  <si>
    <t>KRWC0F04</t>
  </si>
  <si>
    <t>KRWQ0F04</t>
  </si>
  <si>
    <t>KRWR0F04</t>
  </si>
  <si>
    <t>KRWD0F04</t>
  </si>
  <si>
    <t>6Mo X 5Yr</t>
  </si>
  <si>
    <t>KRWA0F05</t>
  </si>
  <si>
    <t>KRWK0F05</t>
  </si>
  <si>
    <t>KRWL0F05</t>
  </si>
  <si>
    <t>KRWB0F05</t>
  </si>
  <si>
    <t>KRWM0F05</t>
  </si>
  <si>
    <t>KRWN0F05</t>
  </si>
  <si>
    <t xml:space="preserve">KWSN0F5 </t>
  </si>
  <si>
    <t>KRWO0F05</t>
  </si>
  <si>
    <t>KRWP0F05</t>
  </si>
  <si>
    <t>KRWC0F05</t>
  </si>
  <si>
    <t>KRWQ0F05</t>
  </si>
  <si>
    <t>KRWR0F05</t>
  </si>
  <si>
    <t>KRWD0F05</t>
  </si>
  <si>
    <t>6Mo X 6Yr</t>
  </si>
  <si>
    <t>KRWA0F06</t>
  </si>
  <si>
    <t>KRWK0F06</t>
  </si>
  <si>
    <t>KRWL0F06</t>
  </si>
  <si>
    <t>KRWB0F06</t>
  </si>
  <si>
    <t>KRWM0F06</t>
  </si>
  <si>
    <t>KRWN0F06</t>
  </si>
  <si>
    <t xml:space="preserve">KWSN0F6 </t>
  </si>
  <si>
    <t>KRWO0F06</t>
  </si>
  <si>
    <t>KRWP0F06</t>
  </si>
  <si>
    <t>KRWC0F06</t>
  </si>
  <si>
    <t>KRWQ0F06</t>
  </si>
  <si>
    <t>KRWR0F06</t>
  </si>
  <si>
    <t>KRWD0F06</t>
  </si>
  <si>
    <t>6Mo X 7Yr</t>
  </si>
  <si>
    <t>KRWA0F07</t>
  </si>
  <si>
    <t>KRWK0F07</t>
  </si>
  <si>
    <t>KRWL0F07</t>
  </si>
  <si>
    <t>KRWB0F07</t>
  </si>
  <si>
    <t>KRWM0F07</t>
  </si>
  <si>
    <t>KRWN0F07</t>
  </si>
  <si>
    <t xml:space="preserve">KWSN0F7 </t>
  </si>
  <si>
    <t>KRWO0F07</t>
  </si>
  <si>
    <t>KRWP0F07</t>
  </si>
  <si>
    <t>KRWC0F07</t>
  </si>
  <si>
    <t>KRWQ0F07</t>
  </si>
  <si>
    <t>KRWR0F07</t>
  </si>
  <si>
    <t>KRWD0F07</t>
  </si>
  <si>
    <t>6Mo X 8Yr</t>
  </si>
  <si>
    <t>KRWA0F08</t>
  </si>
  <si>
    <t>KRWK0F08</t>
  </si>
  <si>
    <t>KRWL0F08</t>
  </si>
  <si>
    <t>KRWB0F08</t>
  </si>
  <si>
    <t>KRWM0F08</t>
  </si>
  <si>
    <t>KRWN0F08</t>
  </si>
  <si>
    <t xml:space="preserve">KWSN0F8 </t>
  </si>
  <si>
    <t>KRWO0F08</t>
  </si>
  <si>
    <t>KRWP0F08</t>
  </si>
  <si>
    <t>KRWC0F08</t>
  </si>
  <si>
    <t>KRWQ0F08</t>
  </si>
  <si>
    <t>KRWR0F08</t>
  </si>
  <si>
    <t>KRWD0F08</t>
  </si>
  <si>
    <t>6Mo X 9Yr</t>
  </si>
  <si>
    <t>KRWA0F09</t>
  </si>
  <si>
    <t>KRWK0F09</t>
  </si>
  <si>
    <t>KRWL0F09</t>
  </si>
  <si>
    <t>KRWB0F09</t>
  </si>
  <si>
    <t>KRWM0F09</t>
  </si>
  <si>
    <t>KRWN0F09</t>
  </si>
  <si>
    <t xml:space="preserve">KWSN0F9 </t>
  </si>
  <si>
    <t>KRWO0F09</t>
  </si>
  <si>
    <t>KRWP0F09</t>
  </si>
  <si>
    <t>KRWC0F09</t>
  </si>
  <si>
    <t>KRWQ0F09</t>
  </si>
  <si>
    <t>KRWR0F09</t>
  </si>
  <si>
    <t>KRWD0F09</t>
  </si>
  <si>
    <t>6Mo X 10Yr</t>
  </si>
  <si>
    <t>KRWA0F10</t>
  </si>
  <si>
    <t>KRWK0F10</t>
  </si>
  <si>
    <t>KRWL0F10</t>
  </si>
  <si>
    <t>KRWB0F10</t>
  </si>
  <si>
    <t>KRWM0F10</t>
  </si>
  <si>
    <t>KRWN0F10</t>
  </si>
  <si>
    <t>KWSN0F10</t>
  </si>
  <si>
    <t>KRWO0F10</t>
  </si>
  <si>
    <t>KRWP0F10</t>
  </si>
  <si>
    <t>KRWC0F10</t>
  </si>
  <si>
    <t>KRWQ0F10</t>
  </si>
  <si>
    <t>KRWR0F10</t>
  </si>
  <si>
    <t>KRWD0F10</t>
  </si>
  <si>
    <t>6Mo X 15Yr</t>
  </si>
  <si>
    <t>KRWA0F15</t>
  </si>
  <si>
    <t>KRWK0F15</t>
  </si>
  <si>
    <t>KRWL0F15</t>
  </si>
  <si>
    <t>KRWB0F15</t>
  </si>
  <si>
    <t>KRWM0F15</t>
  </si>
  <si>
    <t>KRWN0F15</t>
  </si>
  <si>
    <t>KWSN0F15</t>
  </si>
  <si>
    <t>KRWO0F15</t>
  </si>
  <si>
    <t>KRWP0F15</t>
  </si>
  <si>
    <t>KRWC0F15</t>
  </si>
  <si>
    <t>KRWQ0F15</t>
  </si>
  <si>
    <t>KRWR0F15</t>
  </si>
  <si>
    <t>KRWD0F15</t>
  </si>
  <si>
    <t>6Mo X 20Yr</t>
  </si>
  <si>
    <t>KRWA0F20</t>
  </si>
  <si>
    <t>KRWK0F20</t>
  </si>
  <si>
    <t>KRWL0F20</t>
  </si>
  <si>
    <t>KRWB0F20</t>
  </si>
  <si>
    <t>KRWM0F20</t>
  </si>
  <si>
    <t>KRWN0F20</t>
  </si>
  <si>
    <t>KWSN0F20</t>
  </si>
  <si>
    <t>KRWO0F20</t>
  </si>
  <si>
    <t>KRWP0F20</t>
  </si>
  <si>
    <t>KRWC0F20</t>
  </si>
  <si>
    <t>KRWQ0F20</t>
  </si>
  <si>
    <t>KRWR0F20</t>
  </si>
  <si>
    <t>KRWD0F20</t>
  </si>
  <si>
    <t>1Yr X 1Yr</t>
  </si>
  <si>
    <t>KRWA0101</t>
  </si>
  <si>
    <t>KRWK0101</t>
  </si>
  <si>
    <t>KRWL0101</t>
  </si>
  <si>
    <t>KRWB0101</t>
  </si>
  <si>
    <t>KRWM0101</t>
  </si>
  <si>
    <t>KRWN0101</t>
  </si>
  <si>
    <t xml:space="preserve">KWSN011 </t>
  </si>
  <si>
    <t>KRWO0101</t>
  </si>
  <si>
    <t>KRWP0101</t>
  </si>
  <si>
    <t>KRWC0101</t>
  </si>
  <si>
    <t>KRWQ0101</t>
  </si>
  <si>
    <t>KRWR0101</t>
  </si>
  <si>
    <t>KRWD0101</t>
  </si>
  <si>
    <t>1Yr X 2Yr</t>
  </si>
  <si>
    <t>KRWA0102</t>
  </si>
  <si>
    <t>KRWK0102</t>
  </si>
  <si>
    <t>KRWL0102</t>
  </si>
  <si>
    <t>KRWB0102</t>
  </si>
  <si>
    <t>KRWM0102</t>
  </si>
  <si>
    <t>KRWN0102</t>
  </si>
  <si>
    <t xml:space="preserve">KWSN012 </t>
  </si>
  <si>
    <t>KRWO0102</t>
  </si>
  <si>
    <t>KRWP0102</t>
  </si>
  <si>
    <t>KRWC0102</t>
  </si>
  <si>
    <t>KRWQ0102</t>
  </si>
  <si>
    <t>KRWR0102</t>
  </si>
  <si>
    <t>KRWD0102</t>
  </si>
  <si>
    <t>1Yr X 3Yr</t>
  </si>
  <si>
    <t>KRWA0103</t>
  </si>
  <si>
    <t>KRWK0103</t>
  </si>
  <si>
    <t>KRWL0103</t>
  </si>
  <si>
    <t>KRWB0103</t>
  </si>
  <si>
    <t>KRWM0103</t>
  </si>
  <si>
    <t>KRWN0103</t>
  </si>
  <si>
    <t xml:space="preserve">KWSN013 </t>
  </si>
  <si>
    <t>KRWO0103</t>
  </si>
  <si>
    <t>KRWP0103</t>
  </si>
  <si>
    <t>KRWC0103</t>
  </si>
  <si>
    <t>KRWQ0103</t>
  </si>
  <si>
    <t>KRWR0103</t>
  </si>
  <si>
    <t>KRWD0103</t>
  </si>
  <si>
    <t>1Yr X 4Yr</t>
  </si>
  <si>
    <t>KRWA0104</t>
  </si>
  <si>
    <t>KRWK0104</t>
  </si>
  <si>
    <t>KRWL0104</t>
  </si>
  <si>
    <t>KRWB0104</t>
  </si>
  <si>
    <t>KRWM0104</t>
  </si>
  <si>
    <t>KRWN0104</t>
  </si>
  <si>
    <t xml:space="preserve">KWSN014 </t>
  </si>
  <si>
    <t>KRWO0104</t>
  </si>
  <si>
    <t>KRWP0104</t>
  </si>
  <si>
    <t>KRWC0104</t>
  </si>
  <si>
    <t>KRWQ0104</t>
  </si>
  <si>
    <t>KRWR0104</t>
  </si>
  <si>
    <t>KRWD0104</t>
  </si>
  <si>
    <t>1Yr X 5Yr</t>
  </si>
  <si>
    <t>KRWA0105</t>
  </si>
  <si>
    <t>KRWK0105</t>
  </si>
  <si>
    <t>KRWL0105</t>
  </si>
  <si>
    <t>KRWB0105</t>
  </si>
  <si>
    <t>KRWM0105</t>
  </si>
  <si>
    <t>KRWN0105</t>
  </si>
  <si>
    <t xml:space="preserve">KWSN015 </t>
  </si>
  <si>
    <t>KRWO0105</t>
  </si>
  <si>
    <t>KRWP0105</t>
  </si>
  <si>
    <t>KRWC0105</t>
  </si>
  <si>
    <t>KRWQ0105</t>
  </si>
  <si>
    <t>KRWR0105</t>
  </si>
  <si>
    <t>KRWD0105</t>
  </si>
  <si>
    <t>1Yr X 6Yr</t>
  </si>
  <si>
    <t>KRWA0106</t>
  </si>
  <si>
    <t>KRWK0106</t>
  </si>
  <si>
    <t>KRWL0106</t>
  </si>
  <si>
    <t>KRWB0106</t>
  </si>
  <si>
    <t>KRWM0106</t>
  </si>
  <si>
    <t>KRWN0106</t>
  </si>
  <si>
    <t xml:space="preserve">KWSN016 </t>
  </si>
  <si>
    <t>KRWO0106</t>
  </si>
  <si>
    <t>KRWP0106</t>
  </si>
  <si>
    <t>KRWC0106</t>
  </si>
  <si>
    <t>KRWQ0106</t>
  </si>
  <si>
    <t>KRWR0106</t>
  </si>
  <si>
    <t>KRWD0106</t>
  </si>
  <si>
    <t>1Yr X 7Yr</t>
  </si>
  <si>
    <t>KRWA0107</t>
  </si>
  <si>
    <t>KRWK0107</t>
  </si>
  <si>
    <t>KRWL0107</t>
  </si>
  <si>
    <t>KRWB0107</t>
  </si>
  <si>
    <t>KRWM0107</t>
  </si>
  <si>
    <t>KRWN0107</t>
  </si>
  <si>
    <t xml:space="preserve">KWSN017 </t>
  </si>
  <si>
    <t>KRWO0107</t>
  </si>
  <si>
    <t>KRWP0107</t>
  </si>
  <si>
    <t>KRWC0107</t>
  </si>
  <si>
    <t>KRWQ0107</t>
  </si>
  <si>
    <t>KRWR0107</t>
  </si>
  <si>
    <t>KRWD0107</t>
  </si>
  <si>
    <t>1Yr X 8Yr</t>
  </si>
  <si>
    <t>KRWA0108</t>
  </si>
  <si>
    <t>KRWK0108</t>
  </si>
  <si>
    <t>KRWL0108</t>
  </si>
  <si>
    <t>KRWB0108</t>
  </si>
  <si>
    <t>KRWM0108</t>
  </si>
  <si>
    <t>KRWN0108</t>
  </si>
  <si>
    <t xml:space="preserve">KWSN018 </t>
  </si>
  <si>
    <t>KRWO0108</t>
  </si>
  <si>
    <t>KRWP0108</t>
  </si>
  <si>
    <t>KRWC0108</t>
  </si>
  <si>
    <t>KRWQ0108</t>
  </si>
  <si>
    <t>KRWR0108</t>
  </si>
  <si>
    <t>KRWD0108</t>
  </si>
  <si>
    <t>1Yr X 9Yr</t>
  </si>
  <si>
    <t>KRWA0109</t>
  </si>
  <si>
    <t>KRWK0109</t>
  </si>
  <si>
    <t>KRWL0109</t>
  </si>
  <si>
    <t>KRWB0109</t>
  </si>
  <si>
    <t>KRWM0109</t>
  </si>
  <si>
    <t>KRWN0109</t>
  </si>
  <si>
    <t xml:space="preserve">KWSN019 </t>
  </si>
  <si>
    <t>KRWO0109</t>
  </si>
  <si>
    <t>KRWP0109</t>
  </si>
  <si>
    <t>KRWC0109</t>
  </si>
  <si>
    <t>KRWQ0109</t>
  </si>
  <si>
    <t>KRWR0109</t>
  </si>
  <si>
    <t>KRWD0109</t>
  </si>
  <si>
    <t>1Yr X 10Yr</t>
  </si>
  <si>
    <t>KRWA0110</t>
  </si>
  <si>
    <t>KRWK0110</t>
  </si>
  <si>
    <t>KRWL0110</t>
  </si>
  <si>
    <t>KRWB0110</t>
  </si>
  <si>
    <t>KRWM0110</t>
  </si>
  <si>
    <t>KRWN0110</t>
  </si>
  <si>
    <t>KWSN0110</t>
  </si>
  <si>
    <t>KRWO0110</t>
  </si>
  <si>
    <t>KRWP0110</t>
  </si>
  <si>
    <t>KRWC0110</t>
  </si>
  <si>
    <t>KRWQ0110</t>
  </si>
  <si>
    <t>KRWR0110</t>
  </si>
  <si>
    <t>KRWD0110</t>
  </si>
  <si>
    <t>1Yr X 15Yr</t>
  </si>
  <si>
    <t>KRWA0115</t>
  </si>
  <si>
    <t>KRWK0115</t>
  </si>
  <si>
    <t>KRWL0115</t>
  </si>
  <si>
    <t>KRWB0115</t>
  </si>
  <si>
    <t>KRWM0115</t>
  </si>
  <si>
    <t>KRWN0115</t>
  </si>
  <si>
    <t>KWSN0115</t>
  </si>
  <si>
    <t>KRWO0115</t>
  </si>
  <si>
    <t>KRWP0115</t>
  </si>
  <si>
    <t>KRWC0115</t>
  </si>
  <si>
    <t>KRWQ0115</t>
  </si>
  <si>
    <t>KRWR0115</t>
  </si>
  <si>
    <t>KRWD0115</t>
  </si>
  <si>
    <t>1Yr X 20Yr</t>
  </si>
  <si>
    <t>KRWA0120</t>
  </si>
  <si>
    <t>KRWK0120</t>
  </si>
  <si>
    <t>KRWL0120</t>
  </si>
  <si>
    <t>KRWB0120</t>
  </si>
  <si>
    <t>KRWM0120</t>
  </si>
  <si>
    <t>KRWN0120</t>
  </si>
  <si>
    <t>KWSN0120</t>
  </si>
  <si>
    <t>KRWO0120</t>
  </si>
  <si>
    <t>KRWP0120</t>
  </si>
  <si>
    <t>KRWC0120</t>
  </si>
  <si>
    <t>KRWQ0120</t>
  </si>
  <si>
    <t>KRWR0120</t>
  </si>
  <si>
    <t>KRWD0120</t>
  </si>
  <si>
    <t>2Yr X 1Yr</t>
  </si>
  <si>
    <t>KRWA0201</t>
  </si>
  <si>
    <t>KRWK0201</t>
  </si>
  <si>
    <t>KRWL0201</t>
  </si>
  <si>
    <t>KRWB0201</t>
  </si>
  <si>
    <t>KRWM0201</t>
  </si>
  <si>
    <t>KRWN0201</t>
  </si>
  <si>
    <t xml:space="preserve">KWSN021 </t>
  </si>
  <si>
    <t>KRWO0201</t>
  </si>
  <si>
    <t>KRWP0201</t>
  </si>
  <si>
    <t>KRWC0201</t>
  </si>
  <si>
    <t>KRWQ0201</t>
  </si>
  <si>
    <t>KRWR0201</t>
  </si>
  <si>
    <t>KRWD0201</t>
  </si>
  <si>
    <t>2Yr X 2Yr</t>
  </si>
  <si>
    <t>KRWA0202</t>
  </si>
  <si>
    <t>KRWK0202</t>
  </si>
  <si>
    <t>KRWL0202</t>
  </si>
  <si>
    <t>KRWB0202</t>
  </si>
  <si>
    <t>KRWM0202</t>
  </si>
  <si>
    <t>KRWN0202</t>
  </si>
  <si>
    <t xml:space="preserve">KWSN022 </t>
  </si>
  <si>
    <t>KRWO0202</t>
  </si>
  <si>
    <t>KRWP0202</t>
  </si>
  <si>
    <t>KRWC0202</t>
  </si>
  <si>
    <t>KRWQ0202</t>
  </si>
  <si>
    <t>KRWR0202</t>
  </si>
  <si>
    <t>KRWD0202</t>
  </si>
  <si>
    <t>2Yr X 3Yr</t>
  </si>
  <si>
    <t>KRWA0203</t>
  </si>
  <si>
    <t>KRWK0203</t>
  </si>
  <si>
    <t>KRWL0203</t>
  </si>
  <si>
    <t>KRWB0203</t>
  </si>
  <si>
    <t>KRWM0203</t>
  </si>
  <si>
    <t>KRWN0203</t>
  </si>
  <si>
    <t xml:space="preserve">KWSN023 </t>
  </si>
  <si>
    <t>KRWO0203</t>
  </si>
  <si>
    <t>KRWP0203</t>
  </si>
  <si>
    <t>KRWC0203</t>
  </si>
  <si>
    <t>KRWQ0203</t>
  </si>
  <si>
    <t>KRWR0203</t>
  </si>
  <si>
    <t>KRWD0203</t>
  </si>
  <si>
    <t>2Yr X 4Yr</t>
  </si>
  <si>
    <t>KRWA0204</t>
  </si>
  <si>
    <t>KRWK0204</t>
  </si>
  <si>
    <t>KRWL0204</t>
  </si>
  <si>
    <t>KRWB0204</t>
  </si>
  <si>
    <t>KRWM0204</t>
  </si>
  <si>
    <t>KRWN0204</t>
  </si>
  <si>
    <t xml:space="preserve">KWSN024 </t>
  </si>
  <si>
    <t>KRWO0204</t>
  </si>
  <si>
    <t>KRWP0204</t>
  </si>
  <si>
    <t>KRWC0204</t>
  </si>
  <si>
    <t>KRWQ0204</t>
  </si>
  <si>
    <t>KRWR0204</t>
  </si>
  <si>
    <t>KRWD0204</t>
  </si>
  <si>
    <t>2Yr X 5Yr</t>
  </si>
  <si>
    <t>KRWA0205</t>
  </si>
  <si>
    <t>KRWK0205</t>
  </si>
  <si>
    <t>KRWL0205</t>
  </si>
  <si>
    <t>KRWB0205</t>
  </si>
  <si>
    <t>KRWM0205</t>
  </si>
  <si>
    <t>KRWN0205</t>
  </si>
  <si>
    <t xml:space="preserve">KWSN025 </t>
  </si>
  <si>
    <t>KRWO0205</t>
  </si>
  <si>
    <t>KRWP0205</t>
  </si>
  <si>
    <t>KRWC0205</t>
  </si>
  <si>
    <t>KRWQ0205</t>
  </si>
  <si>
    <t>KRWR0205</t>
  </si>
  <si>
    <t>KRWD0205</t>
  </si>
  <si>
    <t>2Yr X 6Yr</t>
  </si>
  <si>
    <t>KRWA0206</t>
  </si>
  <si>
    <t>KRWK0206</t>
  </si>
  <si>
    <t>KRWL0206</t>
  </si>
  <si>
    <t>KRWB0206</t>
  </si>
  <si>
    <t>KRWM0206</t>
  </si>
  <si>
    <t>KRWN0206</t>
  </si>
  <si>
    <t xml:space="preserve">KWSN026 </t>
  </si>
  <si>
    <t>KRWO0206</t>
  </si>
  <si>
    <t>KRWP0206</t>
  </si>
  <si>
    <t>KRWC0206</t>
  </si>
  <si>
    <t>KRWQ0206</t>
  </si>
  <si>
    <t>KRWR0206</t>
  </si>
  <si>
    <t>KRWD0206</t>
  </si>
  <si>
    <t>2Yr X 7Yr</t>
  </si>
  <si>
    <t>KRWA0207</t>
  </si>
  <si>
    <t>KRWK0207</t>
  </si>
  <si>
    <t>KRWL0207</t>
  </si>
  <si>
    <t>KRWB0207</t>
  </si>
  <si>
    <t>KRWM0207</t>
  </si>
  <si>
    <t>KRWN0207</t>
  </si>
  <si>
    <t xml:space="preserve">KWSN027 </t>
  </si>
  <si>
    <t>KRWO0207</t>
  </si>
  <si>
    <t>KRWP0207</t>
  </si>
  <si>
    <t>KRWC0207</t>
  </si>
  <si>
    <t>KRWQ0207</t>
  </si>
  <si>
    <t>KRWR0207</t>
  </si>
  <si>
    <t>KRWD0207</t>
  </si>
  <si>
    <t>2Yr X 8Yr</t>
  </si>
  <si>
    <t>KRWA0208</t>
  </si>
  <si>
    <t>KRWK0208</t>
  </si>
  <si>
    <t>KRWL0208</t>
  </si>
  <si>
    <t>KRWB0208</t>
  </si>
  <si>
    <t>KRWM0208</t>
  </si>
  <si>
    <t>KRWN0208</t>
  </si>
  <si>
    <t xml:space="preserve">KWSN028 </t>
  </si>
  <si>
    <t>KRWO0208</t>
  </si>
  <si>
    <t>KRWP0208</t>
  </si>
  <si>
    <t>KRWC0208</t>
  </si>
  <si>
    <t>KRWQ0208</t>
  </si>
  <si>
    <t>KRWR0208</t>
  </si>
  <si>
    <t>KRWD0208</t>
  </si>
  <si>
    <t>2Yr X 9Yr</t>
  </si>
  <si>
    <t>KRWA0209</t>
  </si>
  <si>
    <t>KRWK0209</t>
  </si>
  <si>
    <t>KRWL0209</t>
  </si>
  <si>
    <t>KRWB0209</t>
  </si>
  <si>
    <t>KRWM0209</t>
  </si>
  <si>
    <t>KRWN0209</t>
  </si>
  <si>
    <t xml:space="preserve">KWSN029 </t>
  </si>
  <si>
    <t>KRWO0209</t>
  </si>
  <si>
    <t>KRWP0209</t>
  </si>
  <si>
    <t>KRWC0209</t>
  </si>
  <si>
    <t>KRWQ0209</t>
  </si>
  <si>
    <t>KRWR0209</t>
  </si>
  <si>
    <t>KRWD0209</t>
  </si>
  <si>
    <t>2Yr X 10Yr</t>
  </si>
  <si>
    <t>KRWA0210</t>
  </si>
  <si>
    <t>KRWK0210</t>
  </si>
  <si>
    <t>KRWL0210</t>
  </si>
  <si>
    <t>KRWB0210</t>
  </si>
  <si>
    <t>KRWM0210</t>
  </si>
  <si>
    <t>KRWN0210</t>
  </si>
  <si>
    <t>KWSN0210</t>
  </si>
  <si>
    <t>KRWO0210</t>
  </si>
  <si>
    <t>KRWP0210</t>
  </si>
  <si>
    <t>KRWC0210</t>
  </si>
  <si>
    <t>KRWQ0210</t>
  </si>
  <si>
    <t>KRWR0210</t>
  </si>
  <si>
    <t>KRWD0210</t>
  </si>
  <si>
    <t>2Yr X 15Yr</t>
  </si>
  <si>
    <t>KRWA0215</t>
  </si>
  <si>
    <t>KRWK0215</t>
  </si>
  <si>
    <t>KRWL0215</t>
  </si>
  <si>
    <t>KRWB0215</t>
  </si>
  <si>
    <t>KRWM0215</t>
  </si>
  <si>
    <t>KRWN0215</t>
  </si>
  <si>
    <t>KWSN0215</t>
  </si>
  <si>
    <t>KRWO0215</t>
  </si>
  <si>
    <t>KRWP0215</t>
  </si>
  <si>
    <t>KRWC0215</t>
  </si>
  <si>
    <t>KRWQ0215</t>
  </si>
  <si>
    <t>KRWR0215</t>
  </si>
  <si>
    <t>KRWD0215</t>
  </si>
  <si>
    <t>2Yr X 20Yr</t>
  </si>
  <si>
    <t>KRWA0220</t>
  </si>
  <si>
    <t>KRWK0220</t>
  </si>
  <si>
    <t>KRWL0220</t>
  </si>
  <si>
    <t>KRWB0220</t>
  </si>
  <si>
    <t>KRWM0220</t>
  </si>
  <si>
    <t>KRWN0220</t>
  </si>
  <si>
    <t>KWSN0220</t>
  </si>
  <si>
    <t>KRWO0220</t>
  </si>
  <si>
    <t>KRWP0220</t>
  </si>
  <si>
    <t>KRWC0220</t>
  </si>
  <si>
    <t>KRWQ0220</t>
  </si>
  <si>
    <t>KRWR0220</t>
  </si>
  <si>
    <t>KRWD0220</t>
  </si>
  <si>
    <t>5Yr X 1Yr</t>
  </si>
  <si>
    <t>KRWA0501</t>
  </si>
  <si>
    <t>KRWK0501</t>
  </si>
  <si>
    <t>KRWL0501</t>
  </si>
  <si>
    <t>KRWB0501</t>
  </si>
  <si>
    <t>KRWM0501</t>
  </si>
  <si>
    <t>KRWN0501</t>
  </si>
  <si>
    <t xml:space="preserve">KWSN051 </t>
  </si>
  <si>
    <t>KRWO0501</t>
  </si>
  <si>
    <t>KRWP0501</t>
  </si>
  <si>
    <t>KRWC0501</t>
  </si>
  <si>
    <t>KRWQ0501</t>
  </si>
  <si>
    <t>KRWR0501</t>
  </si>
  <si>
    <t>KRWD0501</t>
  </si>
  <si>
    <t>5Yr X 2Yr</t>
  </si>
  <si>
    <t>KRWA0502</t>
  </si>
  <si>
    <t>KRWK0502</t>
  </si>
  <si>
    <t>KRWL0502</t>
  </si>
  <si>
    <t>KRWB0502</t>
  </si>
  <si>
    <t>KRWM0502</t>
  </si>
  <si>
    <t>KRWN0502</t>
  </si>
  <si>
    <t xml:space="preserve">KWSN052 </t>
  </si>
  <si>
    <t>KRWO0502</t>
  </si>
  <si>
    <t>KRWP0502</t>
  </si>
  <si>
    <t>KRWC0502</t>
  </si>
  <si>
    <t>KRWQ0502</t>
  </si>
  <si>
    <t>KRWR0502</t>
  </si>
  <si>
    <t>KRWD0502</t>
  </si>
  <si>
    <t>5Yr X 3Yr</t>
  </si>
  <si>
    <t>KRWA0503</t>
  </si>
  <si>
    <t>KRWK0503</t>
  </si>
  <si>
    <t>KRWL0503</t>
  </si>
  <si>
    <t>KRWB0503</t>
  </si>
  <si>
    <t>KRWM0503</t>
  </si>
  <si>
    <t>KRWN0503</t>
  </si>
  <si>
    <t xml:space="preserve">KWSN053 </t>
  </si>
  <si>
    <t>KRWO0503</t>
  </si>
  <si>
    <t>KRWP0503</t>
  </si>
  <si>
    <t>KRWC0503</t>
  </si>
  <si>
    <t>KRWQ0503</t>
  </si>
  <si>
    <t>KRWR0503</t>
  </si>
  <si>
    <t>KRWD0503</t>
  </si>
  <si>
    <t>5Yr X 4Yr</t>
  </si>
  <si>
    <t>KRWA0504</t>
  </si>
  <si>
    <t>KRWK0504</t>
  </si>
  <si>
    <t>KRWL0504</t>
  </si>
  <si>
    <t>KRWB0504</t>
  </si>
  <si>
    <t>KRWM0504</t>
  </si>
  <si>
    <t>KRWN0504</t>
  </si>
  <si>
    <t xml:space="preserve">KWSN054 </t>
  </si>
  <si>
    <t>KRWO0504</t>
  </si>
  <si>
    <t>KRWP0504</t>
  </si>
  <si>
    <t>KRWC0504</t>
  </si>
  <si>
    <t>KRWQ0504</t>
  </si>
  <si>
    <t>KRWR0504</t>
  </si>
  <si>
    <t>KRWD0504</t>
  </si>
  <si>
    <t>5Yr X 5Yr</t>
  </si>
  <si>
    <t>KRWA0505</t>
  </si>
  <si>
    <t>KRWK0505</t>
  </si>
  <si>
    <t>KRWL0505</t>
  </si>
  <si>
    <t>KRWB0505</t>
  </si>
  <si>
    <t>KRWM0505</t>
  </si>
  <si>
    <t>KRWN0505</t>
  </si>
  <si>
    <t xml:space="preserve">KWSN055 </t>
  </si>
  <si>
    <t>KRWO0505</t>
  </si>
  <si>
    <t>KRWP0505</t>
  </si>
  <si>
    <t>KRWC0505</t>
  </si>
  <si>
    <t>KRWQ0505</t>
  </si>
  <si>
    <t>KRWR0505</t>
  </si>
  <si>
    <t>KRWD0505</t>
  </si>
  <si>
    <t>5Yr X 6Yr</t>
  </si>
  <si>
    <t>KRWA0506</t>
  </si>
  <si>
    <t>KRWK0506</t>
  </si>
  <si>
    <t>KRWL0506</t>
  </si>
  <si>
    <t>KRWB0506</t>
  </si>
  <si>
    <t>KRWM0506</t>
  </si>
  <si>
    <t>KRWN0506</t>
  </si>
  <si>
    <t xml:space="preserve">KWSN056 </t>
  </si>
  <si>
    <t>KRWO0506</t>
  </si>
  <si>
    <t>KRWP0506</t>
  </si>
  <si>
    <t>KRWC0506</t>
  </si>
  <si>
    <t>KRWQ0506</t>
  </si>
  <si>
    <t>KRWR0506</t>
  </si>
  <si>
    <t>KRWD0506</t>
  </si>
  <si>
    <t>5Yr X 7Yr</t>
  </si>
  <si>
    <t>KRWA0507</t>
  </si>
  <si>
    <t>KRWK0507</t>
  </si>
  <si>
    <t>KRWL0507</t>
  </si>
  <si>
    <t>KRWB0507</t>
  </si>
  <si>
    <t>KRWM0507</t>
  </si>
  <si>
    <t>KRWN0507</t>
  </si>
  <si>
    <t xml:space="preserve">KWSN057 </t>
  </si>
  <si>
    <t>KRWO0507</t>
  </si>
  <si>
    <t>KRWP0507</t>
  </si>
  <si>
    <t>KRWC0507</t>
  </si>
  <si>
    <t>KRWQ0507</t>
  </si>
  <si>
    <t>KRWR0507</t>
  </si>
  <si>
    <t>KRWD0507</t>
  </si>
  <si>
    <t>5Yr X 8Yr</t>
  </si>
  <si>
    <t>KRWA0508</t>
  </si>
  <si>
    <t>KRWK0508</t>
  </si>
  <si>
    <t>KRWL0508</t>
  </si>
  <si>
    <t>KRWB0508</t>
  </si>
  <si>
    <t>KRWM0508</t>
  </si>
  <si>
    <t>KRWN0508</t>
  </si>
  <si>
    <t xml:space="preserve">KWSN058 </t>
  </si>
  <si>
    <t>KRWO0508</t>
  </si>
  <si>
    <t>KRWP0508</t>
  </si>
  <si>
    <t>KRWC0508</t>
  </si>
  <si>
    <t>KRWQ0508</t>
  </si>
  <si>
    <t>KRWR0508</t>
  </si>
  <si>
    <t>KRWD0508</t>
  </si>
  <si>
    <t>5Yr X 9Yr</t>
  </si>
  <si>
    <t>KRWA0509</t>
  </si>
  <si>
    <t>KRWK0509</t>
  </si>
  <si>
    <t>KRWL0509</t>
  </si>
  <si>
    <t>KRWB0509</t>
  </si>
  <si>
    <t>KRWM0509</t>
  </si>
  <si>
    <t>KRWN0509</t>
  </si>
  <si>
    <t xml:space="preserve">KWSN059 </t>
  </si>
  <si>
    <t>KRWO0509</t>
  </si>
  <si>
    <t>KRWP0509</t>
  </si>
  <si>
    <t>KRWC0509</t>
  </si>
  <si>
    <t>KRWQ0509</t>
  </si>
  <si>
    <t>KRWR0509</t>
  </si>
  <si>
    <t>KRWD0509</t>
  </si>
  <si>
    <t>5Yr X 10Yr</t>
  </si>
  <si>
    <t>KRWA0510</t>
  </si>
  <si>
    <t>KRWK0510</t>
  </si>
  <si>
    <t>KRWL0510</t>
  </si>
  <si>
    <t>KRWB0510</t>
  </si>
  <si>
    <t>KRWM0510</t>
  </si>
  <si>
    <t>KRWN0510</t>
  </si>
  <si>
    <t>KWSN0510</t>
  </si>
  <si>
    <t>KRWO0510</t>
  </si>
  <si>
    <t>KRWP0510</t>
  </si>
  <si>
    <t>KRWC0510</t>
  </si>
  <si>
    <t>KRWQ0510</t>
  </si>
  <si>
    <t>KRWR0510</t>
  </si>
  <si>
    <t>KRWD0510</t>
  </si>
  <si>
    <t>5Yr X 15Yr</t>
  </si>
  <si>
    <t>KRWA0515</t>
  </si>
  <si>
    <t>KRWK0515</t>
  </si>
  <si>
    <t>KRWL0515</t>
  </si>
  <si>
    <t>KRWB0515</t>
  </si>
  <si>
    <t>KRWM0515</t>
  </si>
  <si>
    <t>KRWN0515</t>
  </si>
  <si>
    <t>KWSN0515</t>
  </si>
  <si>
    <t>KRWO0515</t>
  </si>
  <si>
    <t>KRWP0515</t>
  </si>
  <si>
    <t>KRWC0515</t>
  </si>
  <si>
    <t>KRWQ0515</t>
  </si>
  <si>
    <t>KRWR0515</t>
  </si>
  <si>
    <t>KRWD0515</t>
  </si>
  <si>
    <t>5Yr X 20Yr</t>
  </si>
  <si>
    <t>KRWA0520</t>
  </si>
  <si>
    <t>KRWK0520</t>
  </si>
  <si>
    <t>KRWL0520</t>
  </si>
  <si>
    <t>KRWB0520</t>
  </si>
  <si>
    <t>KRWM0520</t>
  </si>
  <si>
    <t>KRWN0520</t>
  </si>
  <si>
    <t>KWSN0520</t>
  </si>
  <si>
    <t>KRWO0520</t>
  </si>
  <si>
    <t>KRWP0520</t>
  </si>
  <si>
    <t>KRWC0520</t>
  </si>
  <si>
    <t>KRWQ0520</t>
  </si>
  <si>
    <t>KRWR0520</t>
  </si>
  <si>
    <t>KRWD0520</t>
  </si>
  <si>
    <t>10Yr X 1Yr</t>
  </si>
  <si>
    <t>KRWA1001</t>
  </si>
  <si>
    <t>KRWK1001</t>
  </si>
  <si>
    <t>KRWL1001</t>
  </si>
  <si>
    <t>KRWB1001</t>
  </si>
  <si>
    <t>KRWM1001</t>
  </si>
  <si>
    <t>KRWN1001</t>
  </si>
  <si>
    <t xml:space="preserve">KWSN101 </t>
  </si>
  <si>
    <t>KRWO1001</t>
  </si>
  <si>
    <t>KRWP1001</t>
  </si>
  <si>
    <t>KRWC1001</t>
  </si>
  <si>
    <t>KRWQ1001</t>
  </si>
  <si>
    <t>KRWR1001</t>
  </si>
  <si>
    <t>KRWD1001</t>
  </si>
  <si>
    <t>10Yr X 2Yr</t>
  </si>
  <si>
    <t>KRWA1002</t>
  </si>
  <si>
    <t>KRWK1002</t>
  </si>
  <si>
    <t>KRWL1002</t>
  </si>
  <si>
    <t>KRWB1002</t>
  </si>
  <si>
    <t>KRWM1002</t>
  </si>
  <si>
    <t>KRWN1002</t>
  </si>
  <si>
    <t xml:space="preserve">KWSN102 </t>
  </si>
  <si>
    <t>KRWO1002</t>
  </si>
  <si>
    <t>KRWP1002</t>
  </si>
  <si>
    <t>KRWC1002</t>
  </si>
  <si>
    <t>KRWQ1002</t>
  </si>
  <si>
    <t>KRWR1002</t>
  </si>
  <si>
    <t>KRWD1002</t>
  </si>
  <si>
    <t>10Yr X 3Yr</t>
  </si>
  <si>
    <t>KRWA1003</t>
  </si>
  <si>
    <t>KRWK1003</t>
  </si>
  <si>
    <t>KRWL1003</t>
  </si>
  <si>
    <t>KRWB1003</t>
  </si>
  <si>
    <t>KRWM1003</t>
  </si>
  <si>
    <t>KRWN1003</t>
  </si>
  <si>
    <t xml:space="preserve">KWSN103 </t>
  </si>
  <si>
    <t>KRWO1003</t>
  </si>
  <si>
    <t>KRWP1003</t>
  </si>
  <si>
    <t>KRWC1003</t>
  </si>
  <si>
    <t>KRWQ1003</t>
  </si>
  <si>
    <t>KRWR1003</t>
  </si>
  <si>
    <t>KRWD1003</t>
  </si>
  <si>
    <t>10Yr X 4Yr</t>
  </si>
  <si>
    <t>KRWA1004</t>
  </si>
  <si>
    <t>KRWK1004</t>
  </si>
  <si>
    <t>KRWL1004</t>
  </si>
  <si>
    <t>KRWB1004</t>
  </si>
  <si>
    <t>KRWM1004</t>
  </si>
  <si>
    <t>KRWN1004</t>
  </si>
  <si>
    <t xml:space="preserve">KWSN104 </t>
  </si>
  <si>
    <t>KRWO1004</t>
  </si>
  <si>
    <t>KRWP1004</t>
  </si>
  <si>
    <t>KRWC1004</t>
  </si>
  <si>
    <t>KRWQ1004</t>
  </si>
  <si>
    <t>KRWR1004</t>
  </si>
  <si>
    <t>KRWD1004</t>
  </si>
  <si>
    <t>10Yr X 5Yr</t>
  </si>
  <si>
    <t>KRWA1005</t>
  </si>
  <si>
    <t>KRWK1005</t>
  </si>
  <si>
    <t>KRWL1005</t>
  </si>
  <si>
    <t>KRWB1005</t>
  </si>
  <si>
    <t>KRWM1005</t>
  </si>
  <si>
    <t>KRWN1005</t>
  </si>
  <si>
    <t xml:space="preserve">KWSN105 </t>
  </si>
  <si>
    <t>KRWO1005</t>
  </si>
  <si>
    <t>KRWP1005</t>
  </si>
  <si>
    <t>KRWC1005</t>
  </si>
  <si>
    <t>KRWQ1005</t>
  </si>
  <si>
    <t>KRWR1005</t>
  </si>
  <si>
    <t>KRWD1005</t>
  </si>
  <si>
    <t>10Yr X 6Yr</t>
  </si>
  <si>
    <t>KRWA1006</t>
  </si>
  <si>
    <t>KRWK1006</t>
  </si>
  <si>
    <t>KRWL1006</t>
  </si>
  <si>
    <t>KRWB1006</t>
  </si>
  <si>
    <t>KRWM1006</t>
  </si>
  <si>
    <t>KRWN1006</t>
  </si>
  <si>
    <t xml:space="preserve">KWSN106 </t>
  </si>
  <si>
    <t>KRWO1006</t>
  </si>
  <si>
    <t>KRWP1006</t>
  </si>
  <si>
    <t>KRWC1006</t>
  </si>
  <si>
    <t>KRWQ1006</t>
  </si>
  <si>
    <t>KRWR1006</t>
  </si>
  <si>
    <t>KRWD1006</t>
  </si>
  <si>
    <t>10Yr X 7Yr</t>
  </si>
  <si>
    <t>KRWA1007</t>
  </si>
  <si>
    <t>KRWK1007</t>
  </si>
  <si>
    <t>KRWL1007</t>
  </si>
  <si>
    <t>KRWB1007</t>
  </si>
  <si>
    <t>KRWM1007</t>
  </si>
  <si>
    <t>KRWN1007</t>
  </si>
  <si>
    <t xml:space="preserve">KWSN107 </t>
  </si>
  <si>
    <t>KRWO1007</t>
  </si>
  <si>
    <t>KRWP1007</t>
  </si>
  <si>
    <t>KRWC1007</t>
  </si>
  <si>
    <t>KRWQ1007</t>
  </si>
  <si>
    <t>KRWR1007</t>
  </si>
  <si>
    <t>KRWD1007</t>
  </si>
  <si>
    <t>10Yr X 8Yr</t>
  </si>
  <si>
    <t>KRWA1008</t>
  </si>
  <si>
    <t>KRWK1008</t>
  </si>
  <si>
    <t>KRWL1008</t>
  </si>
  <si>
    <t>KRWB1008</t>
  </si>
  <si>
    <t>KRWM1008</t>
  </si>
  <si>
    <t>KRWN1008</t>
  </si>
  <si>
    <t xml:space="preserve">KWSN108 </t>
  </si>
  <si>
    <t>KRWO1008</t>
  </si>
  <si>
    <t>KRWP1008</t>
  </si>
  <si>
    <t>KRWC1008</t>
  </si>
  <si>
    <t>KRWQ1008</t>
  </si>
  <si>
    <t>KRWR1008</t>
  </si>
  <si>
    <t>KRWD1008</t>
  </si>
  <si>
    <t>10Yr X 9Yr</t>
  </si>
  <si>
    <t>KRWA1009</t>
  </si>
  <si>
    <t>KRWK1009</t>
  </si>
  <si>
    <t>KRWL1009</t>
  </si>
  <si>
    <t>KRWB1009</t>
  </si>
  <si>
    <t>KRWM1009</t>
  </si>
  <si>
    <t>KRWN1009</t>
  </si>
  <si>
    <t xml:space="preserve">KWSN109 </t>
  </si>
  <si>
    <t>KRWO1009</t>
  </si>
  <si>
    <t>KRWP1009</t>
  </si>
  <si>
    <t>KRWC1009</t>
  </si>
  <si>
    <t>KRWQ1009</t>
  </si>
  <si>
    <t>KRWR1009</t>
  </si>
  <si>
    <t>KRWD1009</t>
  </si>
  <si>
    <t>10Yr X 10Yr</t>
  </si>
  <si>
    <t>KRWA1010</t>
  </si>
  <si>
    <t>KRWK1010</t>
  </si>
  <si>
    <t>KRWL1010</t>
  </si>
  <si>
    <t>KRWB1010</t>
  </si>
  <si>
    <t>KRWM1010</t>
  </si>
  <si>
    <t>KRWN1010</t>
  </si>
  <si>
    <t>KWSN1010</t>
  </si>
  <si>
    <t>KRWO1010</t>
  </si>
  <si>
    <t>KRWP1010</t>
  </si>
  <si>
    <t>KRWC1010</t>
  </si>
  <si>
    <t>KRWQ1010</t>
  </si>
  <si>
    <t>KRWR1010</t>
  </si>
  <si>
    <t>KRWD1010</t>
  </si>
  <si>
    <t>10Yr X 15Yr</t>
  </si>
  <si>
    <t>KRWA1015</t>
  </si>
  <si>
    <t>KRWK1015</t>
  </si>
  <si>
    <t>KRWL1015</t>
  </si>
  <si>
    <t>KRWB1015</t>
  </si>
  <si>
    <t>KRWM1015</t>
  </si>
  <si>
    <t>KRWN1015</t>
  </si>
  <si>
    <t>KWSN1015</t>
  </si>
  <si>
    <t>KRWO1015</t>
  </si>
  <si>
    <t>KRWP1015</t>
  </si>
  <si>
    <t>KRWC1015</t>
  </si>
  <si>
    <t>KRWQ1015</t>
  </si>
  <si>
    <t>KRWR1015</t>
  </si>
  <si>
    <t>KRWD1015</t>
  </si>
  <si>
    <t>10Yr X 20Yr</t>
  </si>
  <si>
    <t>KRWA1020</t>
  </si>
  <si>
    <t>KRWK1020</t>
  </si>
  <si>
    <t>KRWL1020</t>
  </si>
  <si>
    <t>KRWB1020</t>
  </si>
  <si>
    <t>KRWM1020</t>
  </si>
  <si>
    <t>KRWN1020</t>
  </si>
  <si>
    <t>KWSN1020</t>
  </si>
  <si>
    <t>KRWO1020</t>
  </si>
  <si>
    <t>KRWP1020</t>
  </si>
  <si>
    <t>KRWC1020</t>
  </si>
  <si>
    <t>KRWQ1020</t>
  </si>
  <si>
    <t>KRWR1020</t>
  </si>
  <si>
    <t>KRWD1020</t>
  </si>
  <si>
    <t>15Yr X 1Yr</t>
  </si>
  <si>
    <t>KRWA1501</t>
  </si>
  <si>
    <t>KRWK1501</t>
  </si>
  <si>
    <t>KRWL1501</t>
  </si>
  <si>
    <t>KRWB1501</t>
  </si>
  <si>
    <t>KRWM1501</t>
  </si>
  <si>
    <t>KRWN1501</t>
  </si>
  <si>
    <t xml:space="preserve">KWSN151 </t>
  </si>
  <si>
    <t>KRWO1501</t>
  </si>
  <si>
    <t>KRWP1501</t>
  </si>
  <si>
    <t>KRWC1501</t>
  </si>
  <si>
    <t>KRWQ1501</t>
  </si>
  <si>
    <t>KRWR1501</t>
  </si>
  <si>
    <t>KRWD1501</t>
  </si>
  <si>
    <t>15Yr X 2Yr</t>
  </si>
  <si>
    <t>KRWA1502</t>
  </si>
  <si>
    <t>KRWK1502</t>
  </si>
  <si>
    <t>KRWL1502</t>
  </si>
  <si>
    <t>KRWB1502</t>
  </si>
  <si>
    <t>KRWM1502</t>
  </si>
  <si>
    <t>KRWN1502</t>
  </si>
  <si>
    <t xml:space="preserve">KWSN152 </t>
  </si>
  <si>
    <t>KRWO1502</t>
  </si>
  <si>
    <t>KRWP1502</t>
  </si>
  <si>
    <t>KRWC1502</t>
  </si>
  <si>
    <t>KRWQ1502</t>
  </si>
  <si>
    <t>KRWR1502</t>
  </si>
  <si>
    <t>KRWD1502</t>
  </si>
  <si>
    <t>15Yr X 3Yr</t>
  </si>
  <si>
    <t>KRWA1503</t>
  </si>
  <si>
    <t>KRWK1503</t>
  </si>
  <si>
    <t>KRWL1503</t>
  </si>
  <si>
    <t>KRWB1503</t>
  </si>
  <si>
    <t>KRWM1503</t>
  </si>
  <si>
    <t>KRWN1503</t>
  </si>
  <si>
    <t xml:space="preserve">KWSN153 </t>
  </si>
  <si>
    <t>KRWO1503</t>
  </si>
  <si>
    <t>KRWP1503</t>
  </si>
  <si>
    <t>KRWC1503</t>
  </si>
  <si>
    <t>KRWQ1503</t>
  </si>
  <si>
    <t>KRWR1503</t>
  </si>
  <si>
    <t>KRWD1503</t>
  </si>
  <si>
    <t>15Yr X 4Yr</t>
  </si>
  <si>
    <t>KRWA1504</t>
  </si>
  <si>
    <t>KRWK1504</t>
  </si>
  <si>
    <t>KRWL1504</t>
  </si>
  <si>
    <t>KRWB1504</t>
  </si>
  <si>
    <t>KRWM1504</t>
  </si>
  <si>
    <t>KRWN1504</t>
  </si>
  <si>
    <t xml:space="preserve">KWSN154 </t>
  </si>
  <si>
    <t>KRWO1504</t>
  </si>
  <si>
    <t>KRWP1504</t>
  </si>
  <si>
    <t>KRWC1504</t>
  </si>
  <si>
    <t>KRWQ1504</t>
  </si>
  <si>
    <t>KRWR1504</t>
  </si>
  <si>
    <t>KRWD1504</t>
  </si>
  <si>
    <t>15Yr X 5Yr</t>
  </si>
  <si>
    <t>KRWA1505</t>
  </si>
  <si>
    <t>KRWK1505</t>
  </si>
  <si>
    <t>KRWL1505</t>
  </si>
  <si>
    <t>KRWB1505</t>
  </si>
  <si>
    <t>KRWM1505</t>
  </si>
  <si>
    <t>KRWN1505</t>
  </si>
  <si>
    <t xml:space="preserve">KWSN155 </t>
  </si>
  <si>
    <t>KRWO1505</t>
  </si>
  <si>
    <t>KRWP1505</t>
  </si>
  <si>
    <t>KRWC1505</t>
  </si>
  <si>
    <t>KRWQ1505</t>
  </si>
  <si>
    <t>KRWR1505</t>
  </si>
  <si>
    <t>KRWD1505</t>
  </si>
  <si>
    <t>15Yr X 6Yr</t>
  </si>
  <si>
    <t>KRWA1506</t>
  </si>
  <si>
    <t>KRWK1506</t>
  </si>
  <si>
    <t>KRWL1506</t>
  </si>
  <si>
    <t>KRWB1506</t>
  </si>
  <si>
    <t>KRWM1506</t>
  </si>
  <si>
    <t>KRWN1506</t>
  </si>
  <si>
    <t xml:space="preserve">KWSN156 </t>
  </si>
  <si>
    <t>KRWO1506</t>
  </si>
  <si>
    <t>KRWP1506</t>
  </si>
  <si>
    <t>KRWC1506</t>
  </si>
  <si>
    <t>KRWQ1506</t>
  </si>
  <si>
    <t>KRWR1506</t>
  </si>
  <si>
    <t>KRWD1506</t>
  </si>
  <si>
    <t>15Yr X 7Yr</t>
  </si>
  <si>
    <t>KRWA1507</t>
  </si>
  <si>
    <t>KRWK1507</t>
  </si>
  <si>
    <t>KRWL1507</t>
  </si>
  <si>
    <t>KRWB1507</t>
  </si>
  <si>
    <t>KRWM1507</t>
  </si>
  <si>
    <t>KRWN1507</t>
  </si>
  <si>
    <t xml:space="preserve">KWSN157 </t>
  </si>
  <si>
    <t>KRWO1507</t>
  </si>
  <si>
    <t>KRWP1507</t>
  </si>
  <si>
    <t>KRWC1507</t>
  </si>
  <si>
    <t>KRWQ1507</t>
  </si>
  <si>
    <t>KRWR1507</t>
  </si>
  <si>
    <t>KRWD1507</t>
  </si>
  <si>
    <t>15Yr X 8Yr</t>
  </si>
  <si>
    <t>KRWA1508</t>
  </si>
  <si>
    <t>KRWK1508</t>
  </si>
  <si>
    <t>KRWL1508</t>
  </si>
  <si>
    <t>KRWB1508</t>
  </si>
  <si>
    <t>KRWM1508</t>
  </si>
  <si>
    <t>KRWN1508</t>
  </si>
  <si>
    <t xml:space="preserve">KWSN158 </t>
  </si>
  <si>
    <t>KRWO1508</t>
  </si>
  <si>
    <t>KRWP1508</t>
  </si>
  <si>
    <t>KRWC1508</t>
  </si>
  <si>
    <t>KRWQ1508</t>
  </si>
  <si>
    <t>KRWR1508</t>
  </si>
  <si>
    <t>KRWD1508</t>
  </si>
  <si>
    <t>15Yr X 9Yr</t>
  </si>
  <si>
    <t>KRWA1509</t>
  </si>
  <si>
    <t>KRWK1509</t>
  </si>
  <si>
    <t>KRWL1509</t>
  </si>
  <si>
    <t>KRWB1509</t>
  </si>
  <si>
    <t>KRWM1509</t>
  </si>
  <si>
    <t>KRWN1509</t>
  </si>
  <si>
    <t xml:space="preserve">KWSN159 </t>
  </si>
  <si>
    <t>KRWO1509</t>
  </si>
  <si>
    <t>KRWP1509</t>
  </si>
  <si>
    <t>KRWC1509</t>
  </si>
  <si>
    <t>KRWQ1509</t>
  </si>
  <si>
    <t>KRWR1509</t>
  </si>
  <si>
    <t>KRWD1509</t>
  </si>
  <si>
    <t>15Yr X 10Yr</t>
  </si>
  <si>
    <t>KRWA1510</t>
  </si>
  <si>
    <t>KRWK1510</t>
  </si>
  <si>
    <t>KRWL1510</t>
  </si>
  <si>
    <t>KRWB1510</t>
  </si>
  <si>
    <t>KRWM1510</t>
  </si>
  <si>
    <t>KRWN1510</t>
  </si>
  <si>
    <t>KWSN1510</t>
  </si>
  <si>
    <t>KRWO1510</t>
  </si>
  <si>
    <t>KRWP1510</t>
  </si>
  <si>
    <t>KRWC1510</t>
  </si>
  <si>
    <t>KRWQ1510</t>
  </si>
  <si>
    <t>KRWR1510</t>
  </si>
  <si>
    <t>KRWD1510</t>
  </si>
  <si>
    <t>15Yr X 15Yr</t>
  </si>
  <si>
    <t>KRWA1515</t>
  </si>
  <si>
    <t>KRWK1515</t>
  </si>
  <si>
    <t>KRWL1515</t>
  </si>
  <si>
    <t>KRWB1515</t>
  </si>
  <si>
    <t>KRWM1515</t>
  </si>
  <si>
    <t>KRWN1515</t>
  </si>
  <si>
    <t>KWSN1515</t>
  </si>
  <si>
    <t>KRWO1515</t>
  </si>
  <si>
    <t>KRWP1515</t>
  </si>
  <si>
    <t>KRWC1515</t>
  </si>
  <si>
    <t>KRWQ1515</t>
  </si>
  <si>
    <t>KRWR1515</t>
  </si>
  <si>
    <t>KRWD1515</t>
  </si>
  <si>
    <t>15Yr X 20Yr</t>
  </si>
  <si>
    <t>KRWA1520</t>
  </si>
  <si>
    <t>KRWK1520</t>
  </si>
  <si>
    <t>KRWL1520</t>
  </si>
  <si>
    <t>KRWB1520</t>
  </si>
  <si>
    <t>KRWM1520</t>
  </si>
  <si>
    <t>KRWN1520</t>
  </si>
  <si>
    <t>KWSN1520</t>
  </si>
  <si>
    <t>KRWO1520</t>
  </si>
  <si>
    <t>KRWP1520</t>
  </si>
  <si>
    <t>KRWC1520</t>
  </si>
  <si>
    <t>KRWQ1520</t>
  </si>
  <si>
    <t>KRWR1520</t>
  </si>
  <si>
    <t>KRWD1520</t>
  </si>
  <si>
    <t>20Yr X 1Yr</t>
  </si>
  <si>
    <t>KRWA2001</t>
  </si>
  <si>
    <t>KRWK2001</t>
  </si>
  <si>
    <t>KRWL2001</t>
  </si>
  <si>
    <t>KRWB2001</t>
  </si>
  <si>
    <t>KRWM2001</t>
  </si>
  <si>
    <t>KRWN2001</t>
  </si>
  <si>
    <t xml:space="preserve">KWSN201 </t>
  </si>
  <si>
    <t>KRWO2001</t>
  </si>
  <si>
    <t>KRWP2001</t>
  </si>
  <si>
    <t>KRWC2001</t>
  </si>
  <si>
    <t>KRWQ2001</t>
  </si>
  <si>
    <t>KRWR2001</t>
  </si>
  <si>
    <t>KRWD2001</t>
  </si>
  <si>
    <t>20Yr X 2Yr</t>
  </si>
  <si>
    <t>KRWA2002</t>
  </si>
  <si>
    <t>KRWK2002</t>
  </si>
  <si>
    <t>KRWL2002</t>
  </si>
  <si>
    <t>KRWB2002</t>
  </si>
  <si>
    <t>KRWM2002</t>
  </si>
  <si>
    <t>KRWN2002</t>
  </si>
  <si>
    <t xml:space="preserve">KWSN202 </t>
  </si>
  <si>
    <t>KRWO2002</t>
  </si>
  <si>
    <t>KRWP2002</t>
  </si>
  <si>
    <t>KRWC2002</t>
  </si>
  <si>
    <t>KRWQ2002</t>
  </si>
  <si>
    <t>KRWR2002</t>
  </si>
  <si>
    <t>KRWD2002</t>
  </si>
  <si>
    <t>20Yr X 3Yr</t>
  </si>
  <si>
    <t>KRWA2003</t>
  </si>
  <si>
    <t>KRWK2003</t>
  </si>
  <si>
    <t>KRWL2003</t>
  </si>
  <si>
    <t>KRWB2003</t>
  </si>
  <si>
    <t>KRWM2003</t>
  </si>
  <si>
    <t>KRWN2003</t>
  </si>
  <si>
    <t xml:space="preserve">KWSN203 </t>
  </si>
  <si>
    <t>KRWO2003</t>
  </si>
  <si>
    <t>KRWP2003</t>
  </si>
  <si>
    <t>KRWC2003</t>
  </si>
  <si>
    <t>KRWQ2003</t>
  </si>
  <si>
    <t>KRWR2003</t>
  </si>
  <si>
    <t>KRWD2003</t>
  </si>
  <si>
    <t>20Yr X 4Yr</t>
  </si>
  <si>
    <t>KRWA2004</t>
  </si>
  <si>
    <t>KRWK2004</t>
  </si>
  <si>
    <t>KRWL2004</t>
  </si>
  <si>
    <t>KRWB2004</t>
  </si>
  <si>
    <t>KRWM2004</t>
  </si>
  <si>
    <t>KRWN2004</t>
  </si>
  <si>
    <t xml:space="preserve">KWSN204 </t>
  </si>
  <si>
    <t>KRWO2004</t>
  </si>
  <si>
    <t>KRWP2004</t>
  </si>
  <si>
    <t>KRWC2004</t>
  </si>
  <si>
    <t>KRWQ2004</t>
  </si>
  <si>
    <t>KRWR2004</t>
  </si>
  <si>
    <t>KRWD2004</t>
  </si>
  <si>
    <t>20Yr X 5Yr</t>
  </si>
  <si>
    <t>KRWA2005</t>
  </si>
  <si>
    <t>KRWK2005</t>
  </si>
  <si>
    <t>KRWL2005</t>
  </si>
  <si>
    <t>KRWB2005</t>
  </si>
  <si>
    <t>KRWM2005</t>
  </si>
  <si>
    <t>KRWN2005</t>
  </si>
  <si>
    <t xml:space="preserve">KWSN205 </t>
  </si>
  <si>
    <t>KRWO2005</t>
  </si>
  <si>
    <t>KRWP2005</t>
  </si>
  <si>
    <t>KRWC2005</t>
  </si>
  <si>
    <t>KRWQ2005</t>
  </si>
  <si>
    <t>KRWR2005</t>
  </si>
  <si>
    <t>KRWD2005</t>
  </si>
  <si>
    <t>20Yr X 6Yr</t>
  </si>
  <si>
    <t>KRWA2006</t>
  </si>
  <si>
    <t>KRWK2006</t>
  </si>
  <si>
    <t>KRWL2006</t>
  </si>
  <si>
    <t>KRWB2006</t>
  </si>
  <si>
    <t>KRWM2006</t>
  </si>
  <si>
    <t>KRWN2006</t>
  </si>
  <si>
    <t xml:space="preserve">KWSN206 </t>
  </si>
  <si>
    <t>KRWO2006</t>
  </si>
  <si>
    <t>KRWP2006</t>
  </si>
  <si>
    <t>KRWC2006</t>
  </si>
  <si>
    <t>KRWQ2006</t>
  </si>
  <si>
    <t>KRWR2006</t>
  </si>
  <si>
    <t>KRWD2006</t>
  </si>
  <si>
    <t>20Yr X 7Yr</t>
  </si>
  <si>
    <t>KRWA2007</t>
  </si>
  <si>
    <t>KRWK2007</t>
  </si>
  <si>
    <t>KRWL2007</t>
  </si>
  <si>
    <t>KRWB2007</t>
  </si>
  <si>
    <t>KRWM2007</t>
  </si>
  <si>
    <t>KRWN2007</t>
  </si>
  <si>
    <t xml:space="preserve">KWSN207 </t>
  </si>
  <si>
    <t>KRWO2007</t>
  </si>
  <si>
    <t>KRWP2007</t>
  </si>
  <si>
    <t>KRWC2007</t>
  </si>
  <si>
    <t>KRWQ2007</t>
  </si>
  <si>
    <t>KRWR2007</t>
  </si>
  <si>
    <t>KRWD2007</t>
  </si>
  <si>
    <t>20Yr X 8Yr</t>
  </si>
  <si>
    <t>KRWA2008</t>
  </si>
  <si>
    <t>KRWK2008</t>
  </si>
  <si>
    <t>KRWL2008</t>
  </si>
  <si>
    <t>KRWB2008</t>
  </si>
  <si>
    <t>KRWM2008</t>
  </si>
  <si>
    <t>KRWN2008</t>
  </si>
  <si>
    <t xml:space="preserve">KWSN208 </t>
  </si>
  <si>
    <t>KRWO2008</t>
  </si>
  <si>
    <t>KRWP2008</t>
  </si>
  <si>
    <t>KRWC2008</t>
  </si>
  <si>
    <t>KRWQ2008</t>
  </si>
  <si>
    <t>KRWR2008</t>
  </si>
  <si>
    <t>KRWD2008</t>
  </si>
  <si>
    <t>20Yr X 9Yr</t>
  </si>
  <si>
    <t>KRWA2009</t>
  </si>
  <si>
    <t>KRWK2009</t>
  </si>
  <si>
    <t>KRWL2009</t>
  </si>
  <si>
    <t>KRWB2009</t>
  </si>
  <si>
    <t>KRWM2009</t>
  </si>
  <si>
    <t>KRWN2009</t>
  </si>
  <si>
    <t xml:space="preserve">KWSN209 </t>
  </si>
  <si>
    <t>KRWO2009</t>
  </si>
  <si>
    <t>KRWP2009</t>
  </si>
  <si>
    <t>KRWC2009</t>
  </si>
  <si>
    <t>KRWQ2009</t>
  </si>
  <si>
    <t>KRWR2009</t>
  </si>
  <si>
    <t>KRWD2009</t>
  </si>
  <si>
    <t>20Yr X 10Yr</t>
  </si>
  <si>
    <t>KRWA2010</t>
  </si>
  <si>
    <t>KRWK2010</t>
  </si>
  <si>
    <t>KRWL2010</t>
  </si>
  <si>
    <t>KRWB2010</t>
  </si>
  <si>
    <t>KRWM2010</t>
  </si>
  <si>
    <t>KRWN2010</t>
  </si>
  <si>
    <t>KWSN2010</t>
  </si>
  <si>
    <t>KRWO2010</t>
  </si>
  <si>
    <t>KRWP2010</t>
  </si>
  <si>
    <t>KRWC2010</t>
  </si>
  <si>
    <t>KRWQ2010</t>
  </si>
  <si>
    <t>KRWR2010</t>
  </si>
  <si>
    <t>KRWD2010</t>
  </si>
  <si>
    <t>20Yr X 15Yr</t>
  </si>
  <si>
    <t>KRWA2015</t>
  </si>
  <si>
    <t>KRWK2015</t>
  </si>
  <si>
    <t>KRWL2015</t>
  </si>
  <si>
    <t>KRWB2015</t>
  </si>
  <si>
    <t>KRWM2015</t>
  </si>
  <si>
    <t>KRWN2015</t>
  </si>
  <si>
    <t>KWSN2015</t>
  </si>
  <si>
    <t>KRWO2015</t>
  </si>
  <si>
    <t>KRWP2015</t>
  </si>
  <si>
    <t>KRWC2015</t>
  </si>
  <si>
    <t>KRWQ2015</t>
  </si>
  <si>
    <t>KRWR2015</t>
  </si>
  <si>
    <t>KRWD2015</t>
  </si>
  <si>
    <t>20Yr X 20Yr</t>
  </si>
  <si>
    <t>KRWA2020</t>
  </si>
  <si>
    <t>KRWK2020</t>
  </si>
  <si>
    <t>KRWL2020</t>
  </si>
  <si>
    <t>KRWB2020</t>
  </si>
  <si>
    <t>KRWM2020</t>
  </si>
  <si>
    <t>KRWN2020</t>
  </si>
  <si>
    <t>KWSN2020</t>
  </si>
  <si>
    <t>KRWO2020</t>
  </si>
  <si>
    <t>KRWP2020</t>
  </si>
  <si>
    <t>KRWC2020</t>
  </si>
  <si>
    <t>KRWQ2020</t>
  </si>
  <si>
    <t>KRWR2020</t>
  </si>
  <si>
    <t>KRWD2020</t>
  </si>
  <si>
    <t>KOSPI2 10Y 90 VOL BVOL Index</t>
  </si>
  <si>
    <t>KOSPI2 DEC21 80 VOL BVOL Index</t>
  </si>
  <si>
    <t>KOSPI2 DEC21 90 VOL BVOL Index</t>
  </si>
  <si>
    <t>KOSPI2 DEC21 95 VOL BVOL Index</t>
  </si>
  <si>
    <t>KOSPI2 DEC21 97.5 VOL BVOL Index</t>
  </si>
  <si>
    <t>KOSPI2 DEC21 100C VOL BVOL Index</t>
  </si>
  <si>
    <t>KOSPI2 DEC21 102.5 VOL BVOL Index</t>
  </si>
  <si>
    <t>KOSPI2 DEC21 105 VOL BVOL Index</t>
  </si>
  <si>
    <t>KOSPI2 DEC21 110 VOL BVOL Index</t>
  </si>
  <si>
    <t>KOSPI2 DEC21 120 VOL BVOL Index</t>
  </si>
  <si>
    <t>KOSPI2 JAN22 80 VOL BVOL Index</t>
  </si>
  <si>
    <t>KOSPI2 JAN22 90 VOL BVOL Index</t>
  </si>
  <si>
    <t>KOSPI2 JAN22 95 VOL BVOL Index</t>
  </si>
  <si>
    <t>KOSPI2 JAN22 97.5 VOL BVOL Index</t>
  </si>
  <si>
    <t>KOSPI2 JAN22 100C VOL BVOL Index</t>
  </si>
  <si>
    <t>KOSPI2 JAN22 102.5 VOL BVOL Index</t>
  </si>
  <si>
    <t>KOSPI2 JAN22 105 VOL BVOL Index</t>
  </si>
  <si>
    <t>KOSPI2 JAN22 110 VOL BVOL Index</t>
  </si>
  <si>
    <t>KOSPI2 JAN22 120 VOL BVOL Index</t>
  </si>
  <si>
    <t>KOSPI2 FEB22 80 VOL BVOL Index</t>
  </si>
  <si>
    <t>KOSPI2 FEB22 90 VOL BVOL Index</t>
  </si>
  <si>
    <t>KOSPI2 FEB22 95 VOL BVOL Index</t>
  </si>
  <si>
    <t>KOSPI2 FEB22 97.5 VOL BVOL Index</t>
  </si>
  <si>
    <t>KOSPI2 FEB22 100C VOL BVOL Index</t>
  </si>
  <si>
    <t>KOSPI2 FEB22 102.5 VOL BVOL Index</t>
  </si>
  <si>
    <t>KOSPI2 FEB22 105 VOL BVOL Index</t>
  </si>
  <si>
    <t>KOSPI2 FEB22 110 VOL BVOL Index</t>
  </si>
  <si>
    <t>KOSPI2 FEB22 120 VOL BVOL Index</t>
  </si>
  <si>
    <t>KOSPI2 MAR22 80 VOL BVOL Index</t>
  </si>
  <si>
    <t>KOSPI2 MAR22 90 VOL BVOL Index</t>
  </si>
  <si>
    <t>KOSPI2 MAR22 95 VOL BVOL Index</t>
  </si>
  <si>
    <t>KOSPI2 MAR22 97.5 VOL BVOL Index</t>
  </si>
  <si>
    <t>KOSPI2 MAR22 100C VOL BVOL Index</t>
  </si>
  <si>
    <t>KOSPI2 MAR22 102.5 VOL BVOL Index</t>
  </si>
  <si>
    <t>KOSPI2 MAR22 105 VOL BVOL Index</t>
  </si>
  <si>
    <t>KOSPI2 MAR22 110 VOL BVOL Index</t>
  </si>
  <si>
    <t>KOSPI2 MAR22 120 VOL BVOL Index</t>
  </si>
  <si>
    <t>KOSPI2 JUN22 80 VOL BVOL Index</t>
  </si>
  <si>
    <t>KOSPI2 JUN22 90 VOL BVOL Index</t>
  </si>
  <si>
    <t>KOSPI2 JUN22 95 VOL BVOL Index</t>
  </si>
  <si>
    <t>KOSPI2 JUN22 97.5 VOL BVOL Index</t>
  </si>
  <si>
    <t>KOSPI2 JUN22 100C VOL BVOL Index</t>
  </si>
  <si>
    <t>KOSPI2 JUN22 102.5 VOL BVOL Index</t>
  </si>
  <si>
    <t>KOSPI2 JUN22 105 VOL BVOL Index</t>
  </si>
  <si>
    <t>KOSPI2 JUN22 110 VOL BVOL Index</t>
  </si>
  <si>
    <t>KOSPI2 JUN22 120 VOL BVOL Index</t>
  </si>
  <si>
    <t>KOSPI2 SEP22 80 VOL BVOL Index</t>
  </si>
  <si>
    <t>KOSPI2 SEP22 90 VOL BVOL Index</t>
  </si>
  <si>
    <t>KOSPI2 SEP22 95 VOL BVOL Index</t>
  </si>
  <si>
    <t>KOSPI2 SEP22 97.5 VOL BVOL Index</t>
  </si>
  <si>
    <t>KOSPI2 SEP22 100C VOL BVOL Index</t>
  </si>
  <si>
    <t>KOSPI2 SEP22 102.5 VOL BVOL Index</t>
  </si>
  <si>
    <t>KOSPI2 SEP22 105 VOL BVOL Index</t>
  </si>
  <si>
    <t>KOSPI2 SEP22 110 VOL BVOL Index</t>
  </si>
  <si>
    <t>KOSPI2 SEP22 120 VOL BVOL Index</t>
  </si>
  <si>
    <t>KOSPI2 DEC22 80 VOL BVOL Index</t>
  </si>
  <si>
    <t>KOSPI2 DEC22 90 VOL BVOL Index</t>
  </si>
  <si>
    <t>KOSPI2 DEC22 95 VOL BVOL Index</t>
  </si>
  <si>
    <t>KOSPI2 DEC22 97.5 VOL BVOL Index</t>
  </si>
  <si>
    <t>KOSPI2 DEC22 100C VOL BVOL Index</t>
  </si>
  <si>
    <t>KOSPI2 DEC22 102.5 VOL BVOL Index</t>
  </si>
  <si>
    <t>KOSPI2 DEC22 105 VOL BVOL Index</t>
  </si>
  <si>
    <t>KOSPI2 DEC22 110 VOL BVOL Index</t>
  </si>
  <si>
    <t>KOSPI2 DEC22 120 VOL BVOL Index</t>
  </si>
  <si>
    <t>KOSPI2 JUN23 80 VOL BVOL Index</t>
  </si>
  <si>
    <t>KOSPI2 JUN23 90 VOL BVOL Index</t>
  </si>
  <si>
    <t>KOSPI2 JUN23 95 VOL BVOL Index</t>
  </si>
  <si>
    <t>KOSPI2 JUN23 97.5 VOL BVOL Index</t>
  </si>
  <si>
    <t>KOSPI2 JUN23 100C VOL BVOL Index</t>
  </si>
  <si>
    <t>KOSPI2 JUN23 102.5 VOL BVOL Index</t>
  </si>
  <si>
    <t>KOSPI2 JUN23 105 VOL BVOL Index</t>
  </si>
  <si>
    <t>KOSPI2 JUN23 110 VOL BVOL Index</t>
  </si>
  <si>
    <t>KOSPI2 JUN23 120 VOL BVOL Index</t>
  </si>
  <si>
    <t>KOSPI2 DEC23 80 VOL BVOL Index</t>
  </si>
  <si>
    <t>KOSPI2 DEC23 90 VOL BVOL Index</t>
  </si>
  <si>
    <t>KOSPI2 DEC23 95 VOL BVOL Index</t>
  </si>
  <si>
    <t>KOSPI2 DEC23 97.5 VOL BVOL Index</t>
  </si>
  <si>
    <t>KOSPI2 DEC23 100C VOL BVOL Index</t>
  </si>
  <si>
    <t>KOSPI2 DEC23 102.5 VOL BVOL Index</t>
  </si>
  <si>
    <t>KOSPI2 DEC23 105 VOL BVOL Index</t>
  </si>
  <si>
    <t>KOSPI2 DEC23 110 VOL BVOL Index</t>
  </si>
  <si>
    <t>KOSPI2 DEC23 120 VOL BVOL Index</t>
  </si>
  <si>
    <t>PX_LAST</t>
    <phoneticPr fontId="2" type="noConversion"/>
  </si>
  <si>
    <t>KWSN0C1  BBIR Curncy</t>
    <phoneticPr fontId="2" type="noConversion"/>
  </si>
  <si>
    <t>KWSN024  BBIR Curncy</t>
    <phoneticPr fontId="2" type="noConversion"/>
  </si>
  <si>
    <t>KRWA0A01</t>
    <phoneticPr fontId="2" type="noConversion"/>
  </si>
  <si>
    <t>Expiration</t>
  </si>
  <si>
    <t>Diff</t>
    <phoneticPr fontId="2" type="noConversion"/>
  </si>
  <si>
    <t>-</t>
    <phoneticPr fontId="2" type="noConversion"/>
  </si>
  <si>
    <t>Black Volatility</t>
    <phoneticPr fontId="2" type="noConversion"/>
  </si>
  <si>
    <t>KOSPI2 APR22 80 VOL BVOL Index</t>
  </si>
  <si>
    <t>KOSPI2 APR22 90 VOL BVOL Index</t>
  </si>
  <si>
    <t>KOSPI2 APR22 95 VOL BVOL Index</t>
  </si>
  <si>
    <t>KOSPI2 APR22 97.5 VOL BVOL Index</t>
  </si>
  <si>
    <t>KOSPI2 APR22 100C VOL BVOL Index</t>
  </si>
  <si>
    <t>KOSPI2 APR22 102.5 VOL BVOL Index</t>
  </si>
  <si>
    <t>KOSPI2 APR22 105 VOL BVOL Index</t>
  </si>
  <si>
    <t>KOSPI2 APR22 110 VOL BVOL Index</t>
  </si>
  <si>
    <t>KOSPI2 APR22 120 VOL BVOL Index</t>
  </si>
  <si>
    <t>KOSPI2 MAY22 80 VOL BVOL Index</t>
  </si>
  <si>
    <t>KOSPI2 MAY22 90 VOL BVOL Index</t>
  </si>
  <si>
    <t>KOSPI2 MAY22 95 VOL BVOL Index</t>
  </si>
  <si>
    <t>KOSPI2 MAY22 97.5 VOL BVOL Index</t>
  </si>
  <si>
    <t>KOSPI2 MAY22 100C VOL BVOL Index</t>
  </si>
  <si>
    <t>KOSPI2 MAY22 102.5 VOL BVOL Index</t>
  </si>
  <si>
    <t>KOSPI2 MAY22 105 VOL BVOL Index</t>
  </si>
  <si>
    <t>KOSPI2 MAY22 110 VOL BVOL Index</t>
  </si>
  <si>
    <t>KOSPI2 MAY22 120 VOL BVOL Index</t>
  </si>
  <si>
    <t xml:space="preserve">KWCIU0D </t>
  </si>
  <si>
    <t xml:space="preserve">KWCIK0D </t>
  </si>
  <si>
    <t xml:space="preserve">KWCIF0D </t>
  </si>
  <si>
    <t xml:space="preserve">KWCIA0D </t>
  </si>
  <si>
    <t xml:space="preserve">KWCI50D </t>
  </si>
  <si>
    <t xml:space="preserve">KWNS01  </t>
  </si>
  <si>
    <t xml:space="preserve">KWC050D </t>
  </si>
  <si>
    <t xml:space="preserve">KWC0A0D </t>
  </si>
  <si>
    <t xml:space="preserve">KWC0F0D </t>
  </si>
  <si>
    <t xml:space="preserve">KWC0K0D </t>
  </si>
  <si>
    <t xml:space="preserve">KWC0U0D </t>
  </si>
  <si>
    <t xml:space="preserve">KWC140D </t>
  </si>
  <si>
    <t xml:space="preserve">KWC1E0D </t>
  </si>
  <si>
    <t xml:space="preserve">KWC1O0D </t>
  </si>
  <si>
    <t xml:space="preserve">KWC1Y0D </t>
  </si>
  <si>
    <t xml:space="preserve">KWC280D </t>
  </si>
  <si>
    <t xml:space="preserve">KWC2I0D </t>
  </si>
  <si>
    <t xml:space="preserve">KWC2S0D </t>
  </si>
  <si>
    <t xml:space="preserve">KWC320D </t>
  </si>
  <si>
    <t xml:space="preserve">KWC3C0D </t>
  </si>
  <si>
    <t xml:space="preserve">KWC3M0D </t>
  </si>
  <si>
    <t xml:space="preserve">KWC3W0D </t>
  </si>
  <si>
    <t xml:space="preserve">KWC460D </t>
  </si>
  <si>
    <t xml:space="preserve">KWC4G0D </t>
  </si>
  <si>
    <t xml:space="preserve">KWC4Q0D </t>
  </si>
  <si>
    <t xml:space="preserve">KWC500D </t>
  </si>
  <si>
    <t xml:space="preserve">KWC5A0D </t>
  </si>
  <si>
    <t xml:space="preserve">KWC5K0D </t>
  </si>
  <si>
    <t xml:space="preserve">KWC5U0D </t>
  </si>
  <si>
    <t xml:space="preserve">KWC640D </t>
  </si>
  <si>
    <t xml:space="preserve">KWC6E0D </t>
  </si>
  <si>
    <t xml:space="preserve">KWC6O0D </t>
  </si>
  <si>
    <t xml:space="preserve">KWC6Y0D </t>
  </si>
  <si>
    <t xml:space="preserve">KWC780D </t>
  </si>
  <si>
    <t xml:space="preserve">KWC7I0D </t>
  </si>
  <si>
    <t xml:space="preserve">KWC7S0D </t>
  </si>
  <si>
    <t xml:space="preserve">KWC820D </t>
  </si>
  <si>
    <t xml:space="preserve">KWC8C0D </t>
  </si>
  <si>
    <t xml:space="preserve">KWCIU0G </t>
  </si>
  <si>
    <t xml:space="preserve">KWCIK0G </t>
  </si>
  <si>
    <t xml:space="preserve">KWCIF0G </t>
  </si>
  <si>
    <t xml:space="preserve">KWCIA0G </t>
  </si>
  <si>
    <t xml:space="preserve">KWCI50G </t>
  </si>
  <si>
    <t xml:space="preserve">KWNS02  </t>
  </si>
  <si>
    <t xml:space="preserve">KWC050G </t>
  </si>
  <si>
    <t xml:space="preserve">KWC0A0G </t>
  </si>
  <si>
    <t xml:space="preserve">KWC0F0G </t>
  </si>
  <si>
    <t xml:space="preserve">KWC0K0G </t>
  </si>
  <si>
    <t xml:space="preserve">KWC0U0G </t>
  </si>
  <si>
    <t xml:space="preserve">KWC140G </t>
  </si>
  <si>
    <t xml:space="preserve">KWC1E0G </t>
  </si>
  <si>
    <t xml:space="preserve">KWC1O0G </t>
  </si>
  <si>
    <t xml:space="preserve">KWC1Y0G </t>
  </si>
  <si>
    <t xml:space="preserve">KWC280G </t>
  </si>
  <si>
    <t xml:space="preserve">KWC2I0G </t>
  </si>
  <si>
    <t xml:space="preserve">KWC2S0G </t>
  </si>
  <si>
    <t xml:space="preserve">KWC320G </t>
  </si>
  <si>
    <t xml:space="preserve">KWC3C0G </t>
  </si>
  <si>
    <t xml:space="preserve">KWC3M0G </t>
  </si>
  <si>
    <t xml:space="preserve">KWC3W0G </t>
  </si>
  <si>
    <t xml:space="preserve">KWC460G </t>
  </si>
  <si>
    <t xml:space="preserve">KWC4G0G </t>
  </si>
  <si>
    <t xml:space="preserve">KWC4Q0G </t>
  </si>
  <si>
    <t xml:space="preserve">KWC500G </t>
  </si>
  <si>
    <t xml:space="preserve">KWC5A0G </t>
  </si>
  <si>
    <t xml:space="preserve">KWC5K0G </t>
  </si>
  <si>
    <t xml:space="preserve">KWC5U0G </t>
  </si>
  <si>
    <t xml:space="preserve">KWC640G </t>
  </si>
  <si>
    <t xml:space="preserve">KWC6E0G </t>
  </si>
  <si>
    <t xml:space="preserve">KWC6O0G </t>
  </si>
  <si>
    <t xml:space="preserve">KWC6Y0G </t>
  </si>
  <si>
    <t xml:space="preserve">KWC780G </t>
  </si>
  <si>
    <t xml:space="preserve">KWC7I0G </t>
  </si>
  <si>
    <t xml:space="preserve">KWC7S0G </t>
  </si>
  <si>
    <t xml:space="preserve">KWC820G </t>
  </si>
  <si>
    <t xml:space="preserve">KWC8C0G </t>
  </si>
  <si>
    <t xml:space="preserve">KWCIU0H </t>
  </si>
  <si>
    <t xml:space="preserve">KWCIK0H </t>
  </si>
  <si>
    <t xml:space="preserve">KWCIF0H </t>
  </si>
  <si>
    <t xml:space="preserve">KWCIA0H </t>
  </si>
  <si>
    <t xml:space="preserve">KWCI50H </t>
  </si>
  <si>
    <t xml:space="preserve">KWNS03  </t>
  </si>
  <si>
    <t xml:space="preserve">KWC050H </t>
  </si>
  <si>
    <t xml:space="preserve">KWC0A0H </t>
  </si>
  <si>
    <t xml:space="preserve">KWC0F0H </t>
  </si>
  <si>
    <t xml:space="preserve">KWC0K0H </t>
  </si>
  <si>
    <t xml:space="preserve">KWC0U0H </t>
  </si>
  <si>
    <t xml:space="preserve">KWC140H </t>
  </si>
  <si>
    <t xml:space="preserve">KWC1E0H </t>
  </si>
  <si>
    <t xml:space="preserve">KWC1O0H </t>
  </si>
  <si>
    <t xml:space="preserve">KWC1Y0H </t>
  </si>
  <si>
    <t xml:space="preserve">KWC280H </t>
  </si>
  <si>
    <t xml:space="preserve">KWC2I0H </t>
  </si>
  <si>
    <t xml:space="preserve">KWC2S0H </t>
  </si>
  <si>
    <t xml:space="preserve">KWC320H </t>
  </si>
  <si>
    <t xml:space="preserve">KWC3C0H </t>
  </si>
  <si>
    <t xml:space="preserve">KWC3M0H </t>
  </si>
  <si>
    <t xml:space="preserve">KWC3W0H </t>
  </si>
  <si>
    <t xml:space="preserve">KWC460H </t>
  </si>
  <si>
    <t xml:space="preserve">KWC4G0H </t>
  </si>
  <si>
    <t xml:space="preserve">KWC4Q0H </t>
  </si>
  <si>
    <t xml:space="preserve">KWC500H </t>
  </si>
  <si>
    <t xml:space="preserve">KWC5A0H </t>
  </si>
  <si>
    <t xml:space="preserve">KWC5K0H </t>
  </si>
  <si>
    <t xml:space="preserve">KWC5U0H </t>
  </si>
  <si>
    <t xml:space="preserve">KWC640H </t>
  </si>
  <si>
    <t xml:space="preserve">KWC6E0H </t>
  </si>
  <si>
    <t xml:space="preserve">KWC6O0H </t>
  </si>
  <si>
    <t xml:space="preserve">KWC6Y0H </t>
  </si>
  <si>
    <t xml:space="preserve">KWC780H </t>
  </si>
  <si>
    <t xml:space="preserve">KWC7I0H </t>
  </si>
  <si>
    <t xml:space="preserve">KWC7S0H </t>
  </si>
  <si>
    <t xml:space="preserve">KWC820H </t>
  </si>
  <si>
    <t xml:space="preserve">KWC8C0H </t>
  </si>
  <si>
    <t xml:space="preserve">KWCIU0I </t>
  </si>
  <si>
    <t xml:space="preserve">KWCIK0I </t>
  </si>
  <si>
    <t xml:space="preserve">KWCIF0I </t>
  </si>
  <si>
    <t xml:space="preserve">KWCIA0I </t>
  </si>
  <si>
    <t xml:space="preserve">KWCI50I </t>
  </si>
  <si>
    <t xml:space="preserve">KWNS04  </t>
  </si>
  <si>
    <t xml:space="preserve">KWC050I </t>
  </si>
  <si>
    <t xml:space="preserve">KWC0A0I </t>
  </si>
  <si>
    <t xml:space="preserve">KWC0F0I </t>
  </si>
  <si>
    <t xml:space="preserve">KWC0K0I </t>
  </si>
  <si>
    <t xml:space="preserve">KWC0U0I </t>
  </si>
  <si>
    <t xml:space="preserve">KWC140I </t>
  </si>
  <si>
    <t xml:space="preserve">KWC1E0I </t>
  </si>
  <si>
    <t xml:space="preserve">KWC1O0I </t>
  </si>
  <si>
    <t xml:space="preserve">KWC1Y0I </t>
  </si>
  <si>
    <t xml:space="preserve">KWC280I </t>
  </si>
  <si>
    <t xml:space="preserve">KWC2I0I </t>
  </si>
  <si>
    <t xml:space="preserve">KWC2S0I </t>
  </si>
  <si>
    <t xml:space="preserve">KWC320I </t>
  </si>
  <si>
    <t xml:space="preserve">KWC3C0I </t>
  </si>
  <si>
    <t xml:space="preserve">KWC3M0I </t>
  </si>
  <si>
    <t xml:space="preserve">KWC3W0I </t>
  </si>
  <si>
    <t xml:space="preserve">KWC460I </t>
  </si>
  <si>
    <t xml:space="preserve">KWC4G0I </t>
  </si>
  <si>
    <t xml:space="preserve">KWC4Q0I </t>
  </si>
  <si>
    <t xml:space="preserve">KWC500I </t>
  </si>
  <si>
    <t xml:space="preserve">KWC5A0I </t>
  </si>
  <si>
    <t xml:space="preserve">KWC5K0I </t>
  </si>
  <si>
    <t xml:space="preserve">KWC5U0I </t>
  </si>
  <si>
    <t xml:space="preserve">KWC640I </t>
  </si>
  <si>
    <t xml:space="preserve">KWC6E0I </t>
  </si>
  <si>
    <t xml:space="preserve">KWC6O0I </t>
  </si>
  <si>
    <t xml:space="preserve">KWC6Y0I </t>
  </si>
  <si>
    <t xml:space="preserve">KWC780I </t>
  </si>
  <si>
    <t xml:space="preserve">KWC7I0I </t>
  </si>
  <si>
    <t xml:space="preserve">KWC7S0I </t>
  </si>
  <si>
    <t xml:space="preserve">KWC820I </t>
  </si>
  <si>
    <t xml:space="preserve">KWC8C0I </t>
  </si>
  <si>
    <t xml:space="preserve">KWCIU0J </t>
  </si>
  <si>
    <t xml:space="preserve">KWCIK0J </t>
  </si>
  <si>
    <t xml:space="preserve">KWCIF0J </t>
  </si>
  <si>
    <t xml:space="preserve">KWCIA0J </t>
  </si>
  <si>
    <t xml:space="preserve">KWCI50J </t>
  </si>
  <si>
    <t xml:space="preserve">KWNS05  </t>
  </si>
  <si>
    <t xml:space="preserve">KWC050J </t>
  </si>
  <si>
    <t xml:space="preserve">KWC0A0J </t>
  </si>
  <si>
    <t xml:space="preserve">KWC0F0J </t>
  </si>
  <si>
    <t xml:space="preserve">KWC0K0J </t>
  </si>
  <si>
    <t xml:space="preserve">KWC0U0J </t>
  </si>
  <si>
    <t xml:space="preserve">KWC140J </t>
  </si>
  <si>
    <t xml:space="preserve">KWC1E0J </t>
  </si>
  <si>
    <t xml:space="preserve">KWC1O0J </t>
  </si>
  <si>
    <t xml:space="preserve">KWC1Y0J </t>
  </si>
  <si>
    <t xml:space="preserve">KWC280J </t>
  </si>
  <si>
    <t xml:space="preserve">KWC2I0J </t>
  </si>
  <si>
    <t xml:space="preserve">KWC2S0J </t>
  </si>
  <si>
    <t xml:space="preserve">KWC320J </t>
  </si>
  <si>
    <t xml:space="preserve">KWC3C0J </t>
  </si>
  <si>
    <t xml:space="preserve">KWC3M0J </t>
  </si>
  <si>
    <t xml:space="preserve">KWC3W0J </t>
  </si>
  <si>
    <t xml:space="preserve">KWC460J </t>
  </si>
  <si>
    <t xml:space="preserve">KWC4G0J </t>
  </si>
  <si>
    <t xml:space="preserve">KWC4Q0J </t>
  </si>
  <si>
    <t xml:space="preserve">KWC500J </t>
  </si>
  <si>
    <t xml:space="preserve">KWC5A0J </t>
  </si>
  <si>
    <t xml:space="preserve">KWC5K0J </t>
  </si>
  <si>
    <t xml:space="preserve">KWC5U0J </t>
  </si>
  <si>
    <t xml:space="preserve">KWC640J </t>
  </si>
  <si>
    <t xml:space="preserve">KWC6E0J </t>
  </si>
  <si>
    <t xml:space="preserve">KWC6O0J </t>
  </si>
  <si>
    <t xml:space="preserve">KWC6Y0J </t>
  </si>
  <si>
    <t xml:space="preserve">KWC780J </t>
  </si>
  <si>
    <t xml:space="preserve">KWC7I0J </t>
  </si>
  <si>
    <t xml:space="preserve">KWC7S0J </t>
  </si>
  <si>
    <t xml:space="preserve">KWC820J </t>
  </si>
  <si>
    <t xml:space="preserve">KWC8C0J </t>
  </si>
  <si>
    <t xml:space="preserve">KWCIU0K </t>
  </si>
  <si>
    <t xml:space="preserve">KWCIK0K </t>
  </si>
  <si>
    <t xml:space="preserve">KWCIF0K </t>
  </si>
  <si>
    <t xml:space="preserve">KWCIA0K </t>
  </si>
  <si>
    <t xml:space="preserve">KWCI50K </t>
  </si>
  <si>
    <t xml:space="preserve">KWNS06  </t>
  </si>
  <si>
    <t xml:space="preserve">KWC050K </t>
  </si>
  <si>
    <t xml:space="preserve">KWC0A0K </t>
  </si>
  <si>
    <t xml:space="preserve">KWC0F0K </t>
  </si>
  <si>
    <t xml:space="preserve">KWC0K0K </t>
  </si>
  <si>
    <t xml:space="preserve">KWC0U0K </t>
  </si>
  <si>
    <t xml:space="preserve">KWC140K </t>
  </si>
  <si>
    <t xml:space="preserve">KWC1E0K </t>
  </si>
  <si>
    <t xml:space="preserve">KWC1O0K </t>
  </si>
  <si>
    <t xml:space="preserve">KWC1Y0K </t>
  </si>
  <si>
    <t xml:space="preserve">KWC280K </t>
  </si>
  <si>
    <t xml:space="preserve">KWC2I0K </t>
  </si>
  <si>
    <t xml:space="preserve">KWC2S0K </t>
  </si>
  <si>
    <t xml:space="preserve">KWC320K </t>
  </si>
  <si>
    <t xml:space="preserve">KWC3C0K </t>
  </si>
  <si>
    <t xml:space="preserve">KWC3M0K </t>
  </si>
  <si>
    <t xml:space="preserve">KWC3W0K </t>
  </si>
  <si>
    <t xml:space="preserve">KWC460K </t>
  </si>
  <si>
    <t xml:space="preserve">KWC4G0K </t>
  </si>
  <si>
    <t xml:space="preserve">KWC4Q0K </t>
  </si>
  <si>
    <t xml:space="preserve">KWC500K </t>
  </si>
  <si>
    <t xml:space="preserve">KWC5A0K </t>
  </si>
  <si>
    <t xml:space="preserve">KWC5K0K </t>
  </si>
  <si>
    <t xml:space="preserve">KWC5U0K </t>
  </si>
  <si>
    <t xml:space="preserve">KWC640K </t>
  </si>
  <si>
    <t xml:space="preserve">KWC6E0K </t>
  </si>
  <si>
    <t xml:space="preserve">KWC6O0K </t>
  </si>
  <si>
    <t xml:space="preserve">KWC6Y0K </t>
  </si>
  <si>
    <t xml:space="preserve">KWC780K </t>
  </si>
  <si>
    <t xml:space="preserve">KWC7I0K </t>
  </si>
  <si>
    <t xml:space="preserve">KWC7S0K </t>
  </si>
  <si>
    <t xml:space="preserve">KWC820K </t>
  </si>
  <si>
    <t xml:space="preserve">KWC8C0K </t>
  </si>
  <si>
    <t xml:space="preserve">KWCIU0L </t>
  </si>
  <si>
    <t xml:space="preserve">KWCIK0L </t>
  </si>
  <si>
    <t xml:space="preserve">KWCIF0L </t>
  </si>
  <si>
    <t xml:space="preserve">KWCIA0L </t>
  </si>
  <si>
    <t xml:space="preserve">KWCI50L </t>
  </si>
  <si>
    <t xml:space="preserve">KWNS07  </t>
  </si>
  <si>
    <t xml:space="preserve">KWC050L </t>
  </si>
  <si>
    <t xml:space="preserve">KWC0A0L </t>
  </si>
  <si>
    <t xml:space="preserve">KWC0F0L </t>
  </si>
  <si>
    <t xml:space="preserve">KWC0K0L </t>
  </si>
  <si>
    <t xml:space="preserve">KWC0U0L </t>
  </si>
  <si>
    <t xml:space="preserve">KWC140L </t>
  </si>
  <si>
    <t xml:space="preserve">KWC1E0L </t>
  </si>
  <si>
    <t xml:space="preserve">KWC1O0L </t>
  </si>
  <si>
    <t xml:space="preserve">KWC1Y0L </t>
  </si>
  <si>
    <t xml:space="preserve">KWC280L </t>
  </si>
  <si>
    <t xml:space="preserve">KWC2I0L </t>
  </si>
  <si>
    <t xml:space="preserve">KWC2S0L </t>
  </si>
  <si>
    <t xml:space="preserve">KWC320L </t>
  </si>
  <si>
    <t xml:space="preserve">KWC3C0L </t>
  </si>
  <si>
    <t xml:space="preserve">KWC3M0L </t>
  </si>
  <si>
    <t xml:space="preserve">KWC3W0L </t>
  </si>
  <si>
    <t xml:space="preserve">KWC460L </t>
  </si>
  <si>
    <t xml:space="preserve">KWC4G0L </t>
  </si>
  <si>
    <t xml:space="preserve">KWC4Q0L </t>
  </si>
  <si>
    <t xml:space="preserve">KWC500L </t>
  </si>
  <si>
    <t xml:space="preserve">KWC5A0L </t>
  </si>
  <si>
    <t xml:space="preserve">KWC5K0L </t>
  </si>
  <si>
    <t xml:space="preserve">KWC5U0L </t>
  </si>
  <si>
    <t xml:space="preserve">KWC640L </t>
  </si>
  <si>
    <t xml:space="preserve">KWC6E0L </t>
  </si>
  <si>
    <t xml:space="preserve">KWC6O0L </t>
  </si>
  <si>
    <t xml:space="preserve">KWC6Y0L </t>
  </si>
  <si>
    <t xml:space="preserve">KWC780L </t>
  </si>
  <si>
    <t xml:space="preserve">KWC7I0L </t>
  </si>
  <si>
    <t xml:space="preserve">KWC7S0L </t>
  </si>
  <si>
    <t xml:space="preserve">KWC820L </t>
  </si>
  <si>
    <t xml:space="preserve">KWC8C0L </t>
  </si>
  <si>
    <t xml:space="preserve">KWCIU0M </t>
  </si>
  <si>
    <t xml:space="preserve">KWCIK0M </t>
  </si>
  <si>
    <t xml:space="preserve">KWCIF0M </t>
  </si>
  <si>
    <t xml:space="preserve">KWCIA0M </t>
  </si>
  <si>
    <t xml:space="preserve">KWCI50M </t>
  </si>
  <si>
    <t xml:space="preserve">KWNS08  </t>
  </si>
  <si>
    <t xml:space="preserve">KWC050M </t>
  </si>
  <si>
    <t xml:space="preserve">KWC0A0M </t>
  </si>
  <si>
    <t xml:space="preserve">KWC0F0M </t>
  </si>
  <si>
    <t xml:space="preserve">KWC0K0M </t>
  </si>
  <si>
    <t xml:space="preserve">KWC0U0M </t>
  </si>
  <si>
    <t xml:space="preserve">KWC140M </t>
  </si>
  <si>
    <t xml:space="preserve">KWC1E0M </t>
  </si>
  <si>
    <t xml:space="preserve">KWC1O0M </t>
  </si>
  <si>
    <t xml:space="preserve">KWC1Y0M </t>
  </si>
  <si>
    <t xml:space="preserve">KWC280M </t>
  </si>
  <si>
    <t xml:space="preserve">KWC2I0M </t>
  </si>
  <si>
    <t xml:space="preserve">KWC2S0M </t>
  </si>
  <si>
    <t xml:space="preserve">KWC320M </t>
  </si>
  <si>
    <t xml:space="preserve">KWC3C0M </t>
  </si>
  <si>
    <t xml:space="preserve">KWC3M0M </t>
  </si>
  <si>
    <t xml:space="preserve">KWC3W0M </t>
  </si>
  <si>
    <t xml:space="preserve">KWC460M </t>
  </si>
  <si>
    <t xml:space="preserve">KWC4G0M </t>
  </si>
  <si>
    <t xml:space="preserve">KWC4Q0M </t>
  </si>
  <si>
    <t xml:space="preserve">KWC500M </t>
  </si>
  <si>
    <t xml:space="preserve">KWC5A0M </t>
  </si>
  <si>
    <t xml:space="preserve">KWC5K0M </t>
  </si>
  <si>
    <t xml:space="preserve">KWC5U0M </t>
  </si>
  <si>
    <t xml:space="preserve">KWC640M </t>
  </si>
  <si>
    <t xml:space="preserve">KWC6E0M </t>
  </si>
  <si>
    <t xml:space="preserve">KWC6O0M </t>
  </si>
  <si>
    <t xml:space="preserve">KWC6Y0M </t>
  </si>
  <si>
    <t xml:space="preserve">KWC780M </t>
  </si>
  <si>
    <t xml:space="preserve">KWC7I0M </t>
  </si>
  <si>
    <t xml:space="preserve">KWC7S0M </t>
  </si>
  <si>
    <t xml:space="preserve">KWC820M </t>
  </si>
  <si>
    <t xml:space="preserve">KWC8C0M </t>
  </si>
  <si>
    <t xml:space="preserve">KWCIU0N </t>
  </si>
  <si>
    <t xml:space="preserve">KWCIK0N </t>
  </si>
  <si>
    <t xml:space="preserve">KWCIF0N </t>
  </si>
  <si>
    <t xml:space="preserve">KWCIA0N </t>
  </si>
  <si>
    <t xml:space="preserve">KWCI50N </t>
  </si>
  <si>
    <t xml:space="preserve">KWNS09  </t>
  </si>
  <si>
    <t xml:space="preserve">KWC050N </t>
  </si>
  <si>
    <t xml:space="preserve">KWC0A0N </t>
  </si>
  <si>
    <t xml:space="preserve">KWC0F0N </t>
  </si>
  <si>
    <t xml:space="preserve">KWC0K0N </t>
  </si>
  <si>
    <t xml:space="preserve">KWC0U0N </t>
  </si>
  <si>
    <t xml:space="preserve">KWC140N </t>
  </si>
  <si>
    <t xml:space="preserve">KWC1E0N </t>
  </si>
  <si>
    <t xml:space="preserve">KWC1O0N </t>
  </si>
  <si>
    <t xml:space="preserve">KWC1Y0N </t>
  </si>
  <si>
    <t xml:space="preserve">KWC280N </t>
  </si>
  <si>
    <t xml:space="preserve">KWC2I0N </t>
  </si>
  <si>
    <t xml:space="preserve">KWC2S0N </t>
  </si>
  <si>
    <t xml:space="preserve">KWC320N </t>
  </si>
  <si>
    <t xml:space="preserve">KWC3C0N </t>
  </si>
  <si>
    <t xml:space="preserve">KWC3M0N </t>
  </si>
  <si>
    <t xml:space="preserve">KWC3W0N </t>
  </si>
  <si>
    <t xml:space="preserve">KWC460N </t>
  </si>
  <si>
    <t xml:space="preserve">KWC4G0N </t>
  </si>
  <si>
    <t xml:space="preserve">KWC4Q0N </t>
  </si>
  <si>
    <t xml:space="preserve">KWC500N </t>
  </si>
  <si>
    <t xml:space="preserve">KWC5A0N </t>
  </si>
  <si>
    <t xml:space="preserve">KWC5K0N </t>
  </si>
  <si>
    <t xml:space="preserve">KWC5U0N </t>
  </si>
  <si>
    <t xml:space="preserve">KWC640N </t>
  </si>
  <si>
    <t xml:space="preserve">KWC6E0N </t>
  </si>
  <si>
    <t xml:space="preserve">KWC6O0N </t>
  </si>
  <si>
    <t xml:space="preserve">KWC6Y0N </t>
  </si>
  <si>
    <t xml:space="preserve">KWC780N </t>
  </si>
  <si>
    <t xml:space="preserve">KWC7I0N </t>
  </si>
  <si>
    <t xml:space="preserve">KWC7S0N </t>
  </si>
  <si>
    <t xml:space="preserve">KWC820N </t>
  </si>
  <si>
    <t xml:space="preserve">KWC8C0N </t>
  </si>
  <si>
    <t xml:space="preserve">KWCIU0O </t>
  </si>
  <si>
    <t xml:space="preserve">KWCIK0O </t>
  </si>
  <si>
    <t xml:space="preserve">KWCIF0O </t>
  </si>
  <si>
    <t xml:space="preserve">KWCIA0O </t>
  </si>
  <si>
    <t xml:space="preserve">KWCI50O </t>
  </si>
  <si>
    <t xml:space="preserve">KWNS10  </t>
  </si>
  <si>
    <t xml:space="preserve">KWC050O </t>
  </si>
  <si>
    <t xml:space="preserve">KWC0A0O </t>
  </si>
  <si>
    <t xml:space="preserve">KWC0F0O </t>
  </si>
  <si>
    <t xml:space="preserve">KWC0K0O </t>
  </si>
  <si>
    <t xml:space="preserve">KWC0U0O </t>
  </si>
  <si>
    <t xml:space="preserve">KWC140O </t>
  </si>
  <si>
    <t xml:space="preserve">KWC1E0O </t>
  </si>
  <si>
    <t xml:space="preserve">KWC1O0O </t>
  </si>
  <si>
    <t xml:space="preserve">KWC1Y0O </t>
  </si>
  <si>
    <t xml:space="preserve">KWC280O </t>
  </si>
  <si>
    <t xml:space="preserve">KWC2I0O </t>
  </si>
  <si>
    <t xml:space="preserve">KWC2S0O </t>
  </si>
  <si>
    <t xml:space="preserve">KWC320O </t>
  </si>
  <si>
    <t xml:space="preserve">KWC3C0O </t>
  </si>
  <si>
    <t xml:space="preserve">KWC3M0O </t>
  </si>
  <si>
    <t xml:space="preserve">KWC3W0O </t>
  </si>
  <si>
    <t xml:space="preserve">KWC460O </t>
  </si>
  <si>
    <t xml:space="preserve">KWC4G0O </t>
  </si>
  <si>
    <t xml:space="preserve">KWC4Q0O </t>
  </si>
  <si>
    <t xml:space="preserve">KWC500O </t>
  </si>
  <si>
    <t xml:space="preserve">KWC5A0O </t>
  </si>
  <si>
    <t xml:space="preserve">KWC5K0O </t>
  </si>
  <si>
    <t xml:space="preserve">KWC5U0O </t>
  </si>
  <si>
    <t xml:space="preserve">KWC640O </t>
  </si>
  <si>
    <t xml:space="preserve">KWC6E0O </t>
  </si>
  <si>
    <t xml:space="preserve">KWC6O0O </t>
  </si>
  <si>
    <t xml:space="preserve">KWC6Y0O </t>
  </si>
  <si>
    <t xml:space="preserve">KWC780O </t>
  </si>
  <si>
    <t xml:space="preserve">KWC7I0O </t>
  </si>
  <si>
    <t xml:space="preserve">KWC7S0O </t>
  </si>
  <si>
    <t xml:space="preserve">KWC820O </t>
  </si>
  <si>
    <t xml:space="preserve">KWC8C0O </t>
  </si>
  <si>
    <t xml:space="preserve">KWCIU0Q </t>
  </si>
  <si>
    <t xml:space="preserve">KWCIK0Q </t>
  </si>
  <si>
    <t xml:space="preserve">KWCIF0Q </t>
  </si>
  <si>
    <t xml:space="preserve">KWCIA0Q </t>
  </si>
  <si>
    <t xml:space="preserve">KWCI50Q </t>
  </si>
  <si>
    <t xml:space="preserve">KWNS12  </t>
  </si>
  <si>
    <t xml:space="preserve">KWC050Q </t>
  </si>
  <si>
    <t xml:space="preserve">KWC0A0Q </t>
  </si>
  <si>
    <t xml:space="preserve">KWC0F0Q </t>
  </si>
  <si>
    <t xml:space="preserve">KWC0K0Q </t>
  </si>
  <si>
    <t xml:space="preserve">KWC0U0Q </t>
  </si>
  <si>
    <t xml:space="preserve">KWC140Q </t>
  </si>
  <si>
    <t xml:space="preserve">KWC1E0Q </t>
  </si>
  <si>
    <t xml:space="preserve">KWC1O0Q </t>
  </si>
  <si>
    <t xml:space="preserve">KWC1Y0Q </t>
  </si>
  <si>
    <t xml:space="preserve">KWC280Q </t>
  </si>
  <si>
    <t xml:space="preserve">KWC2I0Q </t>
  </si>
  <si>
    <t xml:space="preserve">KWC2S0Q </t>
  </si>
  <si>
    <t xml:space="preserve">KWC320Q </t>
  </si>
  <si>
    <t xml:space="preserve">KWC3C0Q </t>
  </si>
  <si>
    <t xml:space="preserve">KWC3M0Q </t>
  </si>
  <si>
    <t xml:space="preserve">KWC3W0Q </t>
  </si>
  <si>
    <t xml:space="preserve">KWC460Q </t>
  </si>
  <si>
    <t xml:space="preserve">KWC4G0Q </t>
  </si>
  <si>
    <t xml:space="preserve">KWC4Q0Q </t>
  </si>
  <si>
    <t xml:space="preserve">KWC500Q </t>
  </si>
  <si>
    <t xml:space="preserve">KWC5A0Q </t>
  </si>
  <si>
    <t xml:space="preserve">KWC5K0Q </t>
  </si>
  <si>
    <t xml:space="preserve">KWC5U0Q </t>
  </si>
  <si>
    <t xml:space="preserve">KWC640Q </t>
  </si>
  <si>
    <t xml:space="preserve">KWC6E0Q </t>
  </si>
  <si>
    <t xml:space="preserve">KWC6O0Q </t>
  </si>
  <si>
    <t xml:space="preserve">KWC6Y0Q </t>
  </si>
  <si>
    <t xml:space="preserve">KWC780Q </t>
  </si>
  <si>
    <t xml:space="preserve">KWC7I0Q </t>
  </si>
  <si>
    <t xml:space="preserve">KWC7S0Q </t>
  </si>
  <si>
    <t xml:space="preserve">KWC820Q </t>
  </si>
  <si>
    <t xml:space="preserve">KWC8C0Q </t>
  </si>
  <si>
    <t xml:space="preserve">KWCIU0T </t>
  </si>
  <si>
    <t xml:space="preserve">KWCIK0T </t>
  </si>
  <si>
    <t xml:space="preserve">KWCIF0T </t>
  </si>
  <si>
    <t xml:space="preserve">KWCIA0T </t>
  </si>
  <si>
    <t xml:space="preserve">KWCI50T </t>
  </si>
  <si>
    <t xml:space="preserve">KWNS15  </t>
  </si>
  <si>
    <t xml:space="preserve">KWC050T </t>
  </si>
  <si>
    <t xml:space="preserve">KWC0A0T </t>
  </si>
  <si>
    <t xml:space="preserve">KWC0F0T </t>
  </si>
  <si>
    <t xml:space="preserve">KWC0K0T </t>
  </si>
  <si>
    <t xml:space="preserve">KWC0U0T </t>
  </si>
  <si>
    <t xml:space="preserve">KWC140T </t>
  </si>
  <si>
    <t xml:space="preserve">KWC1E0T </t>
  </si>
  <si>
    <t xml:space="preserve">KWC1O0T </t>
  </si>
  <si>
    <t xml:space="preserve">KWC1Y0T </t>
  </si>
  <si>
    <t xml:space="preserve">KWC280T </t>
  </si>
  <si>
    <t xml:space="preserve">KWC2I0T </t>
  </si>
  <si>
    <t xml:space="preserve">KWC2S0T </t>
  </si>
  <si>
    <t xml:space="preserve">KWC320T </t>
  </si>
  <si>
    <t xml:space="preserve">KWC3C0T </t>
  </si>
  <si>
    <t xml:space="preserve">KWC3M0T </t>
  </si>
  <si>
    <t xml:space="preserve">KWC3W0T </t>
  </si>
  <si>
    <t xml:space="preserve">KWC460T </t>
  </si>
  <si>
    <t xml:space="preserve">KWC4G0T </t>
  </si>
  <si>
    <t xml:space="preserve">KWC4Q0T </t>
  </si>
  <si>
    <t xml:space="preserve">KWC500T </t>
  </si>
  <si>
    <t xml:space="preserve">KWC5A0T </t>
  </si>
  <si>
    <t xml:space="preserve">KWC5K0T </t>
  </si>
  <si>
    <t xml:space="preserve">KWC5U0T </t>
  </si>
  <si>
    <t xml:space="preserve">KWC640T </t>
  </si>
  <si>
    <t xml:space="preserve">KWC6E0T </t>
  </si>
  <si>
    <t xml:space="preserve">KWC6O0T </t>
  </si>
  <si>
    <t xml:space="preserve">KWC6Y0T </t>
  </si>
  <si>
    <t xml:space="preserve">KWC780T </t>
  </si>
  <si>
    <t xml:space="preserve">KWC7I0T </t>
  </si>
  <si>
    <t xml:space="preserve">KWC7S0T </t>
  </si>
  <si>
    <t xml:space="preserve">KWC820T </t>
  </si>
  <si>
    <t xml:space="preserve">KWC8C0T </t>
  </si>
  <si>
    <t xml:space="preserve">KWCIU0Y </t>
  </si>
  <si>
    <t xml:space="preserve">KWCIK0Y </t>
  </si>
  <si>
    <t xml:space="preserve">KWCIF0Y </t>
  </si>
  <si>
    <t xml:space="preserve">KWCIA0Y </t>
  </si>
  <si>
    <t xml:space="preserve">KWCI50Y </t>
  </si>
  <si>
    <t xml:space="preserve">KWNS20  </t>
  </si>
  <si>
    <t xml:space="preserve">KWC050Y </t>
  </si>
  <si>
    <t xml:space="preserve">KWC0A0Y </t>
  </si>
  <si>
    <t xml:space="preserve">KWC0F0Y </t>
  </si>
  <si>
    <t xml:space="preserve">KWC0K0Y </t>
  </si>
  <si>
    <t xml:space="preserve">KWC0U0Y </t>
  </si>
  <si>
    <t xml:space="preserve">KWC140Y </t>
  </si>
  <si>
    <t xml:space="preserve">KWC1E0Y </t>
  </si>
  <si>
    <t xml:space="preserve">KWC1O0Y </t>
  </si>
  <si>
    <t xml:space="preserve">KWC1Y0Y </t>
  </si>
  <si>
    <t xml:space="preserve">KWC280Y </t>
  </si>
  <si>
    <t xml:space="preserve">KWC2I0Y </t>
  </si>
  <si>
    <t xml:space="preserve">KWC2S0Y </t>
  </si>
  <si>
    <t xml:space="preserve">KWC320Y </t>
  </si>
  <si>
    <t xml:space="preserve">KWC3C0Y </t>
  </si>
  <si>
    <t xml:space="preserve">KWC3M0Y </t>
  </si>
  <si>
    <t xml:space="preserve">KWC3W0Y </t>
  </si>
  <si>
    <t xml:space="preserve">KWC460Y </t>
  </si>
  <si>
    <t xml:space="preserve">KWC4G0Y </t>
  </si>
  <si>
    <t xml:space="preserve">KWC4Q0Y </t>
  </si>
  <si>
    <t xml:space="preserve">KWC500Y </t>
  </si>
  <si>
    <t xml:space="preserve">KWC5A0Y </t>
  </si>
  <si>
    <t xml:space="preserve">KWC5K0Y </t>
  </si>
  <si>
    <t xml:space="preserve">KWC5U0Y </t>
  </si>
  <si>
    <t xml:space="preserve">KWC640Y </t>
  </si>
  <si>
    <t xml:space="preserve">KWC6E0Y </t>
  </si>
  <si>
    <t xml:space="preserve">KWC6O0Y </t>
  </si>
  <si>
    <t xml:space="preserve">KWC6Y0Y </t>
  </si>
  <si>
    <t xml:space="preserve">KWC780Y </t>
  </si>
  <si>
    <t xml:space="preserve">KWC7I0Y </t>
  </si>
  <si>
    <t xml:space="preserve">KWC7S0Y </t>
  </si>
  <si>
    <t xml:space="preserve">KWC820Y </t>
  </si>
  <si>
    <t xml:space="preserve">KWC8C0Y </t>
  </si>
  <si>
    <t xml:space="preserve">KWCIU13 </t>
  </si>
  <si>
    <t xml:space="preserve">KWCIK13 </t>
  </si>
  <si>
    <t xml:space="preserve">KWCIF13 </t>
  </si>
  <si>
    <t xml:space="preserve">KWCIA13 </t>
  </si>
  <si>
    <t xml:space="preserve">KWCI513 </t>
  </si>
  <si>
    <t xml:space="preserve">KWNS25  </t>
  </si>
  <si>
    <t xml:space="preserve">KWC0513 </t>
  </si>
  <si>
    <t xml:space="preserve">KWC0A13 </t>
  </si>
  <si>
    <t xml:space="preserve">KWC0F13 </t>
  </si>
  <si>
    <t xml:space="preserve">KWC0K13 </t>
  </si>
  <si>
    <t xml:space="preserve">KWC0U13 </t>
  </si>
  <si>
    <t xml:space="preserve">KWC1413 </t>
  </si>
  <si>
    <t xml:space="preserve">KWC1E13 </t>
  </si>
  <si>
    <t xml:space="preserve">KWC1O13 </t>
  </si>
  <si>
    <t xml:space="preserve">KWC1Y13 </t>
  </si>
  <si>
    <t xml:space="preserve">KWC2813 </t>
  </si>
  <si>
    <t xml:space="preserve">KWC2I13 </t>
  </si>
  <si>
    <t xml:space="preserve">KWC2S13 </t>
  </si>
  <si>
    <t xml:space="preserve">KWC3213 </t>
  </si>
  <si>
    <t xml:space="preserve">KWC3C13 </t>
  </si>
  <si>
    <t xml:space="preserve">KWC3M13 </t>
  </si>
  <si>
    <t xml:space="preserve">KWC3W13 </t>
  </si>
  <si>
    <t xml:space="preserve">KWC4613 </t>
  </si>
  <si>
    <t xml:space="preserve">KWC4G13 </t>
  </si>
  <si>
    <t xml:space="preserve">KWC4Q13 </t>
  </si>
  <si>
    <t xml:space="preserve">KWC5013 </t>
  </si>
  <si>
    <t xml:space="preserve">KWC5A13 </t>
  </si>
  <si>
    <t xml:space="preserve">KWC5K13 </t>
  </si>
  <si>
    <t xml:space="preserve">KWC5U13 </t>
  </si>
  <si>
    <t xml:space="preserve">KWC6413 </t>
  </si>
  <si>
    <t xml:space="preserve">KWC6E13 </t>
  </si>
  <si>
    <t xml:space="preserve">KWC6O13 </t>
  </si>
  <si>
    <t xml:space="preserve">KWC6Y13 </t>
  </si>
  <si>
    <t xml:space="preserve">KWC7813 </t>
  </si>
  <si>
    <t xml:space="preserve">KWC7I13 </t>
  </si>
  <si>
    <t xml:space="preserve">KWC7S13 </t>
  </si>
  <si>
    <t xml:space="preserve">KWC8213 </t>
  </si>
  <si>
    <t xml:space="preserve">KWC8C13 </t>
  </si>
  <si>
    <t xml:space="preserve">KWCIU18 </t>
  </si>
  <si>
    <t xml:space="preserve">KWCIK18 </t>
  </si>
  <si>
    <t xml:space="preserve">KWCIF18 </t>
  </si>
  <si>
    <t xml:space="preserve">KWCIA18 </t>
  </si>
  <si>
    <t xml:space="preserve">KWCI518 </t>
  </si>
  <si>
    <t xml:space="preserve">KWNS30  </t>
  </si>
  <si>
    <t xml:space="preserve">KWC0518 </t>
  </si>
  <si>
    <t xml:space="preserve">KWC0A18 </t>
  </si>
  <si>
    <t xml:space="preserve">KWC0F18 </t>
  </si>
  <si>
    <t xml:space="preserve">KWC0K18 </t>
  </si>
  <si>
    <t xml:space="preserve">KWC0U18 </t>
  </si>
  <si>
    <t xml:space="preserve">KWC1418 </t>
  </si>
  <si>
    <t xml:space="preserve">KWC1E18 </t>
  </si>
  <si>
    <t xml:space="preserve">KWC1O18 </t>
  </si>
  <si>
    <t xml:space="preserve">KWC1Y18 </t>
  </si>
  <si>
    <t xml:space="preserve">KWC2818 </t>
  </si>
  <si>
    <t xml:space="preserve">KWC2I18 </t>
  </si>
  <si>
    <t xml:space="preserve">KWC2S18 </t>
  </si>
  <si>
    <t xml:space="preserve">KWC3218 </t>
  </si>
  <si>
    <t xml:space="preserve">KWC3C18 </t>
  </si>
  <si>
    <t xml:space="preserve">KWC3M18 </t>
  </si>
  <si>
    <t xml:space="preserve">KWC3W18 </t>
  </si>
  <si>
    <t xml:space="preserve">KWC4618 </t>
  </si>
  <si>
    <t xml:space="preserve">KWC4G18 </t>
  </si>
  <si>
    <t xml:space="preserve">KWC4Q18 </t>
  </si>
  <si>
    <t xml:space="preserve">KWC5018 </t>
  </si>
  <si>
    <t xml:space="preserve">KWC5A18 </t>
  </si>
  <si>
    <t xml:space="preserve">KWC5K18 </t>
  </si>
  <si>
    <t xml:space="preserve">KWC5U18 </t>
  </si>
  <si>
    <t xml:space="preserve">KWC6418 </t>
  </si>
  <si>
    <t xml:space="preserve">KWC6E18 </t>
  </si>
  <si>
    <t xml:space="preserve">KWC6O18 </t>
  </si>
  <si>
    <t xml:space="preserve">KWC6Y18 </t>
  </si>
  <si>
    <t xml:space="preserve">KWC7818 </t>
  </si>
  <si>
    <t xml:space="preserve">KWC7I18 </t>
  </si>
  <si>
    <t xml:space="preserve">KWC7S18 </t>
  </si>
  <si>
    <t xml:space="preserve">KWC8218 </t>
  </si>
  <si>
    <t xml:space="preserve">KWC8C18 </t>
  </si>
  <si>
    <t>KWC050H  BVOL Curncy</t>
    <phoneticPr fontId="2" type="noConversion"/>
  </si>
  <si>
    <t xml:space="preserve"> BBIR Curncy</t>
    <phoneticPr fontId="2" type="noConversion"/>
  </si>
  <si>
    <t xml:space="preserve">KWSV0A1 </t>
  </si>
  <si>
    <t xml:space="preserve">KWSV0A2 </t>
  </si>
  <si>
    <t xml:space="preserve">KWSV0A3 </t>
  </si>
  <si>
    <t xml:space="preserve">KWSV0A4 </t>
  </si>
  <si>
    <t xml:space="preserve">KWSV0A5 </t>
  </si>
  <si>
    <t xml:space="preserve">KWSV0A6 </t>
  </si>
  <si>
    <t xml:space="preserve">KWSV0A7 </t>
  </si>
  <si>
    <t xml:space="preserve">KWSV0A8 </t>
  </si>
  <si>
    <t xml:space="preserve">KWSV0A9 </t>
  </si>
  <si>
    <t>KWSV0A10</t>
  </si>
  <si>
    <t>KWSV0A12</t>
  </si>
  <si>
    <t>KWSV0A15</t>
  </si>
  <si>
    <t>KWSV0A20</t>
  </si>
  <si>
    <t>KWSV0A25</t>
  </si>
  <si>
    <t>KWSV0A30</t>
  </si>
  <si>
    <t xml:space="preserve">KWSV0C1 </t>
  </si>
  <si>
    <t xml:space="preserve">KWSV0C2 </t>
  </si>
  <si>
    <t xml:space="preserve">KWSV0C3 </t>
  </si>
  <si>
    <t xml:space="preserve">KWSV0C4 </t>
  </si>
  <si>
    <t xml:space="preserve">KWSV0C5 </t>
  </si>
  <si>
    <t xml:space="preserve">KWSV0C6 </t>
  </si>
  <si>
    <t xml:space="preserve">KWSV0C7 </t>
  </si>
  <si>
    <t xml:space="preserve">KWSV0C8 </t>
  </si>
  <si>
    <t xml:space="preserve">KWSV0C9 </t>
  </si>
  <si>
    <t>KWSV0C10</t>
  </si>
  <si>
    <t>KWSV0C12</t>
  </si>
  <si>
    <t>KWSV0C15</t>
  </si>
  <si>
    <t>KWSV0C20</t>
  </si>
  <si>
    <t>KWSV0C25</t>
  </si>
  <si>
    <t>KWSV0C30</t>
  </si>
  <si>
    <t xml:space="preserve">KWSV0F1 </t>
  </si>
  <si>
    <t xml:space="preserve">KWSV0F2 </t>
  </si>
  <si>
    <t xml:space="preserve">KWSV0F3 </t>
  </si>
  <si>
    <t xml:space="preserve">KWSV0F4 </t>
  </si>
  <si>
    <t xml:space="preserve">KWSV0F5 </t>
  </si>
  <si>
    <t xml:space="preserve">KWSV0F6 </t>
  </si>
  <si>
    <t xml:space="preserve">KWSV0F7 </t>
  </si>
  <si>
    <t xml:space="preserve">KWSV0F8 </t>
  </si>
  <si>
    <t xml:space="preserve">KWSV0F9 </t>
  </si>
  <si>
    <t>KWSV0F10</t>
  </si>
  <si>
    <t>KWSV0F12</t>
  </si>
  <si>
    <t>KWSV0F15</t>
  </si>
  <si>
    <t>KWSV0F20</t>
  </si>
  <si>
    <t>KWSV0F25</t>
  </si>
  <si>
    <t>KWSV0F30</t>
  </si>
  <si>
    <t xml:space="preserve">KWSV0I1 </t>
  </si>
  <si>
    <t xml:space="preserve">KWSV0I2 </t>
  </si>
  <si>
    <t xml:space="preserve">KWSV0I3 </t>
  </si>
  <si>
    <t xml:space="preserve">KWSV0I4 </t>
  </si>
  <si>
    <t xml:space="preserve">KWSV0I5 </t>
  </si>
  <si>
    <t xml:space="preserve">KWSV0I6 </t>
  </si>
  <si>
    <t xml:space="preserve">KWSV0I7 </t>
  </si>
  <si>
    <t xml:space="preserve">KWSV0I8 </t>
  </si>
  <si>
    <t xml:space="preserve">KWSV0I9 </t>
  </si>
  <si>
    <t>KWSV0I10</t>
  </si>
  <si>
    <t>KWSV0I12</t>
  </si>
  <si>
    <t>KWSV0I15</t>
  </si>
  <si>
    <t>KWSV0I20</t>
  </si>
  <si>
    <t>KWSV0I25</t>
  </si>
  <si>
    <t>KWSV0I30</t>
  </si>
  <si>
    <t xml:space="preserve">KWSV011 </t>
  </si>
  <si>
    <t xml:space="preserve">KWSV012 </t>
  </si>
  <si>
    <t xml:space="preserve">KWSV013 </t>
  </si>
  <si>
    <t xml:space="preserve">KWSV014 </t>
  </si>
  <si>
    <t xml:space="preserve">KWSV015 </t>
  </si>
  <si>
    <t xml:space="preserve">KWSV016 </t>
  </si>
  <si>
    <t xml:space="preserve">KWSV017 </t>
  </si>
  <si>
    <t xml:space="preserve">KWSV018 </t>
  </si>
  <si>
    <t xml:space="preserve">KWSV019 </t>
  </si>
  <si>
    <t>KWSV0110</t>
  </si>
  <si>
    <t>KWSV0112</t>
  </si>
  <si>
    <t>KWSV0115</t>
  </si>
  <si>
    <t>KWSV0120</t>
  </si>
  <si>
    <t>KWSV0125</t>
  </si>
  <si>
    <t>KWSV0130</t>
  </si>
  <si>
    <t xml:space="preserve">KWSV021 </t>
  </si>
  <si>
    <t xml:space="preserve">KWSV022 </t>
  </si>
  <si>
    <t xml:space="preserve">KWSV023 </t>
  </si>
  <si>
    <t xml:space="preserve">KWSV024 </t>
  </si>
  <si>
    <t xml:space="preserve">KWSV025 </t>
  </si>
  <si>
    <t xml:space="preserve">KWSV026 </t>
  </si>
  <si>
    <t xml:space="preserve">KWSV027 </t>
  </si>
  <si>
    <t xml:space="preserve">KWSV028 </t>
  </si>
  <si>
    <t xml:space="preserve">KWSV029 </t>
  </si>
  <si>
    <t>KWSV0210</t>
  </si>
  <si>
    <t>KWSV0212</t>
  </si>
  <si>
    <t>KWSV0215</t>
  </si>
  <si>
    <t>KWSV0220</t>
  </si>
  <si>
    <t>KWSV0225</t>
  </si>
  <si>
    <t>KWSV0230</t>
  </si>
  <si>
    <t xml:space="preserve">KWSV031 </t>
  </si>
  <si>
    <t xml:space="preserve">KWSV032 </t>
  </si>
  <si>
    <t xml:space="preserve">KWSV033 </t>
  </si>
  <si>
    <t xml:space="preserve">KWSV034 </t>
  </si>
  <si>
    <t xml:space="preserve">KWSV035 </t>
  </si>
  <si>
    <t xml:space="preserve">KWSV036 </t>
  </si>
  <si>
    <t xml:space="preserve">KWSV037 </t>
  </si>
  <si>
    <t xml:space="preserve">KWSV038 </t>
  </si>
  <si>
    <t xml:space="preserve">KWSV039 </t>
  </si>
  <si>
    <t>KWSV0310</t>
  </si>
  <si>
    <t>KWSV0312</t>
  </si>
  <si>
    <t>KWSV0315</t>
  </si>
  <si>
    <t>KWSV0320</t>
  </si>
  <si>
    <t>KWSV0325</t>
  </si>
  <si>
    <t>KWSV0330</t>
  </si>
  <si>
    <t xml:space="preserve">KWSV041 </t>
  </si>
  <si>
    <t xml:space="preserve">KWSV042 </t>
  </si>
  <si>
    <t xml:space="preserve">KWSV043 </t>
  </si>
  <si>
    <t xml:space="preserve">KWSV044 </t>
  </si>
  <si>
    <t xml:space="preserve">KWSV045 </t>
  </si>
  <si>
    <t xml:space="preserve">KWSV046 </t>
  </si>
  <si>
    <t xml:space="preserve">KWSV047 </t>
  </si>
  <si>
    <t xml:space="preserve">KWSV048 </t>
  </si>
  <si>
    <t xml:space="preserve">KWSV049 </t>
  </si>
  <si>
    <t>KWSV0410</t>
  </si>
  <si>
    <t>KWSV0412</t>
  </si>
  <si>
    <t>KWSV0415</t>
  </si>
  <si>
    <t>KWSV0420</t>
  </si>
  <si>
    <t>KWSV0425</t>
  </si>
  <si>
    <t>KWSV0430</t>
  </si>
  <si>
    <t xml:space="preserve">KWSV051 </t>
  </si>
  <si>
    <t xml:space="preserve">KWSV052 </t>
  </si>
  <si>
    <t xml:space="preserve">KWSV053 </t>
  </si>
  <si>
    <t xml:space="preserve">KWSV054 </t>
  </si>
  <si>
    <t xml:space="preserve">KWSV055 </t>
  </si>
  <si>
    <t xml:space="preserve">KWSV056 </t>
  </si>
  <si>
    <t xml:space="preserve">KWSV057 </t>
  </si>
  <si>
    <t xml:space="preserve">KWSV058 </t>
  </si>
  <si>
    <t xml:space="preserve">KWSV059 </t>
  </si>
  <si>
    <t>KWSV0510</t>
  </si>
  <si>
    <t>KWSV0512</t>
  </si>
  <si>
    <t>KWSV0515</t>
  </si>
  <si>
    <t>KWSV0520</t>
  </si>
  <si>
    <t>KWSV0525</t>
  </si>
  <si>
    <t>KWSV0530</t>
  </si>
  <si>
    <t xml:space="preserve">KWSV061 </t>
  </si>
  <si>
    <t xml:space="preserve">KWSV062 </t>
  </si>
  <si>
    <t xml:space="preserve">KWSV063 </t>
  </si>
  <si>
    <t xml:space="preserve">KWSV064 </t>
  </si>
  <si>
    <t xml:space="preserve">KWSV065 </t>
  </si>
  <si>
    <t xml:space="preserve">KWSV066 </t>
  </si>
  <si>
    <t xml:space="preserve">KWSV067 </t>
  </si>
  <si>
    <t xml:space="preserve">KWSV068 </t>
  </si>
  <si>
    <t xml:space="preserve">KWSV069 </t>
  </si>
  <si>
    <t>KWSV0610</t>
  </si>
  <si>
    <t>KWSV0612</t>
  </si>
  <si>
    <t>KWSV0615</t>
  </si>
  <si>
    <t>KWSV0620</t>
  </si>
  <si>
    <t>KWSV0625</t>
  </si>
  <si>
    <t>KWSV0630</t>
  </si>
  <si>
    <t xml:space="preserve">KWSV071 </t>
  </si>
  <si>
    <t xml:space="preserve">KWSV072 </t>
  </si>
  <si>
    <t xml:space="preserve">KWSV073 </t>
  </si>
  <si>
    <t xml:space="preserve">KWSV074 </t>
  </si>
  <si>
    <t xml:space="preserve">KWSV075 </t>
  </si>
  <si>
    <t xml:space="preserve">KWSV076 </t>
  </si>
  <si>
    <t xml:space="preserve">KWSV077 </t>
  </si>
  <si>
    <t xml:space="preserve">KWSV078 </t>
  </si>
  <si>
    <t xml:space="preserve">KWSV079 </t>
  </si>
  <si>
    <t>KWSV0710</t>
  </si>
  <si>
    <t>KWSV0712</t>
  </si>
  <si>
    <t>KWSV0715</t>
  </si>
  <si>
    <t>KWSV0720</t>
  </si>
  <si>
    <t>KWSV0725</t>
  </si>
  <si>
    <t>KWSV0730</t>
  </si>
  <si>
    <t xml:space="preserve">KWSV081 </t>
  </si>
  <si>
    <t xml:space="preserve">KWSV082 </t>
  </si>
  <si>
    <t xml:space="preserve">KWSV083 </t>
  </si>
  <si>
    <t xml:space="preserve">KWSV084 </t>
  </si>
  <si>
    <t xml:space="preserve">KWSV085 </t>
  </si>
  <si>
    <t xml:space="preserve">KWSV086 </t>
  </si>
  <si>
    <t xml:space="preserve">KWSV087 </t>
  </si>
  <si>
    <t xml:space="preserve">KWSV088 </t>
  </si>
  <si>
    <t xml:space="preserve">KWSV089 </t>
  </si>
  <si>
    <t>KWSV0810</t>
  </si>
  <si>
    <t>KWSV0812</t>
  </si>
  <si>
    <t>KWSV0815</t>
  </si>
  <si>
    <t>KWSV0820</t>
  </si>
  <si>
    <t>KWSV0825</t>
  </si>
  <si>
    <t>KWSV0830</t>
  </si>
  <si>
    <t xml:space="preserve">KWSV091 </t>
  </si>
  <si>
    <t xml:space="preserve">KWSV092 </t>
  </si>
  <si>
    <t xml:space="preserve">KWSV093 </t>
  </si>
  <si>
    <t xml:space="preserve">KWSV094 </t>
  </si>
  <si>
    <t xml:space="preserve">KWSV095 </t>
  </si>
  <si>
    <t xml:space="preserve">KWSV096 </t>
  </si>
  <si>
    <t xml:space="preserve">KWSV097 </t>
  </si>
  <si>
    <t xml:space="preserve">KWSV098 </t>
  </si>
  <si>
    <t xml:space="preserve">KWSV099 </t>
  </si>
  <si>
    <t>KWSV0910</t>
  </si>
  <si>
    <t>KWSV0912</t>
  </si>
  <si>
    <t>KWSV0915</t>
  </si>
  <si>
    <t>KWSV0920</t>
  </si>
  <si>
    <t>KWSV0925</t>
  </si>
  <si>
    <t>KWSV0930</t>
  </si>
  <si>
    <t xml:space="preserve">KWSV101 </t>
  </si>
  <si>
    <t xml:space="preserve">KWSV102 </t>
  </si>
  <si>
    <t xml:space="preserve">KWSV103 </t>
  </si>
  <si>
    <t xml:space="preserve">KWSV104 </t>
  </si>
  <si>
    <t xml:space="preserve">KWSV105 </t>
  </si>
  <si>
    <t xml:space="preserve">KWSV106 </t>
  </si>
  <si>
    <t xml:space="preserve">KWSV107 </t>
  </si>
  <si>
    <t xml:space="preserve">KWSV108 </t>
  </si>
  <si>
    <t xml:space="preserve">KWSV109 </t>
  </si>
  <si>
    <t>KWSV1010</t>
  </si>
  <si>
    <t>KWSV1012</t>
  </si>
  <si>
    <t>KWSV1015</t>
  </si>
  <si>
    <t>KWSV1020</t>
  </si>
  <si>
    <t>KWSV1025</t>
  </si>
  <si>
    <t>KWSV1030</t>
  </si>
  <si>
    <t xml:space="preserve">KWSV121 </t>
  </si>
  <si>
    <t xml:space="preserve">KWSV122 </t>
  </si>
  <si>
    <t xml:space="preserve">KWSV123 </t>
  </si>
  <si>
    <t xml:space="preserve">KWSV124 </t>
  </si>
  <si>
    <t xml:space="preserve">KWSV125 </t>
  </si>
  <si>
    <t xml:space="preserve">KWSV126 </t>
  </si>
  <si>
    <t xml:space="preserve">KWSV127 </t>
  </si>
  <si>
    <t xml:space="preserve">KWSV128 </t>
  </si>
  <si>
    <t xml:space="preserve">KWSV129 </t>
  </si>
  <si>
    <t>KWSV1210</t>
  </si>
  <si>
    <t>KWSV1212</t>
  </si>
  <si>
    <t>KWSV1215</t>
  </si>
  <si>
    <t>KWSV1220</t>
  </si>
  <si>
    <t>KWSV1225</t>
  </si>
  <si>
    <t>KWSV1230</t>
  </si>
  <si>
    <t xml:space="preserve">KWSV151 </t>
  </si>
  <si>
    <t xml:space="preserve">KWSV152 </t>
  </si>
  <si>
    <t xml:space="preserve">KWSV153 </t>
  </si>
  <si>
    <t xml:space="preserve">KWSV154 </t>
  </si>
  <si>
    <t xml:space="preserve">KWSV155 </t>
  </si>
  <si>
    <t xml:space="preserve">KWSV156 </t>
  </si>
  <si>
    <t xml:space="preserve">KWSV157 </t>
  </si>
  <si>
    <t xml:space="preserve">KWSV158 </t>
  </si>
  <si>
    <t xml:space="preserve">KWSV159 </t>
  </si>
  <si>
    <t>KWSV1510</t>
  </si>
  <si>
    <t>KWSV1512</t>
  </si>
  <si>
    <t>KWSV1515</t>
  </si>
  <si>
    <t>KWSV1520</t>
  </si>
  <si>
    <t>KWSV1525</t>
  </si>
  <si>
    <t>KWSV1530</t>
  </si>
  <si>
    <t xml:space="preserve">KWSV201 </t>
  </si>
  <si>
    <t xml:space="preserve">KWSV202 </t>
  </si>
  <si>
    <t xml:space="preserve">KWSV203 </t>
  </si>
  <si>
    <t xml:space="preserve">KWSV204 </t>
  </si>
  <si>
    <t xml:space="preserve">KWSV205 </t>
  </si>
  <si>
    <t xml:space="preserve">KWSV206 </t>
  </si>
  <si>
    <t xml:space="preserve">KWSV207 </t>
  </si>
  <si>
    <t xml:space="preserve">KWSV208 </t>
  </si>
  <si>
    <t xml:space="preserve">KWSV209 </t>
  </si>
  <si>
    <t>KWSV2010</t>
  </si>
  <si>
    <t>KWSV2012</t>
  </si>
  <si>
    <t>KWSV2015</t>
  </si>
  <si>
    <t>KWSV2020</t>
  </si>
  <si>
    <t>KWSV2025</t>
  </si>
  <si>
    <t>KWSV2030</t>
  </si>
  <si>
    <t xml:space="preserve">KWSV251 </t>
  </si>
  <si>
    <t xml:space="preserve">KWSV252 </t>
  </si>
  <si>
    <t xml:space="preserve">KWSV253 </t>
  </si>
  <si>
    <t xml:space="preserve">KWSV254 </t>
  </si>
  <si>
    <t xml:space="preserve">KWSV255 </t>
  </si>
  <si>
    <t xml:space="preserve">KWSV256 </t>
  </si>
  <si>
    <t xml:space="preserve">KWSV257 </t>
  </si>
  <si>
    <t xml:space="preserve">KWSV258 </t>
  </si>
  <si>
    <t xml:space="preserve">KWSV259 </t>
  </si>
  <si>
    <t>KWSV2510</t>
  </si>
  <si>
    <t>KWSV2512</t>
  </si>
  <si>
    <t>KWSV2515</t>
  </si>
  <si>
    <t>KWSV2520</t>
  </si>
  <si>
    <t>KWSV2525</t>
  </si>
  <si>
    <t>KWSV2530</t>
  </si>
  <si>
    <t xml:space="preserve">KWSV301 </t>
  </si>
  <si>
    <t xml:space="preserve">KWSV302 </t>
  </si>
  <si>
    <t xml:space="preserve">KWSV303 </t>
  </si>
  <si>
    <t xml:space="preserve">KWSV304 </t>
  </si>
  <si>
    <t xml:space="preserve">KWSV305 </t>
  </si>
  <si>
    <t xml:space="preserve">KWSV306 </t>
  </si>
  <si>
    <t xml:space="preserve">KWSV307 </t>
  </si>
  <si>
    <t xml:space="preserve">KWSV308 </t>
  </si>
  <si>
    <t xml:space="preserve">KWSV309 </t>
  </si>
  <si>
    <t>KWSV3010</t>
  </si>
  <si>
    <t>KWSV3012</t>
  </si>
  <si>
    <t>KWSV3015</t>
  </si>
  <si>
    <t>KWSV3020</t>
  </si>
  <si>
    <t>KWSV3025</t>
  </si>
  <si>
    <t>KWSV3030</t>
  </si>
  <si>
    <t>KWSN0A25</t>
  </si>
  <si>
    <t>KWSN0A30</t>
  </si>
  <si>
    <t xml:space="preserve">KWSN0B1 </t>
  </si>
  <si>
    <t xml:space="preserve">KWSN0B2 </t>
  </si>
  <si>
    <t xml:space="preserve">KWSN0B3 </t>
  </si>
  <si>
    <t xml:space="preserve">KWSN0B4 </t>
  </si>
  <si>
    <t xml:space="preserve">KWSN0B5 </t>
  </si>
  <si>
    <t xml:space="preserve">KWSN0B6 </t>
  </si>
  <si>
    <t xml:space="preserve">KWSN0B7 </t>
  </si>
  <si>
    <t xml:space="preserve">KWSN0B8 </t>
  </si>
  <si>
    <t xml:space="preserve">KWSN0B9 </t>
  </si>
  <si>
    <t>KWSN0B10</t>
  </si>
  <si>
    <t>KWSN0B15</t>
  </si>
  <si>
    <t>KWSN0B20</t>
  </si>
  <si>
    <t>KWSN0B25</t>
  </si>
  <si>
    <t>KWSN0B30</t>
  </si>
  <si>
    <t>KWSN0C25</t>
  </si>
  <si>
    <t>KWSN0C30</t>
  </si>
  <si>
    <t>KWSN0F25</t>
  </si>
  <si>
    <t>KWSN0F30</t>
  </si>
  <si>
    <t xml:space="preserve">KWSN0I1 </t>
  </si>
  <si>
    <t xml:space="preserve">KWSN0I2 </t>
  </si>
  <si>
    <t xml:space="preserve">KWSN0I3 </t>
  </si>
  <si>
    <t xml:space="preserve">KWSN0I4 </t>
  </si>
  <si>
    <t xml:space="preserve">KWSN0I5 </t>
  </si>
  <si>
    <t xml:space="preserve">KWSN0I6 </t>
  </si>
  <si>
    <t xml:space="preserve">KWSN0I7 </t>
  </si>
  <si>
    <t xml:space="preserve">KWSN0I8 </t>
  </si>
  <si>
    <t xml:space="preserve">KWSN0I9 </t>
  </si>
  <si>
    <t>KWSN0I10</t>
  </si>
  <si>
    <t>KWSN0I15</t>
  </si>
  <si>
    <t>KWSN0I20</t>
  </si>
  <si>
    <t>KWSN0I25</t>
  </si>
  <si>
    <t>KWSN0I30</t>
  </si>
  <si>
    <t>KWSN0125</t>
  </si>
  <si>
    <t>KWSN0130</t>
  </si>
  <si>
    <t xml:space="preserve">KWSN1F1 </t>
  </si>
  <si>
    <t xml:space="preserve">KWSN1F2 </t>
  </si>
  <si>
    <t xml:space="preserve">KWSN1F3 </t>
  </si>
  <si>
    <t xml:space="preserve">KWSN1F4 </t>
  </si>
  <si>
    <t xml:space="preserve">KWSN1F5 </t>
  </si>
  <si>
    <t xml:space="preserve">KWSN1F6 </t>
  </si>
  <si>
    <t xml:space="preserve">KWSN1F7 </t>
  </si>
  <si>
    <t xml:space="preserve">KWSN1F8 </t>
  </si>
  <si>
    <t xml:space="preserve">KWSN1F9 </t>
  </si>
  <si>
    <t>KWSN1F10</t>
  </si>
  <si>
    <t>KWSN1F15</t>
  </si>
  <si>
    <t>KWSN1F20</t>
  </si>
  <si>
    <t>KWSN1F25</t>
  </si>
  <si>
    <t>KWSN1F30</t>
  </si>
  <si>
    <t>KWSN0225</t>
  </si>
  <si>
    <t>KWSN0230</t>
  </si>
  <si>
    <t xml:space="preserve">KWSN031 </t>
  </si>
  <si>
    <t xml:space="preserve">KWSN032 </t>
  </si>
  <si>
    <t xml:space="preserve">KWSN033 </t>
  </si>
  <si>
    <t xml:space="preserve">KWSN034 </t>
  </si>
  <si>
    <t xml:space="preserve">KWSN035 </t>
  </si>
  <si>
    <t xml:space="preserve">KWSN036 </t>
  </si>
  <si>
    <t xml:space="preserve">KWSN037 </t>
  </si>
  <si>
    <t xml:space="preserve">KWSN038 </t>
  </si>
  <si>
    <t xml:space="preserve">KWSN039 </t>
  </si>
  <si>
    <t>KWSN0310</t>
  </si>
  <si>
    <t>KWSN0315</t>
  </si>
  <si>
    <t>KWSN0320</t>
  </si>
  <si>
    <t>KWSN0325</t>
  </si>
  <si>
    <t>KWSN0330</t>
  </si>
  <si>
    <t xml:space="preserve">KWSN041 </t>
  </si>
  <si>
    <t xml:space="preserve">KWSN042 </t>
  </si>
  <si>
    <t xml:space="preserve">KWSN043 </t>
  </si>
  <si>
    <t xml:space="preserve">KWSN044 </t>
  </si>
  <si>
    <t xml:space="preserve">KWSN045 </t>
  </si>
  <si>
    <t xml:space="preserve">KWSN046 </t>
  </si>
  <si>
    <t xml:space="preserve">KWSN047 </t>
  </si>
  <si>
    <t xml:space="preserve">KWSN048 </t>
  </si>
  <si>
    <t xml:space="preserve">KWSN049 </t>
  </si>
  <si>
    <t>KWSN0410</t>
  </si>
  <si>
    <t>KWSN0415</t>
  </si>
  <si>
    <t>KWSN0420</t>
  </si>
  <si>
    <t>KWSN0425</t>
  </si>
  <si>
    <t>KWSN0430</t>
  </si>
  <si>
    <t>KWSN0525</t>
  </si>
  <si>
    <t>KWSN0530</t>
  </si>
  <si>
    <t xml:space="preserve">KWSN061 </t>
  </si>
  <si>
    <t xml:space="preserve">KWSN062 </t>
  </si>
  <si>
    <t xml:space="preserve">KWSN063 </t>
  </si>
  <si>
    <t xml:space="preserve">KWSN064 </t>
  </si>
  <si>
    <t xml:space="preserve">KWSN065 </t>
  </si>
  <si>
    <t xml:space="preserve">KWSN066 </t>
  </si>
  <si>
    <t xml:space="preserve">KWSN067 </t>
  </si>
  <si>
    <t xml:space="preserve">KWSN068 </t>
  </si>
  <si>
    <t xml:space="preserve">KWSN069 </t>
  </si>
  <si>
    <t>KWSN0610</t>
  </si>
  <si>
    <t>KWSN0615</t>
  </si>
  <si>
    <t>KWSN0620</t>
  </si>
  <si>
    <t>KWSN0625</t>
  </si>
  <si>
    <t>KWSN0630</t>
  </si>
  <si>
    <t xml:space="preserve">KWSN071 </t>
  </si>
  <si>
    <t xml:space="preserve">KWSN072 </t>
  </si>
  <si>
    <t xml:space="preserve">KWSN073 </t>
  </si>
  <si>
    <t xml:space="preserve">KWSN074 </t>
  </si>
  <si>
    <t xml:space="preserve">KWSN075 </t>
  </si>
  <si>
    <t xml:space="preserve">KWSN076 </t>
  </si>
  <si>
    <t xml:space="preserve">KWSN077 </t>
  </si>
  <si>
    <t xml:space="preserve">KWSN078 </t>
  </si>
  <si>
    <t xml:space="preserve">KWSN079 </t>
  </si>
  <si>
    <t>KWSN0710</t>
  </si>
  <si>
    <t>KWSN0715</t>
  </si>
  <si>
    <t>KWSN0720</t>
  </si>
  <si>
    <t>KWSN0725</t>
  </si>
  <si>
    <t>KWSN0730</t>
  </si>
  <si>
    <t xml:space="preserve">KWSN081 </t>
  </si>
  <si>
    <t xml:space="preserve">KWSN082 </t>
  </si>
  <si>
    <t xml:space="preserve">KWSN083 </t>
  </si>
  <si>
    <t xml:space="preserve">KWSN084 </t>
  </si>
  <si>
    <t xml:space="preserve">KWSN085 </t>
  </si>
  <si>
    <t xml:space="preserve">KWSN086 </t>
  </si>
  <si>
    <t xml:space="preserve">KWSN087 </t>
  </si>
  <si>
    <t xml:space="preserve">KWSN088 </t>
  </si>
  <si>
    <t xml:space="preserve">KWSN089 </t>
  </si>
  <si>
    <t>KWSN0810</t>
  </si>
  <si>
    <t>KWSN0815</t>
  </si>
  <si>
    <t>KWSN0820</t>
  </si>
  <si>
    <t>KWSN0825</t>
  </si>
  <si>
    <t>KWSN0830</t>
  </si>
  <si>
    <t xml:space="preserve">KWSN091 </t>
  </si>
  <si>
    <t xml:space="preserve">KWSN092 </t>
  </si>
  <si>
    <t xml:space="preserve">KWSN093 </t>
  </si>
  <si>
    <t xml:space="preserve">KWSN094 </t>
  </si>
  <si>
    <t xml:space="preserve">KWSN095 </t>
  </si>
  <si>
    <t xml:space="preserve">KWSN096 </t>
  </si>
  <si>
    <t xml:space="preserve">KWSN097 </t>
  </si>
  <si>
    <t xml:space="preserve">KWSN098 </t>
  </si>
  <si>
    <t xml:space="preserve">KWSN099 </t>
  </si>
  <si>
    <t>KWSN0910</t>
  </si>
  <si>
    <t>KWSN0915</t>
  </si>
  <si>
    <t>KWSN0920</t>
  </si>
  <si>
    <t>KWSN0925</t>
  </si>
  <si>
    <t>KWSN0930</t>
  </si>
  <si>
    <t>KWSN1025</t>
  </si>
  <si>
    <t>KWSN1030</t>
  </si>
  <si>
    <t>KWSN1525</t>
  </si>
  <si>
    <t>KWSN1530</t>
  </si>
  <si>
    <t>KWSN2025</t>
  </si>
  <si>
    <t>KWSN2030</t>
  </si>
  <si>
    <t xml:space="preserve">KWSN251 </t>
  </si>
  <si>
    <t xml:space="preserve">KWSN252 </t>
  </si>
  <si>
    <t xml:space="preserve">KWSN253 </t>
  </si>
  <si>
    <t xml:space="preserve">KWSN254 </t>
  </si>
  <si>
    <t xml:space="preserve">KWSN255 </t>
  </si>
  <si>
    <t xml:space="preserve">KWSN256 </t>
  </si>
  <si>
    <t xml:space="preserve">KWSN257 </t>
  </si>
  <si>
    <t xml:space="preserve">KWSN258 </t>
  </si>
  <si>
    <t xml:space="preserve">KWSN259 </t>
  </si>
  <si>
    <t>KWSN2510</t>
  </si>
  <si>
    <t>KWSN2515</t>
  </si>
  <si>
    <t>KWSN2520</t>
  </si>
  <si>
    <t>KWSN2525</t>
  </si>
  <si>
    <t>KWSN2530</t>
  </si>
  <si>
    <t xml:space="preserve">KWSN301 </t>
  </si>
  <si>
    <t xml:space="preserve">KWSN302 </t>
  </si>
  <si>
    <t xml:space="preserve">KWSN303 </t>
  </si>
  <si>
    <t xml:space="preserve">KWSN304 </t>
  </si>
  <si>
    <t xml:space="preserve">KWSN305 </t>
  </si>
  <si>
    <t xml:space="preserve">KWSN306 </t>
  </si>
  <si>
    <t xml:space="preserve">KWSN307 </t>
  </si>
  <si>
    <t xml:space="preserve">KWSN308 </t>
  </si>
  <si>
    <t xml:space="preserve">KWSN309 </t>
  </si>
  <si>
    <t>KWSN3010</t>
  </si>
  <si>
    <t>KWSN3015</t>
  </si>
  <si>
    <t>KWSN3020</t>
  </si>
  <si>
    <t>KWSN3025</t>
  </si>
  <si>
    <t>KWSN3030</t>
  </si>
  <si>
    <t>2Mo</t>
  </si>
  <si>
    <t>18Mo</t>
  </si>
  <si>
    <t>KRWA0A01 BVOL Curncy</t>
  </si>
  <si>
    <t>er</t>
    <phoneticPr fontId="2" type="noConversion"/>
  </si>
  <si>
    <t>KRWSW020 (KRW Swap on Q (V91D)</t>
    <phoneticPr fontId="2" type="noConversion"/>
  </si>
  <si>
    <t>GIP</t>
    <phoneticPr fontId="2" type="noConversion"/>
  </si>
  <si>
    <t>KRW SWAP</t>
    <phoneticPr fontId="2" type="noConversion"/>
  </si>
  <si>
    <t>intrady tick &amp; news</t>
    <phoneticPr fontId="2" type="noConversion"/>
  </si>
  <si>
    <t>NI SWAPS</t>
    <phoneticPr fontId="2" type="noConversion"/>
  </si>
  <si>
    <t>news</t>
    <phoneticPr fontId="2" type="noConversion"/>
  </si>
  <si>
    <t>SWAPTION</t>
    <phoneticPr fontId="2" type="noConversion"/>
  </si>
  <si>
    <t>VCUB</t>
    <phoneticPr fontId="2" type="noConversion"/>
  </si>
  <si>
    <t>OVDV</t>
    <phoneticPr fontId="2" type="noConversion"/>
  </si>
  <si>
    <t>SWPM -Swaption</t>
    <phoneticPr fontId="2" type="noConversion"/>
  </si>
  <si>
    <t>Bloomberg Quotes</t>
    <phoneticPr fontId="2" type="noConversion"/>
  </si>
  <si>
    <t>HS</t>
    <phoneticPr fontId="2" type="noConversion"/>
  </si>
  <si>
    <t>Spread Analysis</t>
    <phoneticPr fontId="2" type="noConversion"/>
  </si>
  <si>
    <t>Analysis</t>
    <phoneticPr fontId="2" type="noConversion"/>
  </si>
  <si>
    <t>BI</t>
    <phoneticPr fontId="2" type="noConversion"/>
  </si>
  <si>
    <t>RES</t>
    <phoneticPr fontId="2" type="noConversion"/>
  </si>
  <si>
    <t>USDKRW Vol Surfacer</t>
    <phoneticPr fontId="2" type="noConversion"/>
  </si>
  <si>
    <t>GP</t>
    <phoneticPr fontId="2" type="noConversion"/>
  </si>
  <si>
    <t>Line Chart daily</t>
    <phoneticPr fontId="2" type="noConversion"/>
  </si>
  <si>
    <t>PC</t>
    <phoneticPr fontId="2" type="noConversion"/>
  </si>
  <si>
    <t>correlation</t>
    <phoneticPr fontId="2" type="noConversion"/>
  </si>
  <si>
    <t>NSV</t>
    <phoneticPr fontId="2" type="noConversion"/>
  </si>
  <si>
    <t>ATM Volsurface</t>
    <phoneticPr fontId="2" type="noConversion"/>
  </si>
  <si>
    <t>Cap</t>
    <phoneticPr fontId="2" type="noConversion"/>
  </si>
  <si>
    <t>Floor</t>
    <phoneticPr fontId="2" type="noConversion"/>
  </si>
  <si>
    <t>by Tenor, Expiry, Straddle, Strike</t>
    <phoneticPr fontId="2" type="noConversion"/>
  </si>
  <si>
    <t>NSV</t>
    <phoneticPr fontId="2" type="noConversion"/>
  </si>
  <si>
    <t xml:space="preserve">   LCLS Curncy</t>
    <phoneticPr fontId="2" type="noConversion"/>
  </si>
  <si>
    <r>
      <t xml:space="preserve">OTM - Normal Skew or Black Skew (LCLS) </t>
    </r>
    <r>
      <rPr>
        <sz val="11"/>
        <color theme="1"/>
        <rFont val="맑은 고딕"/>
        <family val="3"/>
        <charset val="129"/>
      </rPr>
      <t>》</t>
    </r>
    <r>
      <rPr>
        <sz val="11"/>
        <color theme="1"/>
        <rFont val="맑은 고딕"/>
        <family val="2"/>
        <charset val="129"/>
      </rPr>
      <t xml:space="preserve"> for SABR Cube</t>
    </r>
    <phoneticPr fontId="2" type="noConversion"/>
  </si>
  <si>
    <t>KWSN0A1 BBIR Curncy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</si>
</sst>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"/>
  </numFmts>
  <fonts count="13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b/>
      <sz val="11"/>
      <color indexed="9"/>
      <name val="Calibri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6" borderId="0"/>
    <xf numFmtId="9" fontId="10" fillId="0" borderId="0" applyFon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1" fillId="0" borderId="0" xfId="0" applyFont="1">
      <alignment vertical="center"/>
    </xf>
    <xf numFmtId="14" fontId="1" fillId="0" borderId="0" xfId="0" applyNumberFormat="1" applyFont="1">
      <alignment vertical="center"/>
    </xf>
    <xf numFmtId="0" fontId="3" fillId="0" borderId="0" xfId="0" applyFont="1">
      <alignment vertical="center"/>
    </xf>
    <xf numFmtId="14" fontId="1" fillId="2" borderId="0" xfId="0" applyNumberFormat="1" applyFont="1" applyFill="1">
      <alignment vertical="center"/>
    </xf>
    <xf numFmtId="0" fontId="1" fillId="2" borderId="0" xfId="0" applyFont="1" applyFill="1">
      <alignment vertical="center"/>
    </xf>
    <xf numFmtId="0" fontId="4" fillId="0" borderId="0" xfId="0" applyFont="1" applyAlignment="1"/>
    <xf numFmtId="10" fontId="4" fillId="0" borderId="0" xfId="0" applyNumberFormat="1" applyFont="1" applyAlignment="1"/>
    <xf numFmtId="0" fontId="4" fillId="3" borderId="0" xfId="0" applyFont="1" applyFill="1" applyAlignment="1"/>
    <xf numFmtId="0" fontId="1" fillId="3" borderId="0" xfId="0" applyFont="1" applyFill="1">
      <alignment vertical="center"/>
    </xf>
    <xf numFmtId="0" fontId="0" fillId="3" borderId="0" xfId="0" applyFill="1">
      <alignment vertical="center"/>
    </xf>
    <xf numFmtId="2" fontId="1" fillId="0" borderId="0" xfId="0" applyNumberFormat="1" applyFont="1">
      <alignment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4" xfId="0" applyFont="1" applyBorder="1">
      <alignment vertical="center"/>
    </xf>
    <xf numFmtId="2" fontId="1" fillId="0" borderId="0" xfId="0" applyNumberFormat="1" applyFont="1" applyBorder="1">
      <alignment vertical="center"/>
    </xf>
    <xf numFmtId="2" fontId="1" fillId="0" borderId="5" xfId="0" applyNumberFormat="1" applyFont="1" applyBorder="1">
      <alignment vertical="center"/>
    </xf>
    <xf numFmtId="0" fontId="1" fillId="0" borderId="6" xfId="0" applyFont="1" applyBorder="1">
      <alignment vertical="center"/>
    </xf>
    <xf numFmtId="2" fontId="1" fillId="0" borderId="7" xfId="0" applyNumberFormat="1" applyFont="1" applyBorder="1">
      <alignment vertical="center"/>
    </xf>
    <xf numFmtId="2" fontId="1" fillId="0" borderId="8" xfId="0" applyNumberFormat="1" applyFont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14" fontId="1" fillId="0" borderId="4" xfId="0" applyNumberFormat="1" applyFont="1" applyBorder="1">
      <alignment vertical="center"/>
    </xf>
    <xf numFmtId="0" fontId="1" fillId="0" borderId="0" xfId="0" applyFont="1" applyBorder="1">
      <alignment vertical="center"/>
    </xf>
    <xf numFmtId="14" fontId="1" fillId="0" borderId="6" xfId="0" applyNumberFormat="1" applyFont="1" applyBorder="1">
      <alignment vertical="center"/>
    </xf>
    <xf numFmtId="0" fontId="1" fillId="0" borderId="7" xfId="0" applyFont="1" applyBorder="1">
      <alignment vertical="center"/>
    </xf>
    <xf numFmtId="0" fontId="1" fillId="4" borderId="1" xfId="0" applyFont="1" applyFill="1" applyBorder="1">
      <alignment vertical="center"/>
    </xf>
    <xf numFmtId="2" fontId="1" fillId="2" borderId="5" xfId="0" applyNumberFormat="1" applyFont="1" applyFill="1" applyBorder="1">
      <alignment vertical="center"/>
    </xf>
    <xf numFmtId="2" fontId="1" fillId="2" borderId="8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1" fillId="5" borderId="0" xfId="0" applyFont="1" applyFill="1">
      <alignment vertical="center"/>
    </xf>
    <xf numFmtId="0" fontId="5" fillId="0" borderId="0" xfId="0" applyFont="1">
      <alignment vertical="center"/>
    </xf>
    <xf numFmtId="14" fontId="5" fillId="0" borderId="0" xfId="0" applyNumberFormat="1" applyFont="1">
      <alignment vertical="center"/>
    </xf>
    <xf numFmtId="0" fontId="6" fillId="6" borderId="0" xfId="1" applyNumberFormat="1" applyFont="1" applyFill="1" applyBorder="1" applyAlignment="1" applyProtection="1"/>
    <xf numFmtId="0" fontId="0" fillId="0" borderId="0" xfId="0" applyAlignment="1"/>
    <xf numFmtId="0" fontId="7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Border="1">
      <alignment vertical="center"/>
    </xf>
    <xf numFmtId="2" fontId="0" fillId="0" borderId="5" xfId="0" applyNumberFormat="1" applyBorder="1">
      <alignment vertical="center"/>
    </xf>
    <xf numFmtId="2" fontId="0" fillId="0" borderId="7" xfId="0" applyNumberFormat="1" applyBorder="1">
      <alignment vertical="center"/>
    </xf>
    <xf numFmtId="2" fontId="0" fillId="0" borderId="8" xfId="0" applyNumberFormat="1" applyBorder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7" fillId="0" borderId="0" xfId="0" applyNumberFormat="1" applyFont="1">
      <alignment vertical="center"/>
    </xf>
    <xf numFmtId="0" fontId="6" fillId="6" borderId="1" xfId="1" applyNumberFormat="1" applyFont="1" applyFill="1" applyBorder="1" applyAlignment="1" applyProtection="1"/>
    <xf numFmtId="0" fontId="6" fillId="6" borderId="2" xfId="1" applyNumberFormat="1" applyFont="1" applyFill="1" applyBorder="1" applyAlignment="1" applyProtection="1"/>
    <xf numFmtId="0" fontId="6" fillId="6" borderId="3" xfId="1" applyNumberFormat="1" applyFont="1" applyFill="1" applyBorder="1" applyAlignment="1" applyProtection="1"/>
    <xf numFmtId="0" fontId="1" fillId="0" borderId="5" xfId="0" applyFont="1" applyBorder="1">
      <alignment vertical="center"/>
    </xf>
    <xf numFmtId="0" fontId="1" fillId="0" borderId="8" xfId="0" applyFont="1" applyBorder="1">
      <alignment vertical="center"/>
    </xf>
    <xf numFmtId="16" fontId="4" fillId="0" borderId="0" xfId="0" applyNumberFormat="1" applyFont="1" applyAlignment="1"/>
    <xf numFmtId="0" fontId="1" fillId="0" borderId="0" xfId="0" applyFont="1" applyAlignment="1">
      <alignment horizontal="center" vertical="center"/>
    </xf>
    <xf numFmtId="0" fontId="1" fillId="3" borderId="0" xfId="0" applyFont="1" applyFill="1" applyBorder="1">
      <alignment vertical="center"/>
    </xf>
    <xf numFmtId="0" fontId="6" fillId="3" borderId="0" xfId="1" applyNumberFormat="1" applyFont="1" applyFill="1" applyBorder="1" applyAlignment="1" applyProtection="1"/>
    <xf numFmtId="0" fontId="0" fillId="3" borderId="0" xfId="0" applyFill="1" applyBorder="1" applyAlignment="1"/>
    <xf numFmtId="0" fontId="0" fillId="0" borderId="9" xfId="0" applyBorder="1">
      <alignment vertical="center"/>
    </xf>
    <xf numFmtId="9" fontId="1" fillId="3" borderId="0" xfId="2" applyFont="1" applyFill="1" applyBorder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blp_column_header" xfId="1"/>
    <cellStyle name="백분율" xfId="2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BDH|10765117960928468534</stp>
        <tr r="Y35" s="32"/>
      </tp>
      <tp t="e">
        <v>#N/A</v>
        <stp/>
        <stp>BDH|11781873232362749245</stp>
        <tr r="Z81" s="32"/>
      </tp>
      <tp t="e">
        <v>#N/A</v>
        <stp/>
        <stp>BDH|15740634830578483214</stp>
        <tr r="W205" s="39"/>
      </tp>
      <tp t="e">
        <v>#N/A</v>
        <stp/>
        <stp>BDH|11304872300644027759</stp>
        <tr r="U107" s="32"/>
      </tp>
      <tp t="e">
        <v>#N/A</v>
        <stp/>
        <stp>BDH|12077048548384472895</stp>
        <tr r="Y136" s="39"/>
      </tp>
      <tp t="e">
        <v>#N/A</v>
        <stp/>
        <stp>BDH|11874964828545273552</stp>
        <tr r="Y20" s="32"/>
      </tp>
      <tp t="e">
        <v>#N/A</v>
        <stp/>
        <stp>BDH|13806694190447106112</stp>
        <tr r="T30" s="35"/>
      </tp>
      <tp t="e">
        <v>#N/A</v>
        <stp/>
        <stp>BDH|13729391861619605584</stp>
        <tr r="W46" s="32"/>
      </tp>
      <tp t="e">
        <v>#N/A</v>
        <stp/>
        <stp>BDH|14914583586985132678</stp>
        <tr r="Z20" s="35"/>
      </tp>
      <tp t="e">
        <v>#N/A</v>
        <stp/>
        <stp>BDH|10305548983394476318</stp>
        <tr r="S213" s="39"/>
      </tp>
      <tp t="e">
        <v>#N/A</v>
        <stp/>
        <stp>BDH|13226774011016609928</stp>
        <tr r="AA209" s="39"/>
      </tp>
      <tp t="e">
        <v>#N/A</v>
        <stp/>
        <stp>BDH|18423109704684537753</stp>
        <tr r="D25" s="22"/>
      </tp>
      <tp t="e">
        <v>#N/A</v>
        <stp/>
        <stp>BDH|10632876427215380552</stp>
        <tr r="AF24" s="36"/>
      </tp>
      <tp t="e">
        <v>#N/A</v>
        <stp/>
        <stp>BDH|15462012810128782621</stp>
        <tr r="D19" s="35"/>
      </tp>
      <tp t="e">
        <v>#N/A</v>
        <stp/>
        <stp>BDH|13875500987637935363</stp>
        <tr r="H26" s="36"/>
      </tp>
      <tp t="e">
        <v>#N/A</v>
        <stp/>
        <stp>BDH|13451977150710120526</stp>
        <tr r="T123" s="39"/>
      </tp>
      <tp t="e">
        <v>#N/A</v>
        <stp/>
        <stp>BDH|14174092445993921948</stp>
        <tr r="Y81" s="32"/>
      </tp>
      <tp t="e">
        <v>#N/A</v>
        <stp/>
        <stp>BDH|17376884204997904254</stp>
        <tr r="Q195" s="39"/>
      </tp>
      <tp t="e">
        <v>#N/A</v>
        <stp/>
        <stp>BDH|14216350808745990853</stp>
        <tr r="L36" s="38"/>
      </tp>
      <tp t="e">
        <v>#N/A</v>
        <stp/>
        <stp>BDH|13395996132794309784</stp>
        <tr r="M30" s="36"/>
      </tp>
      <tp t="e">
        <v>#N/A</v>
        <stp/>
        <stp>BDH|12430574352610326811</stp>
        <tr r="X189" s="39"/>
      </tp>
      <tp t="e">
        <v>#N/A</v>
        <stp/>
        <stp>BDH|17632959655279781822</stp>
        <tr r="Y14" s="32"/>
      </tp>
      <tp t="e">
        <v>#N/A</v>
        <stp/>
        <stp>BDH|14527113876178718066</stp>
        <tr r="J31" s="37"/>
      </tp>
      <tp t="e">
        <v>#N/A</v>
        <stp/>
        <stp>BDH|11277299489606380725</stp>
        <tr r="Q140" s="39"/>
      </tp>
      <tp t="e">
        <v>#N/A</v>
        <stp/>
        <stp>BDH|12424223596205589674</stp>
        <tr r="AB28" s="35"/>
      </tp>
      <tp t="e">
        <v>#N/A</v>
        <stp/>
        <stp>BDH|17624559725248704236</stp>
        <tr r="R151" s="39"/>
      </tp>
      <tp t="e">
        <v>#N/A</v>
        <stp/>
        <stp>BDH|12511906063876152154</stp>
        <tr r="I28" s="37"/>
      </tp>
      <tp t="e">
        <v>#N/A</v>
        <stp/>
        <stp>BDH|15431365649390984801</stp>
        <tr r="AI25" s="36"/>
      </tp>
      <tp t="e">
        <v>#N/A</v>
        <stp/>
        <stp>BDH|13484871400867847696</stp>
        <tr r="V37" s="32"/>
      </tp>
      <tp t="e">
        <v>#N/A</v>
        <stp/>
        <stp>BDH|10218566945489329202</stp>
        <tr r="AC59" s="32"/>
      </tp>
      <tp t="e">
        <v>#N/A</v>
        <stp/>
        <stp>BDH|10718837605747299519</stp>
        <tr r="X163" s="39"/>
      </tp>
      <tp t="e">
        <v>#N/A</v>
        <stp/>
        <stp>BDH|15059091564158938163</stp>
        <tr r="W61" s="32"/>
      </tp>
      <tp t="e">
        <v>#N/A</v>
        <stp/>
        <stp>BDH|12495756515099129706</stp>
        <tr r="R200" s="39"/>
      </tp>
      <tp t="e">
        <v>#N/A</v>
        <stp/>
        <stp>BDH|17523423498610910038</stp>
        <tr r="S39" s="32"/>
      </tp>
      <tp t="e">
        <v>#N/A</v>
        <stp/>
        <stp>BDH|15547639942164377926</stp>
        <tr r="T59" s="32"/>
      </tp>
      <tp t="e">
        <v>#N/A</v>
        <stp/>
        <stp>BDH|17335493338788557221</stp>
        <tr r="Z9" s="32"/>
      </tp>
      <tp t="e">
        <v>#N/A</v>
        <stp/>
        <stp>BDH|10024507075689886190</stp>
        <tr r="U19" s="35"/>
      </tp>
      <tp t="e">
        <v>#N/A</v>
        <stp/>
        <stp>BDH|14550969618261612794</stp>
        <tr r="B27" s="34"/>
      </tp>
      <tp t="e">
        <v>#N/A</v>
        <stp/>
        <stp>BDH|13574518850198129116</stp>
        <tr r="W25" s="32"/>
      </tp>
      <tp t="e">
        <v>#N/A</v>
        <stp/>
        <stp>BDH|14758049746218299238</stp>
        <tr r="R165" s="39"/>
      </tp>
      <tp t="e">
        <v>#N/A</v>
        <stp/>
        <stp>BDH|15939231231127896976</stp>
        <tr r="W34" s="32"/>
      </tp>
      <tp t="e">
        <v>#N/A</v>
        <stp/>
        <stp>BDH|17500273904109064626</stp>
        <tr r="Z133" s="39"/>
      </tp>
      <tp t="e">
        <v>#N/A</v>
        <stp/>
        <stp>BDH|13614094588220743178</stp>
        <tr r="R54" s="32"/>
      </tp>
      <tp t="e">
        <v>#N/A</v>
        <stp/>
        <stp>BDH|13775196231192871909</stp>
        <tr r="R36" s="32"/>
      </tp>
      <tp t="e">
        <v>#N/A</v>
        <stp/>
        <stp>BDH|14304555954439797725</stp>
        <tr r="E26" s="24"/>
      </tp>
      <tp t="e">
        <v>#N/A</v>
        <stp/>
        <stp>BDH|18347297252570630599</stp>
        <tr r="R53" s="32"/>
      </tp>
      <tp t="e">
        <v>#N/A</v>
        <stp/>
        <stp>BDH|17628005997214520034</stp>
        <tr r="T187" s="39"/>
      </tp>
      <tp t="e">
        <v>#N/A</v>
        <stp/>
        <stp>BDH|14058477322460474863</stp>
        <tr r="R38" s="32"/>
      </tp>
      <tp t="e">
        <v>#N/A</v>
        <stp/>
        <stp>BDH|13610841715584824485</stp>
        <tr r="AB164" s="39"/>
        <tr r="AC164" s="39"/>
      </tp>
      <tp t="e">
        <v>#N/A</v>
        <stp/>
        <stp>BDH|11933461938465844985</stp>
        <tr r="U158" s="39"/>
      </tp>
      <tp t="e">
        <v>#N/A</v>
        <stp/>
        <stp>BDH|14236996769372277377</stp>
        <tr r="W164" s="39"/>
      </tp>
      <tp t="e">
        <v>#N/A</v>
        <stp/>
        <stp>BDH|12506262854299904696</stp>
        <tr r="AD66" s="32"/>
      </tp>
      <tp t="e">
        <v>#N/A</v>
        <stp/>
        <stp>BDH|10147506872390721836</stp>
        <tr r="U103" s="32"/>
      </tp>
      <tp t="e">
        <v>#N/A</v>
        <stp/>
        <stp>BDH|14557714695880243049</stp>
        <tr r="Y122" s="39"/>
      </tp>
      <tp t="e">
        <v>#N/A</v>
        <stp/>
        <stp>BDH|16091405551824784918</stp>
        <tr r="R89" s="32"/>
      </tp>
      <tp t="e">
        <v>#N/A</v>
        <stp/>
        <stp>BDH|10233301084333685260</stp>
        <tr r="AA214" s="39"/>
      </tp>
      <tp t="e">
        <v>#N/A</v>
        <stp/>
        <stp>BDH|16601706502513749859</stp>
        <tr r="U43" s="32"/>
      </tp>
      <tp t="e">
        <v>#N/A</v>
        <stp/>
        <stp>BDH|13592417397065125140</stp>
        <tr r="R23" s="35"/>
      </tp>
      <tp t="e">
        <v>#N/A</v>
        <stp/>
        <stp>BDH|12492820925615795725</stp>
        <tr r="R58" s="32"/>
      </tp>
      <tp t="e">
        <v>#N/A</v>
        <stp/>
        <stp>BDH|16136337333678506422</stp>
        <tr r="W171" s="39"/>
      </tp>
      <tp t="e">
        <v>#N/A</v>
        <stp/>
        <stp>BDH|16638904511404649077</stp>
        <tr r="V206" s="39"/>
      </tp>
      <tp t="e">
        <v>#N/A</v>
        <stp/>
        <stp>BDH|16203700175449170504</stp>
        <tr r="N33" s="36"/>
      </tp>
      <tp t="e">
        <v>#N/A</v>
        <stp/>
        <stp>BDH|11076058644018283753</stp>
        <tr r="AD29" s="32"/>
      </tp>
      <tp t="e">
        <v>#N/A</v>
        <stp/>
        <stp>BDH|13612858112529067983</stp>
        <tr r="Y169" s="39"/>
      </tp>
      <tp t="e">
        <v>#N/A</v>
        <stp/>
        <stp>BDH|15853080183266270188</stp>
        <tr r="T41" s="32"/>
      </tp>
      <tp t="e">
        <v>#N/A</v>
        <stp/>
        <stp>BDH|12198785182144473365</stp>
        <tr r="AI32" s="36"/>
      </tp>
      <tp t="e">
        <v>#N/A</v>
        <stp/>
        <stp>BDH|13285947339144476726</stp>
        <tr r="C28" s="34"/>
      </tp>
      <tp t="e">
        <v>#N/A</v>
        <stp/>
        <stp>BDH|16483920662645852656</stp>
        <tr r="X23" s="35"/>
      </tp>
      <tp t="e">
        <v>#N/A</v>
        <stp/>
        <stp>BDH|10160126289034259714</stp>
        <tr r="Y145" s="39"/>
      </tp>
      <tp t="e">
        <v>#N/A</v>
        <stp/>
        <stp>BDH|14796398607568973596</stp>
        <tr r="U133" s="39"/>
      </tp>
      <tp t="e">
        <v>#N/A</v>
        <stp/>
        <stp>BDH|11479268386410478198</stp>
        <tr r="W24" s="32"/>
      </tp>
      <tp t="e">
        <v>#N/A</v>
        <stp/>
        <stp>BDH|11756290796541326139</stp>
        <tr r="Y205" s="39"/>
      </tp>
      <tp t="e">
        <v>#N/A</v>
        <stp/>
        <stp>BDH|11960959106246679440</stp>
        <tr r="R22" s="22"/>
      </tp>
      <tp t="e">
        <v>#N/A</v>
        <stp/>
        <stp>BDH|16667179831026071882</stp>
        <tr r="AA101" s="32"/>
      </tp>
      <tp t="e">
        <v>#N/A</v>
        <stp/>
        <stp>BDH|13813499973708843221</stp>
        <tr r="Q23" s="36"/>
      </tp>
      <tp t="e">
        <v>#N/A</v>
        <stp/>
        <stp>BDH|11916913247464484237</stp>
        <tr r="X200" s="39"/>
      </tp>
      <tp t="e">
        <v>#N/A</v>
        <stp/>
        <stp>BDH|12614467628207991995</stp>
        <tr r="T199" s="39"/>
      </tp>
      <tp t="e">
        <v>#N/A</v>
        <stp/>
        <stp>BDH|13522315811189899253</stp>
        <tr r="S21" s="35"/>
      </tp>
      <tp t="e">
        <v>#N/A</v>
        <stp/>
        <stp>BDH|11616602025407844830</stp>
        <tr r="X4" s="32"/>
      </tp>
      <tp t="e">
        <v>#N/A</v>
        <stp/>
        <stp>BDH|18145310609426309726</stp>
        <tr r="AD77" s="32"/>
      </tp>
      <tp t="e">
        <v>#N/A</v>
        <stp/>
        <stp>BDH|13003290090426904480</stp>
        <tr r="AC106" s="32"/>
      </tp>
      <tp t="e">
        <v>#N/A</v>
        <stp/>
        <stp>BDH|15661277652221072988</stp>
        <tr r="I29" s="36"/>
      </tp>
      <tp t="e">
        <v>#N/A</v>
        <stp/>
        <stp>BDH|10846278180753411306</stp>
        <tr r="AB217" s="39"/>
        <tr r="AC217" s="39"/>
      </tp>
      <tp t="e">
        <v>#N/A</v>
        <stp/>
        <stp>BDH|13717996414677206631</stp>
        <tr r="T11" s="32"/>
      </tp>
      <tp t="e">
        <v>#N/A</v>
        <stp/>
        <stp>BDH|11470261539479565353</stp>
        <tr r="L26" s="35"/>
      </tp>
      <tp t="e">
        <v>#N/A</v>
        <stp/>
        <stp>BDH|15106901196599552695</stp>
        <tr r="O33" s="36"/>
      </tp>
      <tp t="e">
        <v>#N/A</v>
        <stp/>
        <stp>BDH|10508450959473575877</stp>
        <tr r="Z35" s="36"/>
      </tp>
      <tp t="e">
        <v>#N/A</v>
        <stp/>
        <stp>BDH|17873849986598809580</stp>
        <tr r="N20" s="22"/>
      </tp>
      <tp t="e">
        <v>#N/A</v>
        <stp/>
        <stp>BDH|15923332295942167746</stp>
        <tr r="R123" s="39"/>
      </tp>
      <tp t="e">
        <v>#N/A</v>
        <stp/>
        <stp>BDH|18310253909432451212</stp>
        <tr r="AA31" s="36"/>
      </tp>
      <tp t="e">
        <v>#N/A</v>
        <stp/>
        <stp>BDH|16093859961182788099</stp>
        <tr r="Z149" s="39"/>
      </tp>
      <tp t="e">
        <v>#N/A</v>
        <stp/>
        <stp>BDH|17225726556638384780</stp>
        <tr r="AA148" s="39"/>
      </tp>
      <tp t="e">
        <v>#N/A</v>
        <stp/>
        <stp>BDH|14194032566110160886</stp>
        <tr r="H33" s="38"/>
      </tp>
      <tp t="e">
        <v>#N/A</v>
        <stp/>
        <stp>BDH|17147898837653010525</stp>
        <tr r="AA39" s="22"/>
        <tr r="AA39" s="35"/>
      </tp>
      <tp t="e">
        <v>#N/A</v>
        <stp/>
        <stp>BDH|14974031324569698559</stp>
        <tr r="U146" s="39"/>
      </tp>
      <tp t="e">
        <v>#N/A</v>
        <stp/>
        <stp>BDH|15807927816697541045</stp>
        <tr r="AA51" s="38"/>
        <tr r="AA51" s="37"/>
      </tp>
      <tp t="e">
        <v>#N/A</v>
        <stp/>
        <stp>BDH|15233381622626249876</stp>
        <tr r="N22" s="34"/>
      </tp>
      <tp t="e">
        <v>#N/A</v>
        <stp/>
        <stp>BDH|10591280091465706472</stp>
        <tr r="J35" s="37"/>
      </tp>
      <tp t="e">
        <v>#N/A</v>
        <stp/>
        <stp>BDH|10739010543807901907</stp>
        <tr r="AA46" s="22"/>
        <tr r="AA46" s="35"/>
      </tp>
      <tp t="e">
        <v>#N/A</v>
        <stp/>
        <stp>BDH|16205003815178937522</stp>
        <tr r="S202" s="39"/>
      </tp>
      <tp t="e">
        <v>#N/A</v>
        <stp/>
        <stp>BDH|14469555460764453994</stp>
        <tr r="Y18" s="32"/>
      </tp>
      <tp t="e">
        <v>#N/A</v>
        <stp/>
        <stp>BDH|15422705535923995843</stp>
        <tr r="W59" s="32"/>
      </tp>
      <tp t="e">
        <v>#N/A</v>
        <stp/>
        <stp>BDH|17236482985986263724</stp>
        <tr r="C31" s="37"/>
      </tp>
      <tp t="e">
        <v>#N/A</v>
        <stp/>
        <stp>BDH|11653434804769671688</stp>
        <tr r="V28" s="35"/>
      </tp>
      <tp t="e">
        <v>#N/A</v>
        <stp/>
        <stp>BDH|11787584074139652027</stp>
        <tr r="AC24" s="36"/>
      </tp>
      <tp t="e">
        <v>#N/A</v>
        <stp/>
        <stp>BDH|14125295885297735359</stp>
        <tr r="F31" s="36"/>
      </tp>
      <tp t="e">
        <v>#N/A</v>
        <stp/>
        <stp>BDH|11749909634991951052</stp>
        <tr r="S196" s="39"/>
      </tp>
      <tp t="e">
        <v>#N/A</v>
        <stp/>
        <stp>BDH|11587692983843094610</stp>
        <tr r="Q27" s="35"/>
      </tp>
      <tp t="e">
        <v>#N/A</v>
        <stp/>
        <stp>BDH|16972064951069297022</stp>
        <tr r="AM33" s="36"/>
      </tp>
      <tp t="e">
        <v>#N/A</v>
        <stp/>
        <stp>BDH|13783991702109320918</stp>
        <tr r="AD16" s="32"/>
      </tp>
      <tp t="e">
        <v>#N/A</v>
        <stp/>
        <stp>BDH|13096271111948853203</stp>
        <tr r="U37" s="32"/>
      </tp>
      <tp t="e">
        <v>#N/A</v>
        <stp/>
        <stp>BDH|10960929054557695175</stp>
        <tr r="R3" s="32"/>
      </tp>
      <tp t="e">
        <v>#N/A</v>
        <stp/>
        <stp>BDH|10260609557989268095</stp>
        <tr r="W25" s="36"/>
      </tp>
    </main>
    <main first="bofaddin.rtdserver">
      <tp t="e">
        <v>#N/A</v>
        <stp/>
        <stp>BDH|16054628765039262440</stp>
        <tr r="D26" s="24"/>
      </tp>
      <tp t="e">
        <v>#N/A</v>
        <stp/>
        <stp>BDH|14981264786676053386</stp>
        <tr r="R121" s="39"/>
      </tp>
      <tp t="e">
        <v>#N/A</v>
        <stp/>
        <stp>BDH|13925766496491078788</stp>
        <tr r="T125" s="39"/>
      </tp>
      <tp t="e">
        <v>#N/A</v>
        <stp/>
        <stp>BDH|13697870905220574001</stp>
        <tr r="V178" s="39"/>
      </tp>
      <tp t="e">
        <v>#N/A</v>
        <stp/>
        <stp>BDH|17230554586885594454</stp>
        <tr r="Q176" s="39"/>
      </tp>
      <tp t="e">
        <v>#N/A</v>
        <stp/>
        <stp>BDH|12799933933641240248</stp>
        <tr r="AB212" s="39"/>
        <tr r="AC212" s="39"/>
      </tp>
      <tp t="e">
        <v>#N/A</v>
        <stp/>
        <stp>BDH|12400437194327726351</stp>
        <tr r="X39" s="32"/>
      </tp>
      <tp t="e">
        <v>#N/A</v>
        <stp/>
        <stp>BDH|12524013142489161467</stp>
        <tr r="Z26" s="22"/>
      </tp>
      <tp t="e">
        <v>#N/A</v>
        <stp/>
        <stp>BDH|10363125862474699854</stp>
        <tr r="Y186" s="39"/>
      </tp>
      <tp t="e">
        <v>#N/A</v>
        <stp/>
        <stp>BDH|11531468821114735850</stp>
        <tr r="K21" s="24"/>
      </tp>
      <tp t="e">
        <v>#N/A</v>
        <stp/>
        <stp>BDH|10858887745273694430</stp>
        <tr r="Z32" s="36"/>
      </tp>
      <tp t="e">
        <v>#N/A</v>
        <stp/>
        <stp>BDH|15405369740331474860</stp>
        <tr r="G19" s="35"/>
      </tp>
      <tp t="e">
        <v>#N/A</v>
        <stp/>
        <stp>BDH|10927221188247122621</stp>
        <tr r="T108" s="32"/>
      </tp>
      <tp t="e">
        <v>#N/A</v>
        <stp/>
        <stp>BDH|15169000890051364621</stp>
        <tr r="C33" s="36"/>
      </tp>
      <tp t="e">
        <v>#N/A</v>
        <stp/>
        <stp>BDH|14802604861467147884</stp>
        <tr r="U59" s="32"/>
      </tp>
      <tp t="e">
        <v>#N/A</v>
        <stp/>
        <stp>BDH|10670880819014558622</stp>
        <tr r="AC73" s="32"/>
      </tp>
      <tp t="e">
        <v>#N/A</v>
        <stp/>
        <stp>BDH|10481523320984121877</stp>
        <tr r="T167" s="39"/>
      </tp>
      <tp t="e">
        <v>#N/A</v>
        <stp/>
        <stp>BDH|12352536034819462636</stp>
        <tr r="V155" s="39"/>
      </tp>
      <tp t="e">
        <v>#N/A</v>
        <stp/>
        <stp>BDH|16828522908460284834</stp>
        <tr r="AD10" s="32"/>
      </tp>
      <tp t="e">
        <v>#N/A</v>
        <stp/>
        <stp>BDH|11394032443107900995</stp>
        <tr r="S17" s="32"/>
      </tp>
      <tp t="e">
        <v>#N/A</v>
        <stp/>
        <stp>BDH|17107806855174720507</stp>
        <tr r="L18" s="22"/>
      </tp>
      <tp t="e">
        <v>#N/A</v>
        <stp/>
        <stp>BDH|14731848091817715962</stp>
        <tr r="Z162" s="39"/>
      </tp>
      <tp t="e">
        <v>#N/A</v>
        <stp/>
        <stp>BDH|10707241074398563613</stp>
        <tr r="S180" s="39"/>
      </tp>
      <tp t="e">
        <v>#N/A</v>
        <stp/>
        <stp>BDH|17732956046817746611</stp>
        <tr r="Y23" s="35"/>
      </tp>
      <tp t="e">
        <v>#N/A</v>
        <stp/>
        <stp>BDH|15836698091294754553</stp>
        <tr r="S154" s="39"/>
      </tp>
      <tp t="e">
        <v>#N/A</v>
        <stp/>
        <stp>BDH|15304248291621224463</stp>
        <tr r="C22" s="24"/>
      </tp>
      <tp t="e">
        <v>#N/A</v>
        <stp/>
        <stp>BDH|16744508254605123806</stp>
        <tr r="L34" s="36"/>
      </tp>
      <tp t="e">
        <v>#N/A</v>
        <stp/>
        <stp>BDH|14162727990448718969</stp>
        <tr r="Z143" s="39"/>
      </tp>
      <tp t="e">
        <v>#N/A</v>
        <stp/>
        <stp>BDH|11463307580122274344</stp>
        <tr r="Q127" s="39"/>
      </tp>
      <tp t="e">
        <v>#N/A</v>
        <stp/>
        <stp>BDH|18060116485198259241</stp>
        <tr r="AA33" s="32"/>
      </tp>
      <tp t="e">
        <v>#N/A</v>
        <stp/>
        <stp>BDH|13989627989633982594</stp>
        <tr r="W179" s="39"/>
      </tp>
      <tp t="e">
        <v>#N/A</v>
        <stp/>
        <stp>BDH|13070288457226586980</stp>
        <tr r="S24" s="36"/>
      </tp>
      <tp t="e">
        <v>#N/A</v>
        <stp/>
        <stp>BDH|17011441042255791943</stp>
        <tr r="S66" s="32"/>
      </tp>
      <tp t="e">
        <v>#N/A</v>
        <stp/>
        <stp>BDH|11664305449654886925</stp>
        <tr r="AB141" s="39"/>
        <tr r="AC141" s="39"/>
      </tp>
      <tp t="e">
        <v>#N/A</v>
        <stp/>
        <stp>BDH|15153018806269056735</stp>
        <tr r="T106" s="32"/>
      </tp>
      <tp t="e">
        <v>#N/A</v>
        <stp/>
        <stp>BDH|16345970117835250046</stp>
        <tr r="R201" s="39"/>
      </tp>
      <tp t="e">
        <v>#N/A</v>
        <stp/>
        <stp>BDH|16050061769289807225</stp>
        <tr r="Y29" s="36"/>
      </tp>
      <tp t="e">
        <v>#N/A</v>
        <stp/>
        <stp>BDH|17100726471324362840</stp>
        <tr r="F32" s="37"/>
      </tp>
      <tp t="e">
        <v>#N/A</v>
        <stp/>
        <stp>BDH|10781665786016261309</stp>
        <tr r="AA22" s="22"/>
      </tp>
      <tp t="e">
        <v>#N/A</v>
        <stp/>
        <stp>BDH|13823646048038336225</stp>
        <tr r="AA121" s="39"/>
      </tp>
      <tp t="e">
        <v>#N/A</v>
        <stp/>
        <stp>BDH|14692658512171482909</stp>
        <tr r="S46" s="32"/>
      </tp>
      <tp t="e">
        <v>#N/A</v>
        <stp/>
        <stp>BDH|12478975725512709047</stp>
        <tr r="F30" s="24"/>
      </tp>
      <tp t="e">
        <v>#N/A</v>
        <stp/>
        <stp>BDH|14347938525826372234</stp>
        <tr r="T40" s="32"/>
      </tp>
      <tp t="e">
        <v>#N/A</v>
        <stp/>
        <stp>BDH|12076592525287149985</stp>
        <tr r="AB170" s="39"/>
        <tr r="AC170" s="39"/>
      </tp>
      <tp t="e">
        <v>#N/A</v>
        <stp/>
        <stp>BDH|10656895816450805240</stp>
        <tr r="AC97" s="32"/>
      </tp>
      <tp t="e">
        <v>#N/A</v>
        <stp/>
        <stp>BDH|13431209753736760940</stp>
        <tr r="W47" s="32"/>
      </tp>
      <tp t="e">
        <v>#N/A</v>
        <stp/>
        <stp>BDH|11412244984141281126</stp>
        <tr r="Q161" s="39"/>
      </tp>
      <tp t="e">
        <v>#N/A</v>
        <stp/>
        <stp>BDH|17107269380250141620</stp>
        <tr r="AA100" s="32"/>
      </tp>
      <tp t="e">
        <v>#N/A</v>
        <stp/>
        <stp>BDH|13929516234887041987</stp>
        <tr r="D21" s="34"/>
      </tp>
      <tp t="e">
        <v>#N/A</v>
        <stp/>
        <stp>BDH|15969141992233263590</stp>
        <tr r="R99" s="32"/>
      </tp>
      <tp t="e">
        <v>#N/A</v>
        <stp/>
        <stp>BDH|14547847473171146175</stp>
        <tr r="R170" s="39"/>
      </tp>
      <tp t="e">
        <v>#N/A</v>
        <stp/>
        <stp>BDH|12064677883262734571</stp>
        <tr r="P28" s="36"/>
      </tp>
      <tp t="e">
        <v>#N/A</v>
        <stp/>
        <stp>BDH|10466776022637152943</stp>
        <tr r="U29" s="35"/>
      </tp>
      <tp t="e">
        <v>#N/A</v>
        <stp/>
        <stp>BDH|15854885444016553452</stp>
        <tr r="Y18" s="22"/>
      </tp>
      <tp t="e">
        <v>#N/A</v>
        <stp/>
        <stp>BDH|16004884379087425512</stp>
        <tr r="U130" s="39"/>
      </tp>
      <tp t="e">
        <v>#N/A</v>
        <stp/>
        <stp>BDH|15376698089010005044</stp>
        <tr r="Q25" s="22"/>
      </tp>
      <tp t="e">
        <v>#N/A</v>
        <stp/>
        <stp>BDH|17114112226167935889</stp>
        <tr r="S119" s="39"/>
      </tp>
      <tp t="e">
        <v>#N/A</v>
        <stp/>
        <stp>BDH|15273634851235467839</stp>
        <tr r="W137" s="39"/>
      </tp>
      <tp t="e">
        <v>#N/A</v>
        <stp/>
        <stp>BDH|12193971727171575333</stp>
        <tr r="U206" s="39"/>
      </tp>
      <tp t="e">
        <v>#N/A</v>
        <stp/>
        <stp>BDH|10864763608439607570</stp>
        <tr r="V184" s="39"/>
      </tp>
      <tp t="e">
        <v>#N/A</v>
        <stp/>
        <stp>BDH|10211613384490495548</stp>
        <tr r="S25" s="35"/>
      </tp>
      <tp t="e">
        <v>#N/A</v>
        <stp/>
        <stp>BDH|11161110154316138821</stp>
        <tr r="S32" s="36"/>
      </tp>
      <tp t="e">
        <v>#N/A</v>
        <stp/>
        <stp>BDH|10084907178392681792</stp>
        <tr r="AD35" s="36"/>
      </tp>
      <tp t="e">
        <v>#N/A</v>
        <stp/>
        <stp>BDH|17104495291687974671</stp>
        <tr r="G28" s="34"/>
      </tp>
      <tp t="e">
        <v>#N/A</v>
        <stp/>
        <stp>BDH|14285132694685773240</stp>
        <tr r="G23" s="36"/>
      </tp>
      <tp t="e">
        <v>#N/A</v>
        <stp/>
        <stp>BDH|11451448653603309864</stp>
        <tr r="AB121" s="39"/>
        <tr r="AC121" s="39"/>
      </tp>
      <tp t="e">
        <v>#N/A</v>
        <stp/>
        <stp>BDH|10840021572119693581</stp>
        <tr r="Q202" s="39"/>
      </tp>
      <tp t="e">
        <v>#N/A</v>
        <stp/>
        <stp>BDH|11055899326040888012</stp>
        <tr r="Z29" s="22"/>
      </tp>
      <tp t="e">
        <v>#N/A</v>
        <stp/>
        <stp>BDH|17590128461403323831</stp>
        <tr r="Y93" s="32"/>
      </tp>
      <tp t="e">
        <v>#N/A</v>
        <stp/>
        <stp>BDH|17295532964198078739</stp>
        <tr r="AB35" s="32"/>
      </tp>
      <tp t="e">
        <v>#N/A</v>
        <stp/>
        <stp>BDH|10518426721084047907</stp>
        <tr r="T49" s="32"/>
      </tp>
      <tp t="e">
        <v>#N/A</v>
        <stp/>
        <stp>BDH|18387387142703441746</stp>
        <tr r="U25" s="32"/>
      </tp>
      <tp t="e">
        <v>#N/A</v>
        <stp/>
        <stp>BDH|17352390595911190778</stp>
        <tr r="Y147" s="39"/>
      </tp>
      <tp t="e">
        <v>#N/A</v>
        <stp/>
        <stp>BDH|11645637409804455812</stp>
        <tr r="Y127" s="39"/>
      </tp>
      <tp t="e">
        <v>#N/A</v>
        <stp/>
        <stp>BDH|18411353274586801144</stp>
        <tr r="Y19" s="32"/>
      </tp>
      <tp t="e">
        <v>#N/A</v>
        <stp/>
        <stp>BDH|11494005640846529886</stp>
        <tr r="Y128" s="39"/>
      </tp>
      <tp t="e">
        <v>#N/A</v>
        <stp/>
        <stp>BDH|16867922237922280565</stp>
        <tr r="Z25" s="22"/>
      </tp>
      <tp t="e">
        <v>#N/A</v>
        <stp/>
        <stp>BDH|11455597693822680412</stp>
        <tr r="G26" s="37"/>
      </tp>
      <tp t="e">
        <v>#N/A</v>
        <stp/>
        <stp>BDH|11779795093696522213</stp>
        <tr r="U57" s="32"/>
      </tp>
      <tp t="e">
        <v>#N/A</v>
        <stp/>
        <stp>BDH|11111595076961708917</stp>
        <tr r="AC96" s="32"/>
      </tp>
      <tp t="e">
        <v>#N/A</v>
        <stp/>
        <stp>BDH|16787504482039800954</stp>
        <tr r="W196" s="39"/>
      </tp>
      <tp t="e">
        <v>#N/A</v>
        <stp/>
        <stp>BDH|10330141849676087862</stp>
        <tr r="AD33" s="32"/>
      </tp>
      <tp t="e">
        <v>#N/A</v>
        <stp/>
        <stp>BDH|16133438398779113930</stp>
        <tr r="AB139" s="39"/>
        <tr r="AC139" s="39"/>
      </tp>
      <tp t="e">
        <v>#N/A</v>
        <stp/>
        <stp>BDH|10539057814242428882</stp>
        <tr r="AN25" s="36"/>
      </tp>
      <tp t="e">
        <v>#N/A</v>
        <stp/>
        <stp>BDH|14252020245278563384</stp>
        <tr r="T166" s="39"/>
      </tp>
      <tp t="e">
        <v>#N/A</v>
        <stp/>
        <stp>BDH|17551760993630940213</stp>
        <tr r="Y115" s="39"/>
      </tp>
      <tp t="e">
        <v>#N/A</v>
        <stp/>
        <stp>BDH|11767276070666291994</stp>
        <tr r="X103" s="32"/>
      </tp>
      <tp t="e">
        <v>#N/A</v>
        <stp/>
        <stp>BDH|17091244460398634094</stp>
        <tr r="AG36" s="36"/>
      </tp>
      <tp t="e">
        <v>#N/A</v>
        <stp/>
        <stp>BDH|10086384636413777826</stp>
        <tr r="V23" s="32"/>
      </tp>
      <tp t="e">
        <v>#N/A</v>
        <stp/>
        <stp>BDH|11763581485341261630</stp>
        <tr r="U144" s="39"/>
      </tp>
      <tp t="e">
        <v>#N/A</v>
        <stp/>
        <stp>BDH|17901563922649727217</stp>
        <tr r="AB28" s="22"/>
      </tp>
      <tp t="e">
        <v>#N/A</v>
        <stp/>
        <stp>BDH|13823438596827442221</stp>
        <tr r="X20" s="32"/>
      </tp>
      <tp t="e">
        <v>#N/A</v>
        <stp/>
        <stp>BDH|11241357389499410810</stp>
        <tr r="G23" s="22"/>
      </tp>
      <tp t="e">
        <v>#N/A</v>
        <stp/>
        <stp>BDH|12584850406699837846</stp>
        <tr r="U62" s="32"/>
      </tp>
      <tp t="e">
        <v>#N/A</v>
        <stp/>
        <stp>BDH|13707898775444518345</stp>
        <tr r="L23" s="22"/>
      </tp>
      <tp t="e">
        <v>#N/A</v>
        <stp/>
        <stp>BDH|13552013288250543038</stp>
        <tr r="AB29" s="22"/>
      </tp>
      <tp t="e">
        <v>#N/A</v>
        <stp/>
        <stp>BDH|10641004952919743792</stp>
        <tr r="E37" s="36"/>
      </tp>
      <tp t="e">
        <v>#N/A</v>
        <stp/>
        <stp>BDH|16298491097725515530</stp>
        <tr r="Z167" s="39"/>
      </tp>
      <tp t="e">
        <v>#N/A</v>
        <stp/>
        <stp>BDH|12961426924446004958</stp>
        <tr r="X158" s="39"/>
      </tp>
      <tp t="e">
        <v>#N/A</v>
        <stp/>
        <stp>BDH|17950819355684749502</stp>
        <tr r="AB155" s="39"/>
        <tr r="AC155" s="39"/>
      </tp>
      <tp t="e">
        <v>#N/A</v>
        <stp/>
        <stp>BDH|18012276167995961241</stp>
        <tr r="V34" s="36"/>
      </tp>
      <tp t="e">
        <v>#N/A</v>
        <stp/>
        <stp>BDH|14471969366178021892</stp>
        <tr r="E38" s="38"/>
      </tp>
      <tp t="e">
        <v>#N/A</v>
        <stp/>
        <stp>BDH|15076992670132524218</stp>
        <tr r="S149" s="39"/>
      </tp>
      <tp t="e">
        <v>#N/A</v>
        <stp/>
        <stp>BDH|16062092516995105930</stp>
        <tr r="U78" s="32"/>
      </tp>
      <tp t="e">
        <v>#N/A</v>
        <stp/>
        <stp>BDH|12258813241441656496</stp>
        <tr r="W187" s="39"/>
      </tp>
      <tp t="e">
        <v>#N/A</v>
        <stp/>
        <stp>BDH|11005652408089375533</stp>
        <tr r="L35" s="37"/>
      </tp>
      <tp t="e">
        <v>#N/A</v>
        <stp/>
        <stp>BDH|12684563388440011440</stp>
        <tr r="Z58" s="32"/>
      </tp>
      <tp t="e">
        <v>#N/A</v>
        <stp/>
        <stp>BDH|10750558131745641892</stp>
        <tr r="J34" s="38"/>
      </tp>
      <tp t="e">
        <v>#N/A</v>
        <stp/>
        <stp>BDH|15304595051919281755</stp>
        <tr r="K37" s="36"/>
      </tp>
      <tp t="e">
        <v>#N/A</v>
        <stp/>
        <stp>BDH|11833141544247752835</stp>
        <tr r="U25" s="22"/>
      </tp>
      <tp t="e">
        <v>#N/A</v>
        <stp/>
        <stp>BDH|14822949129736194282</stp>
        <tr r="D23" s="22"/>
      </tp>
      <tp t="e">
        <v>#N/A</v>
        <stp/>
        <stp>BDH|10015960891193970818</stp>
        <tr r="AD5" s="32"/>
      </tp>
      <tp t="e">
        <v>#N/A</v>
        <stp/>
        <stp>BDH|16012208620728924560</stp>
        <tr r="S21" s="32"/>
      </tp>
      <tp t="e">
        <v>#N/A</v>
        <stp/>
        <stp>BDH|17335221651602832974</stp>
        <tr r="U51" s="32"/>
      </tp>
      <tp t="e">
        <v>#N/A</v>
        <stp/>
        <stp>BDH|14091690580245399455</stp>
        <tr r="T84" s="32"/>
      </tp>
      <tp t="e">
        <v>#N/A</v>
        <stp/>
        <stp>BDH|14989659287723624221</stp>
        <tr r="Y41" s="32"/>
      </tp>
      <tp t="e">
        <v>#N/A</v>
        <stp/>
        <stp>BDH|17418607325151734991</stp>
        <tr r="K22" s="22"/>
      </tp>
      <tp t="e">
        <v>#N/A</v>
        <stp/>
        <stp>BDH|11296393480633259273</stp>
        <tr r="U24" s="32"/>
      </tp>
      <tp t="e">
        <v>#N/A</v>
        <stp/>
        <stp>BDH|14972908867628542857</stp>
        <tr r="I34" s="38"/>
      </tp>
      <tp t="e">
        <v>#N/A</v>
        <stp/>
        <stp>BDH|15440171473790784892</stp>
        <tr r="C23" s="35"/>
      </tp>
      <tp t="e">
        <v>#N/A</v>
        <stp/>
        <stp>BDH|10810984033562599388</stp>
        <tr r="E18" s="34"/>
      </tp>
      <tp t="e">
        <v>#N/A</v>
        <stp/>
        <stp>BDH|11103851123347126781</stp>
        <tr r="S58" s="32"/>
      </tp>
      <tp t="e">
        <v>#N/A</v>
        <stp/>
        <stp>BDH|12862760688506014083</stp>
        <tr r="F28" s="35"/>
      </tp>
      <tp t="e">
        <v>#N/A</v>
        <stp/>
        <stp>BDH|13325124697962877209</stp>
        <tr r="D32" s="36"/>
      </tp>
    </main>
    <main first="bofaddin.rtdserver">
      <tp t="e">
        <v>#N/A</v>
        <stp/>
        <stp>BDH|16071535103288635378</stp>
        <tr r="S18" s="22"/>
      </tp>
      <tp t="e">
        <v>#N/A</v>
        <stp/>
        <stp>BDH|17277987669849708953</stp>
        <tr r="J27" s="24"/>
      </tp>
      <tp t="e">
        <v>#N/A</v>
        <stp/>
        <stp>BDH|14604241736729095455</stp>
        <tr r="AB185" s="39"/>
        <tr r="AC185" s="39"/>
      </tp>
      <tp t="e">
        <v>#N/A</v>
        <stp/>
        <stp>BDH|17036722481395489560</stp>
        <tr r="E22" s="35"/>
      </tp>
      <tp t="e">
        <v>#N/A</v>
        <stp/>
        <stp>BDH|15904810832836217097</stp>
        <tr r="Z157" s="39"/>
      </tp>
      <tp t="e">
        <v>#N/A</v>
        <stp/>
        <stp>BDH|16437173199122260499</stp>
        <tr r="AN37" s="36"/>
      </tp>
      <tp t="e">
        <v>#N/A</v>
        <stp/>
        <stp>BDH|17274418094431276341</stp>
        <tr r="I24" s="35"/>
      </tp>
      <tp t="e">
        <v>#N/A</v>
        <stp/>
        <stp>BDH|12121839753171026604</stp>
        <tr r="Q192" s="39"/>
      </tp>
      <tp t="e">
        <v>#N/A</v>
        <stp/>
        <stp>BDH|13533040495824693631</stp>
        <tr r="L27" s="37"/>
      </tp>
      <tp t="e">
        <v>#N/A</v>
        <stp/>
        <stp>BDH|17754500202068476202</stp>
        <tr r="D29" s="38"/>
      </tp>
      <tp t="e">
        <v>#N/A</v>
        <stp/>
        <stp>BDH|11731160181667908782</stp>
        <tr r="S48" s="32"/>
      </tp>
      <tp t="e">
        <v>#N/A</v>
        <stp/>
        <stp>BDH|14551651160999951591</stp>
        <tr r="G28" s="36"/>
      </tp>
      <tp t="e">
        <v>#N/A</v>
        <stp/>
        <stp>BDH|12560074602943343936</stp>
        <tr r="S56" s="32"/>
      </tp>
      <tp t="e">
        <v>#N/A</v>
        <stp/>
        <stp>BDH|12417412159722449988</stp>
        <tr r="Z28" s="32"/>
      </tp>
      <tp t="e">
        <v>#N/A</v>
        <stp/>
        <stp>BDH|17603054705337401821</stp>
        <tr r="W113" s="39"/>
      </tp>
      <tp t="e">
        <v>#N/A</v>
        <stp/>
        <stp>BDH|18324179266932379511</stp>
        <tr r="U48" s="32"/>
      </tp>
      <tp t="e">
        <v>#N/A</v>
        <stp/>
        <stp>BDH|14640352194262650415</stp>
        <tr r="T48" s="32"/>
      </tp>
      <tp t="e">
        <v>#N/A</v>
        <stp/>
        <stp>BDH|10502246087494118677</stp>
        <tr r="F21" s="22"/>
      </tp>
      <tp t="e">
        <v>#N/A</v>
        <stp/>
        <stp>BDH|14762129274469098328</stp>
        <tr r="Q168" s="39"/>
      </tp>
      <tp t="e">
        <v>#N/A</v>
        <stp/>
        <stp>BDH|14056352627348561548</stp>
        <tr r="AA70" s="32"/>
      </tp>
      <tp t="e">
        <v>#N/A</v>
        <stp/>
        <stp>BDH|17746566897906188549</stp>
        <tr r="Z29" s="35"/>
      </tp>
      <tp t="e">
        <v>#N/A</v>
        <stp/>
        <stp>BDH|15200374680174584235</stp>
        <tr r="N37" s="37"/>
      </tp>
      <tp t="e">
        <v>#N/A</v>
        <stp/>
        <stp>BDH|15633088720316972940</stp>
        <tr r="I22" s="22"/>
      </tp>
      <tp t="e">
        <v>#N/A</v>
        <stp/>
        <stp>BDH|16297255010498275561</stp>
        <tr r="AB8" s="32"/>
      </tp>
      <tp t="e">
        <v>#N/A</v>
        <stp/>
        <stp>BDH|15243648394875591743</stp>
        <tr r="AA84" s="32"/>
      </tp>
      <tp t="e">
        <v>#N/A</v>
        <stp/>
        <stp>BDH|17328793198991736065</stp>
        <tr r="U26" s="35"/>
      </tp>
      <tp t="e">
        <v>#N/A</v>
        <stp/>
        <stp>BDH|12135255294404441577</stp>
        <tr r="E18" s="22"/>
      </tp>
      <tp t="e">
        <v>#N/A</v>
        <stp/>
        <stp>BDH|17416194317037158887</stp>
        <tr r="G35" s="36"/>
      </tp>
      <tp t="e">
        <v>#N/A</v>
        <stp/>
        <stp>BDH|16092774142469345459</stp>
        <tr r="T192" s="39"/>
      </tp>
      <tp t="e">
        <v>#N/A</v>
        <stp/>
        <stp>BDH|12260627540911019921</stp>
        <tr r="AA85" s="32"/>
      </tp>
      <tp t="e">
        <v>#N/A</v>
        <stp/>
        <stp>BDH|11311022412128982082</stp>
        <tr r="T180" s="39"/>
      </tp>
      <tp t="e">
        <v>#N/A</v>
        <stp/>
        <stp>BDH|12920965837044223489</stp>
        <tr r="F18" s="22"/>
      </tp>
      <tp t="e">
        <v>#N/A</v>
        <stp/>
        <stp>BDH|18166598890418256483</stp>
        <tr r="AB18" s="35"/>
      </tp>
      <tp t="e">
        <v>#N/A</v>
        <stp/>
        <stp>BDH|14509068177929541239</stp>
        <tr r="X55" s="32"/>
      </tp>
      <tp t="e">
        <v>#N/A</v>
        <stp/>
        <stp>BDH|17343179697717393021</stp>
        <tr r="Z156" s="39"/>
      </tp>
      <tp t="e">
        <v>#N/A</v>
        <stp/>
        <stp>BDH|17935488093856014405</stp>
        <tr r="T149" s="39"/>
      </tp>
      <tp t="e">
        <v>#N/A</v>
        <stp/>
        <stp>BDH|14206265153993574871</stp>
        <tr r="R40" s="32"/>
      </tp>
      <tp t="e">
        <v>#N/A</v>
        <stp/>
        <stp>BDH|15480706694790325366</stp>
        <tr r="AA161" s="39"/>
      </tp>
      <tp t="e">
        <v>#N/A</v>
        <stp/>
        <stp>BDH|17683305340921423971</stp>
        <tr r="E29" s="34"/>
      </tp>
      <tp t="e">
        <v>#N/A</v>
        <stp/>
        <stp>BDH|12898052832930862922</stp>
        <tr r="AC72" s="32"/>
      </tp>
      <tp t="e">
        <v>#N/A</v>
        <stp/>
        <stp>BDH|10799302596370495204</stp>
        <tr r="K20" s="35"/>
      </tp>
      <tp t="e">
        <v>#N/A</v>
        <stp/>
        <stp>BDH|13514596097693958471</stp>
        <tr r="P18" s="34"/>
      </tp>
      <tp t="e">
        <v>#N/A</v>
        <stp/>
        <stp>BDH|12199673855751300859</stp>
        <tr r="N36" s="36"/>
      </tp>
      <tp t="e">
        <v>#N/A</v>
        <stp/>
        <stp>BDH|17080122717408037716</stp>
        <tr r="P36" s="36"/>
      </tp>
      <tp t="e">
        <v>#N/A</v>
        <stp/>
        <stp>BDH|12831364654118789497</stp>
        <tr r="Y70" s="32"/>
      </tp>
      <tp t="e">
        <v>#N/A</v>
        <stp/>
        <stp>BDH|16262365688867023286</stp>
        <tr r="Y61" s="32"/>
      </tp>
      <tp t="e">
        <v>#N/A</v>
        <stp/>
        <stp>BDH|13466588334974900958</stp>
        <tr r="R174" s="39"/>
      </tp>
      <tp t="e">
        <v>#N/A</v>
        <stp/>
        <stp>BDH|13455907224172651224</stp>
        <tr r="B21" s="34"/>
      </tp>
      <tp t="e">
        <v>#N/A</v>
        <stp/>
        <stp>BDH|11650537591634972192</stp>
        <tr r="R161" s="39"/>
      </tp>
      <tp t="e">
        <v>#N/A</v>
        <stp/>
        <stp>BDH|16271151571778701051</stp>
        <tr r="U166" s="39"/>
      </tp>
      <tp t="e">
        <v>#N/A</v>
        <stp/>
        <stp>BDH|10784150078559609788</stp>
        <tr r="R113" s="39"/>
      </tp>
      <tp t="e">
        <v>#N/A</v>
        <stp/>
        <stp>BDH|10152330155637236929</stp>
        <tr r="K26" s="36"/>
      </tp>
      <tp t="e">
        <v>#N/A</v>
        <stp/>
        <stp>BDH|13136391727968132297</stp>
        <tr r="U96" s="32"/>
      </tp>
      <tp t="e">
        <v>#N/A</v>
        <stp/>
        <stp>BDH|12589353897785513553</stp>
        <tr r="L25" s="36"/>
      </tp>
      <tp t="e">
        <v>#N/A</v>
        <stp/>
        <stp>BDH|17520832742201245218</stp>
        <tr r="N36" s="37"/>
      </tp>
      <tp t="e">
        <v>#N/A</v>
        <stp/>
        <stp>BDH|17684572572515778834</stp>
        <tr r="AD25" s="32"/>
      </tp>
      <tp t="e">
        <v>#N/A</v>
        <stp/>
        <stp>BDH|11125482770558779291</stp>
        <tr r="G22" s="35"/>
      </tp>
      <tp t="e">
        <v>#N/A</v>
        <stp/>
        <stp>BDH|17228042593124482268</stp>
        <tr r="Q199" s="39"/>
      </tp>
      <tp t="e">
        <v>#N/A</v>
        <stp/>
        <stp>BDH|12172705040468099168</stp>
        <tr r="Z198" s="39"/>
      </tp>
      <tp t="e">
        <v>#N/A</v>
        <stp/>
        <stp>BDH|14936767858369044705</stp>
        <tr r="M31" s="36"/>
      </tp>
      <tp t="e">
        <v>#N/A</v>
        <stp/>
        <stp>BDH|17411331705788155447</stp>
        <tr r="S86" s="32"/>
      </tp>
      <tp t="e">
        <v>#N/A</v>
        <stp/>
        <stp>BDH|15870759186041833354</stp>
        <tr r="Z103" s="32"/>
      </tp>
      <tp t="e">
        <v>#N/A</v>
        <stp/>
        <stp>BDH|12358835879443990661</stp>
        <tr r="AC91" s="32"/>
      </tp>
      <tp t="e">
        <v>#N/A</v>
        <stp/>
        <stp>BDH|11496827309846149780</stp>
        <tr r="W92" s="32"/>
      </tp>
      <tp t="e">
        <v>#N/A</v>
        <stp/>
        <stp>BDH|15521401735353750914</stp>
        <tr r="AN34" s="36"/>
      </tp>
      <tp t="e">
        <v>#N/A</v>
        <stp/>
        <stp>BDH|10498829874203420407</stp>
        <tr r="AA104" s="32"/>
      </tp>
      <tp t="e">
        <v>#N/A</v>
        <stp/>
        <stp>BDH|10553990717517459793</stp>
        <tr r="AD18" s="32"/>
      </tp>
      <tp t="e">
        <v>#N/A</v>
        <stp/>
        <stp>BDH|17103581286702038093</stp>
        <tr r="I35" s="37"/>
      </tp>
      <tp t="e">
        <v>#N/A</v>
        <stp/>
        <stp>BDH|10860949711375821538</stp>
        <tr r="Q206" s="39"/>
      </tp>
      <tp t="e">
        <v>#N/A</v>
        <stp/>
        <stp>BDH|11020400399757716382</stp>
        <tr r="R42" s="32"/>
      </tp>
      <tp t="e">
        <v>#N/A</v>
        <stp/>
        <stp>BDH|12493613728306385884</stp>
        <tr r="Z182" s="39"/>
      </tp>
      <tp t="e">
        <v>#N/A</v>
        <stp/>
        <stp>BDH|14023537915359890176</stp>
        <tr r="I29" s="35"/>
      </tp>
      <tp t="e">
        <v>#N/A</v>
        <stp/>
        <stp>BDH|12877203190427021613</stp>
        <tr r="N24" s="35"/>
      </tp>
      <tp t="e">
        <v>#N/A</v>
        <stp/>
        <stp>BDH|15669098458530994872</stp>
        <tr r="T128" s="39"/>
      </tp>
      <tp t="e">
        <v>#N/A</v>
        <stp/>
        <stp>BDH|15035917744612827244</stp>
        <tr r="E32" s="36"/>
      </tp>
      <tp t="e">
        <v>#N/A</v>
        <stp/>
        <stp>BDH|16394934203642390581</stp>
        <tr r="F25" s="22"/>
      </tp>
      <tp t="e">
        <v>#N/A</v>
        <stp/>
        <stp>BDH|16857779443324497904</stp>
        <tr r="Z176" s="39"/>
      </tp>
      <tp t="e">
        <v>#N/A</v>
        <stp/>
        <stp>BDH|11408985625126665475</stp>
        <tr r="E23" s="34"/>
      </tp>
      <tp t="e">
        <v>#N/A</v>
        <stp/>
        <stp>BDH|10910849785968152011</stp>
        <tr r="V207" s="39"/>
      </tp>
      <tp t="e">
        <v>#N/A</v>
        <stp/>
        <stp>BDH|12005975369715368050</stp>
        <tr r="Z26" s="32"/>
      </tp>
      <tp t="e">
        <v>#N/A</v>
        <stp/>
        <stp>BDH|11579882244636258308</stp>
        <tr r="P32" s="36"/>
      </tp>
      <tp t="e">
        <v>#N/A</v>
        <stp/>
        <stp>BDH|17831056901738499721</stp>
        <tr r="L34" s="38"/>
      </tp>
      <tp t="e">
        <v>#N/A</v>
        <stp/>
        <stp>BDH|10670698656652520963</stp>
        <tr r="AA16" s="32"/>
      </tp>
      <tp t="e">
        <v>#N/A</v>
        <stp/>
        <stp>BDH|12006989338891845128</stp>
        <tr r="W191" s="39"/>
      </tp>
      <tp t="e">
        <v>#N/A</v>
        <stp/>
        <stp>BDH|10293552619499134551</stp>
        <tr r="L18" s="35"/>
      </tp>
      <tp t="e">
        <v>#N/A</v>
        <stp/>
        <stp>BDH|14185809759330544175</stp>
        <tr r="C23" s="36"/>
      </tp>
      <tp t="e">
        <v>#N/A</v>
        <stp/>
        <stp>BDH|11416786882081030747</stp>
        <tr r="I24" s="36"/>
      </tp>
      <tp t="e">
        <v>#N/A</v>
        <stp/>
        <stp>BDH|17902558992905734633</stp>
        <tr r="H28" s="37"/>
      </tp>
      <tp t="e">
        <v>#N/A</v>
        <stp/>
        <stp>BDH|15314935026497892149</stp>
        <tr r="Z164" s="39"/>
      </tp>
      <tp t="e">
        <v>#N/A</v>
        <stp/>
        <stp>BDH|11474183606088525052</stp>
        <tr r="R18" s="32"/>
      </tp>
      <tp t="e">
        <v>#N/A</v>
        <stp/>
        <stp>BDH|10329208607253916902</stp>
        <tr r="S139" s="39"/>
      </tp>
      <tp t="e">
        <v>#N/A</v>
        <stp/>
        <stp>BDH|14659687662905757961</stp>
        <tr r="Y21" s="35"/>
      </tp>
      <tp t="e">
        <v>#N/A</v>
        <stp/>
        <stp>BDH|11529954009416148651</stp>
        <tr r="Y218" s="39"/>
      </tp>
      <tp t="e">
        <v>#N/A</v>
        <stp/>
        <stp>BDH|15116185895291242434</stp>
        <tr r="W32" s="32"/>
      </tp>
      <tp t="e">
        <v>#N/A</v>
        <stp/>
        <stp>BDH|13649480167008730132</stp>
        <tr r="AL36" s="36"/>
      </tp>
      <tp t="e">
        <v>#N/A</v>
        <stp/>
        <stp>BDH|12699896397522306977</stp>
        <tr r="V70" s="32"/>
      </tp>
      <tp t="e">
        <v>#N/A</v>
        <stp/>
        <stp>BDH|13526907898678276338</stp>
        <tr r="Y131" s="39"/>
      </tp>
      <tp t="e">
        <v>#N/A</v>
        <stp/>
        <stp>BDH|11330520599820114559</stp>
        <tr r="U21" s="35"/>
      </tp>
      <tp t="e">
        <v>#N/A</v>
        <stp/>
        <stp>BDH|15832934752238327966</stp>
        <tr r="V57" s="32"/>
      </tp>
      <tp t="e">
        <v>#N/A</v>
        <stp/>
        <stp>BDH|11872932226940946288</stp>
        <tr r="AF37" s="36"/>
      </tp>
      <tp t="e">
        <v>#N/A</v>
        <stp/>
        <stp>BDH|11420573609394366852</stp>
        <tr r="V214" s="39"/>
      </tp>
      <tp t="e">
        <v>#N/A</v>
        <stp/>
        <stp>BDH|14186479766949725780</stp>
        <tr r="K28" s="22"/>
      </tp>
      <tp t="e">
        <v>#N/A</v>
        <stp/>
        <stp>BDH|18360707738894352071</stp>
        <tr r="S163" s="39"/>
      </tp>
      <tp t="e">
        <v>#N/A</v>
        <stp/>
        <stp>BDH|15832136063013329944</stp>
        <tr r="AA63" s="32"/>
      </tp>
      <tp t="e">
        <v>#N/A</v>
        <stp/>
        <stp>BDH|17960266451208446057</stp>
        <tr r="Z88" s="32"/>
      </tp>
      <tp t="e">
        <v>#N/A</v>
        <stp/>
        <stp>BDH|15516251218647588935</stp>
        <tr r="H20" s="24"/>
      </tp>
      <tp t="e">
        <v>#N/A</v>
        <stp/>
        <stp>BDH|12669659189794221064</stp>
        <tr r="M37" s="38"/>
      </tp>
      <tp t="e">
        <v>#N/A</v>
        <stp/>
        <stp>BDH|12541915679774374006</stp>
        <tr r="AB147" s="39"/>
        <tr r="AC147" s="39"/>
      </tp>
      <tp t="e">
        <v>#N/A</v>
        <stp/>
        <stp>BDH|12125936331955825559</stp>
        <tr r="X61" s="32"/>
      </tp>
      <tp t="e">
        <v>#N/A</v>
        <stp/>
        <stp>BDH|11409865437880825239</stp>
        <tr r="AM24" s="36"/>
      </tp>
      <tp t="e">
        <v>#N/A</v>
        <stp/>
        <stp>BDH|18330141988181820894</stp>
        <tr r="S11" s="32"/>
      </tp>
      <tp t="e">
        <v>#N/A</v>
        <stp/>
        <stp>BDH|15611235611426239978</stp>
        <tr r="AC43" s="32"/>
      </tp>
      <tp t="e">
        <v>#N/A</v>
        <stp/>
        <stp>BDH|11376852770364498336</stp>
        <tr r="F35" s="38"/>
      </tp>
      <tp t="e">
        <v>#N/A</v>
        <stp/>
        <stp>BDH|11786851347036648224</stp>
        <tr r="K19" s="22"/>
      </tp>
      <tp t="e">
        <v>#N/A</v>
        <stp/>
        <stp>BDH|13856585481066304138</stp>
        <tr r="N26" s="36"/>
      </tp>
      <tp t="e">
        <v>#N/A</v>
        <stp/>
        <stp>BDH|17430418817452245915</stp>
        <tr r="T207" s="39"/>
      </tp>
      <tp t="e">
        <v>#N/A</v>
        <stp/>
        <stp>BDH|12050187748328784667</stp>
        <tr r="AE34" s="36"/>
      </tp>
      <tp t="e">
        <v>#N/A</v>
        <stp/>
        <stp>BDH|17536773294021651118</stp>
        <tr r="D36" s="38"/>
      </tp>
      <tp t="e">
        <v>#N/A</v>
        <stp/>
        <stp>BDH|15315244943243325964</stp>
        <tr r="AD80" s="32"/>
      </tp>
      <tp t="e">
        <v>#N/A</v>
        <stp/>
        <stp>BDH|12375937214144524705</stp>
        <tr r="I36" s="37"/>
      </tp>
      <tp t="e">
        <v>#N/A</v>
        <stp/>
        <stp>BDH|10631503216609831493</stp>
        <tr r="Z124" s="39"/>
      </tp>
      <tp t="e">
        <v>#N/A</v>
        <stp/>
        <stp>BDH|15274079792451178479</stp>
        <tr r="X47" s="32"/>
      </tp>
      <tp t="e">
        <v>#N/A</v>
        <stp/>
        <stp>BDH|11661867747825440135</stp>
        <tr r="K30" s="22"/>
      </tp>
      <tp t="e">
        <v>#N/A</v>
        <stp/>
        <stp>BDH|18157939551274016930</stp>
        <tr r="V110" s="32"/>
      </tp>
      <tp t="e">
        <v>#N/A</v>
        <stp/>
        <stp>BDH|16549897659080442213</stp>
        <tr r="AB33" s="32"/>
      </tp>
      <tp t="e">
        <v>#N/A</v>
        <stp/>
        <stp>BDH|17891211629177347939</stp>
        <tr r="V200" s="39"/>
      </tp>
      <tp t="e">
        <v>#N/A</v>
        <stp/>
        <stp>BDH|17737102675759414154</stp>
        <tr r="S19" s="35"/>
      </tp>
      <tp t="e">
        <v>#N/A</v>
        <stp/>
        <stp>BDH|14564062962668769357</stp>
        <tr r="AB183" s="39"/>
        <tr r="AC183" s="39"/>
      </tp>
      <tp t="e">
        <v>#N/A</v>
        <stp/>
        <stp>BDH|10890819808530507177</stp>
        <tr r="K29" s="36"/>
      </tp>
      <tp t="e">
        <v>#N/A</v>
        <stp/>
        <stp>BDH|14020322557683666802</stp>
        <tr r="AA79" s="32"/>
      </tp>
      <tp t="e">
        <v>#N/A</v>
        <stp/>
        <stp>BDH|12679922331725755411</stp>
        <tr r="S27" s="36"/>
      </tp>
      <tp t="e">
        <v>#N/A</v>
        <stp/>
        <stp>BDH|14710465607131750826</stp>
        <tr r="F31" s="37"/>
      </tp>
      <tp t="e">
        <v>#N/A</v>
        <stp/>
        <stp>BDH|15174915903711502450</stp>
        <tr r="AA123" s="39"/>
      </tp>
      <tp t="e">
        <v>#N/A</v>
        <stp/>
        <stp>BDH|12589802551593733509</stp>
        <tr r="W74" s="32"/>
      </tp>
      <tp t="e">
        <v>#N/A</v>
        <stp/>
        <stp>BDH|10589814764413086434</stp>
        <tr r="Z92" s="32"/>
      </tp>
      <tp t="e">
        <v>#N/A</v>
        <stp/>
        <stp>BDH|14021085498166576265</stp>
        <tr r="V45" s="32"/>
      </tp>
      <tp t="e">
        <v>#N/A</v>
        <stp/>
        <stp>BDH|11648265901058523277</stp>
        <tr r="AM30" s="36"/>
      </tp>
      <tp t="e">
        <v>#N/A</v>
        <stp/>
        <stp>BDH|18285203816264577634</stp>
        <tr r="X110" s="32"/>
      </tp>
      <tp t="e">
        <v>#N/A</v>
        <stp/>
        <stp>BDH|11762867965710713619</stp>
        <tr r="X86" s="32"/>
      </tp>
      <tp t="e">
        <v>#N/A</v>
        <stp/>
        <stp>BDH|13117014680196522475</stp>
        <tr r="V123" s="39"/>
      </tp>
      <tp t="e">
        <v>#N/A</v>
        <stp/>
        <stp>BDH|14327856615664012012</stp>
        <tr r="W146" s="39"/>
      </tp>
      <tp t="e">
        <v>#N/A</v>
        <stp/>
        <stp>BDH|15668638795080197336</stp>
        <tr r="P30" s="36"/>
      </tp>
      <tp t="e">
        <v>#N/A</v>
        <stp/>
        <stp>BDH|12028604884630418524</stp>
        <tr r="AC87" s="32"/>
      </tp>
      <tp t="e">
        <v>#N/A</v>
        <stp/>
        <stp>BDH|13290930001275478617</stp>
        <tr r="R74" s="32"/>
      </tp>
      <tp t="e">
        <v>#N/A</v>
        <stp/>
        <stp>BDH|13478939123826995784</stp>
        <tr r="I34" s="36"/>
      </tp>
      <tp t="e">
        <v>#N/A</v>
        <stp/>
        <stp>BDH|12586211803091321813</stp>
        <tr r="AA147" s="39"/>
      </tp>
      <tp t="e">
        <v>#N/A</v>
        <stp/>
        <stp>BDH|13583272984400459074</stp>
        <tr r="T50" s="32"/>
      </tp>
      <tp t="e">
        <v>#N/A</v>
        <stp/>
        <stp>BDH|15064244942338079238</stp>
        <tr r="X33" s="36"/>
      </tp>
      <tp t="e">
        <v>#N/A</v>
        <stp/>
        <stp>BDH|11534206791405341629</stp>
        <tr r="X75" s="32"/>
      </tp>
      <tp t="e">
        <v>#N/A</v>
        <stp/>
        <stp>BDH|16164287383187976264</stp>
        <tr r="AA135" s="39"/>
      </tp>
      <tp t="e">
        <v>#N/A</v>
        <stp/>
        <stp>BDH|14330924523532164466</stp>
        <tr r="V114" s="39"/>
      </tp>
      <tp t="e">
        <v>#N/A</v>
        <stp/>
        <stp>BDH|13308278090618679978</stp>
        <tr r="N21" s="34"/>
      </tp>
      <tp t="e">
        <v>#N/A</v>
        <stp/>
        <stp>BDH|12080771380666289207</stp>
        <tr r="T208" s="39"/>
      </tp>
      <tp t="e">
        <v>#N/A</v>
        <stp/>
        <stp>BDH|11446937754494670006</stp>
        <tr r="P21" s="34"/>
      </tp>
      <tp t="e">
        <v>#N/A</v>
        <stp/>
        <stp>BDH|17006424661855139965</stp>
        <tr r="W33" s="36"/>
      </tp>
      <tp t="e">
        <v>#N/A</v>
        <stp/>
        <stp>BDH|14067276402579946688</stp>
        <tr r="AH37" s="36"/>
      </tp>
      <tp t="e">
        <v>#N/A</v>
        <stp/>
        <stp>BDH|14591239643808348323</stp>
        <tr r="AB134" s="39"/>
        <tr r="AC134" s="39"/>
      </tp>
      <tp t="e">
        <v>#N/A</v>
        <stp/>
        <stp>BDH|18256341068672336692</stp>
        <tr r="T211" s="39"/>
      </tp>
      <tp t="e">
        <v>#N/A</v>
        <stp/>
        <stp>BDH|16615323543879325109</stp>
        <tr r="AD40" s="32"/>
      </tp>
      <tp t="e">
        <v>#N/A</v>
        <stp/>
        <stp>BDH|13011564793583893599</stp>
        <tr r="Y23" s="32"/>
      </tp>
      <tp t="e">
        <v>#N/A</v>
        <stp/>
        <stp>BDH|12773123317179594239</stp>
        <tr r="W7" s="32"/>
      </tp>
      <tp t="e">
        <v>#N/A</v>
        <stp/>
        <stp>BDH|16618060697654066208</stp>
        <tr r="J18" s="35"/>
      </tp>
      <tp t="e">
        <v>#N/A</v>
        <stp/>
        <stp>BDH|16140810810471088777</stp>
        <tr r="S208" s="39"/>
      </tp>
      <tp t="e">
        <v>#N/A</v>
        <stp/>
        <stp>BDH|10381903724466302430</stp>
        <tr r="G30" s="22"/>
      </tp>
      <tp t="e">
        <v>#N/A</v>
        <stp/>
        <stp>BDH|10516910835004397755</stp>
        <tr r="AB17" s="32"/>
      </tp>
      <tp t="e">
        <v>#N/A</v>
        <stp/>
        <stp>BDH|18154881285965260496</stp>
        <tr r="G18" s="24"/>
      </tp>
      <tp t="e">
        <v>#N/A</v>
        <stp/>
        <stp>BDH|11680041860486760827</stp>
        <tr r="M28" s="22"/>
      </tp>
      <tp t="e">
        <v>#N/A</v>
        <stp/>
        <stp>BDH|13681212465847666934</stp>
        <tr r="N27" s="38"/>
      </tp>
      <tp t="e">
        <v>#N/A</v>
        <stp/>
        <stp>BDH|12752588569949914196</stp>
        <tr r="J29" s="22"/>
      </tp>
      <tp t="e">
        <v>#N/A</v>
        <stp/>
        <stp>BDH|10661722087313367563</stp>
        <tr r="Y162" s="39"/>
      </tp>
      <tp t="e">
        <v>#N/A</v>
        <stp/>
        <stp>BDH|11153636678111851846</stp>
        <tr r="AK37" s="36"/>
      </tp>
      <tp t="e">
        <v>#N/A</v>
        <stp/>
        <stp>BDH|14581746716993549843</stp>
        <tr r="Z84" s="32"/>
      </tp>
      <tp t="e">
        <v>#N/A</v>
        <stp/>
        <stp>BDH|11849795876351553943</stp>
        <tr r="I37" s="36"/>
      </tp>
      <tp t="e">
        <v>#N/A</v>
        <stp/>
        <stp>BDH|12393239924969907246</stp>
        <tr r="S68" s="32"/>
      </tp>
      <tp t="e">
        <v>#N/A</v>
        <stp/>
        <stp>BDH|16564420795436954429</stp>
        <tr r="U26" s="22"/>
      </tp>
      <tp t="e">
        <v>#N/A</v>
        <stp/>
        <stp>BDH|17245558127658069190</stp>
        <tr r="W159" s="39"/>
      </tp>
      <tp t="e">
        <v>#N/A</v>
        <stp/>
        <stp>BDH|18443032259017379343</stp>
        <tr r="S162" s="39"/>
      </tp>
      <tp t="e">
        <v>#N/A</v>
        <stp/>
        <stp>BDH|11537704770488548096</stp>
        <tr r="V41" s="32"/>
      </tp>
      <tp t="e">
        <v>#N/A</v>
        <stp/>
        <stp>BDH|16703974041322058098</stp>
        <tr r="R158" s="39"/>
      </tp>
      <tp t="e">
        <v>#N/A</v>
        <stp/>
        <stp>BDH|16211999842515000712</stp>
        <tr r="V26" s="32"/>
      </tp>
      <tp t="e">
        <v>#N/A</v>
        <stp/>
        <stp>BDH|16824501819178153388</stp>
        <tr r="M24" s="34"/>
      </tp>
      <tp t="e">
        <v>#N/A</v>
        <stp/>
        <stp>BDH|11965354356349563775</stp>
        <tr r="C27" s="34"/>
      </tp>
      <tp t="e">
        <v>#N/A</v>
        <stp/>
        <stp>BDH|18217595845402156274</stp>
        <tr r="V23" s="35"/>
      </tp>
      <tp t="e">
        <v>#N/A</v>
        <stp/>
        <stp>BDH|15755665285091415381</stp>
        <tr r="S190" s="39"/>
      </tp>
      <tp t="e">
        <v>#N/A</v>
        <stp/>
        <stp>BDH|18373476517670231493</stp>
        <tr r="AA65" s="32"/>
      </tp>
      <tp t="e">
        <v>#N/A</v>
        <stp/>
        <stp>BDH|13603545653399015392</stp>
        <tr r="AA122" s="39"/>
      </tp>
      <tp t="e">
        <v>#N/A</v>
        <stp/>
        <stp>BDH|11349793686536778130</stp>
        <tr r="W116" s="39"/>
      </tp>
      <tp t="e">
        <v>#N/A</v>
        <stp/>
        <stp>BDH|12680943636048974963</stp>
        <tr r="C37" s="36"/>
      </tp>
      <tp t="e">
        <v>#N/A</v>
        <stp/>
        <stp>BDH|10229831445905945060</stp>
        <tr r="AA105" s="32"/>
      </tp>
      <tp t="e">
        <v>#N/A</v>
        <stp/>
        <stp>BDH|12918603472602708879</stp>
        <tr r="W3" s="32"/>
      </tp>
      <tp t="e">
        <v>#N/A</v>
        <stp/>
        <stp>BDH|14778100550610848944</stp>
        <tr r="W109" s="32"/>
      </tp>
      <tp t="e">
        <v>#N/A</v>
        <stp/>
        <stp>BDH|17882374589990939543</stp>
        <tr r="S45" s="32"/>
      </tp>
      <tp t="e">
        <v>#N/A</v>
        <stp/>
        <stp>BDH|18262317038251763071</stp>
        <tr r="K28" s="38"/>
      </tp>
      <tp t="e">
        <v>#N/A</v>
        <stp/>
        <stp>BDH|13446530180523880450</stp>
        <tr r="T146" s="39"/>
      </tp>
      <tp t="e">
        <v>#N/A</v>
        <stp/>
        <stp>BDH|12235948701312947044</stp>
        <tr r="S74" s="32"/>
      </tp>
      <tp t="e">
        <v>#N/A</v>
        <stp/>
        <stp>BDH|17691464872285921811</stp>
        <tr r="AF34" s="36"/>
      </tp>
      <tp t="e">
        <v>#N/A</v>
        <stp/>
        <stp>BDH|17346975984116956934</stp>
        <tr r="K20" s="24"/>
      </tp>
      <tp t="e">
        <v>#N/A</v>
        <stp/>
        <stp>BDH|14144910948302516276</stp>
        <tr r="R76" s="32"/>
      </tp>
      <tp t="e">
        <v>#N/A</v>
        <stp/>
        <stp>BDH|14906637812878595271</stp>
        <tr r="X105" s="32"/>
      </tp>
      <tp t="e">
        <v>#N/A</v>
        <stp/>
        <stp>BDH|14039167550441439884</stp>
        <tr r="G27" s="34"/>
      </tp>
      <tp t="e">
        <v>#N/A</v>
        <stp/>
        <stp>BDH|11248614259309097270</stp>
        <tr r="G32" s="37"/>
      </tp>
      <tp t="e">
        <v>#N/A</v>
        <stp/>
        <stp>BDH|14493885708886012398</stp>
        <tr r="K28" s="37"/>
      </tp>
      <tp t="e">
        <v>#N/A</v>
        <stp/>
        <stp>BDH|13316539799820495604</stp>
        <tr r="R146" s="39"/>
      </tp>
      <tp t="e">
        <v>#N/A</v>
        <stp/>
        <stp>BDH|10654561309788596419</stp>
        <tr r="V24" s="35"/>
      </tp>
      <tp t="e">
        <v>#N/A</v>
        <stp/>
        <stp>BDH|17063441610089130286</stp>
        <tr r="Q29" s="36"/>
      </tp>
      <tp t="e">
        <v>#N/A</v>
        <stp/>
        <stp>BDH|16603951505321280798</stp>
        <tr r="E32" s="37"/>
      </tp>
      <tp t="e">
        <v>#N/A</v>
        <stp/>
        <stp>BDH|15122393462520118964</stp>
        <tr r="C19" s="34"/>
      </tp>
      <tp t="e">
        <v>#N/A</v>
        <stp/>
        <stp>BDH|11370907225256917523</stp>
        <tr r="AA52" s="38"/>
        <tr r="AA52" s="37"/>
      </tp>
      <tp t="e">
        <v>#N/A</v>
        <stp/>
        <stp>BDH|15065497845179303526</stp>
        <tr r="W55" s="32"/>
      </tp>
      <tp t="e">
        <v>#N/A</v>
        <stp/>
        <stp>BDH|11983344395920155246</stp>
        <tr r="AA45" s="38"/>
        <tr r="AA45" s="37"/>
      </tp>
      <tp t="e">
        <v>#N/A</v>
        <stp/>
        <stp>BDH|12310125228929485100</stp>
        <tr r="T170" s="39"/>
      </tp>
      <tp t="e">
        <v>#N/A</v>
        <stp/>
        <stp>BDH|13145295387110589063</stp>
        <tr r="AB118" s="39"/>
        <tr r="AC118" s="39"/>
      </tp>
      <tp t="e">
        <v>#N/A</v>
        <stp/>
        <stp>BDH|12749090271775213912</stp>
        <tr r="T80" s="32"/>
      </tp>
      <tp t="e">
        <v>#N/A</v>
        <stp/>
        <stp>BDH|15577085482450606451</stp>
        <tr r="S25" s="22"/>
      </tp>
      <tp t="e">
        <v>#N/A</v>
        <stp/>
        <stp>BDH|10342934469546592009</stp>
        <tr r="U110" s="32"/>
      </tp>
      <tp t="e">
        <v>#N/A</v>
        <stp/>
        <stp>BDH|13820868428576010695</stp>
        <tr r="L26" s="38"/>
      </tp>
      <tp t="e">
        <v>#N/A</v>
        <stp/>
        <stp>BDH|14198176370412953904</stp>
        <tr r="AA215" s="39"/>
      </tp>
      <tp t="e">
        <v>#N/A</v>
        <stp/>
        <stp>BDH|10091055872447962917</stp>
        <tr r="F31" s="38"/>
      </tp>
      <tp t="e">
        <v>#N/A</v>
        <stp/>
        <stp>BDH|16312084795060110609</stp>
        <tr r="S14" s="32"/>
      </tp>
      <tp t="e">
        <v>#N/A</v>
        <stp/>
        <stp>BDH|18162833838228228276</stp>
        <tr r="X209" s="39"/>
      </tp>
      <tp t="e">
        <v>#N/A</v>
        <stp/>
        <stp>BDH|14368480772598674606</stp>
        <tr r="J22" s="34"/>
      </tp>
      <tp t="e">
        <v>#N/A</v>
        <stp/>
        <stp>BDH|17861744486243275276</stp>
        <tr r="Q187" s="39"/>
      </tp>
      <tp t="e">
        <v>#N/A</v>
        <stp/>
        <stp>BDH|15497966286894840934</stp>
        <tr r="AA93" s="32"/>
      </tp>
      <tp t="e">
        <v>#N/A</v>
        <stp/>
        <stp>BDH|10816700772479412010</stp>
        <tr r="AB163" s="39"/>
        <tr r="AC163" s="39"/>
      </tp>
      <tp t="e">
        <v>#N/A</v>
        <stp/>
        <stp>BDH|12771006392902934020</stp>
        <tr r="Q28" s="22"/>
      </tp>
      <tp t="e">
        <v>#N/A</v>
        <stp/>
        <stp>BDH|13909701771408498227</stp>
        <tr r="E24" s="24"/>
      </tp>
      <tp t="e">
        <v>#N/A</v>
        <stp/>
        <stp>BDH|17070761950389089584</stp>
        <tr r="AD48" s="32"/>
      </tp>
      <tp t="e">
        <v>#N/A</v>
        <stp/>
        <stp>BDH|11123769119476777874</stp>
        <tr r="Q23" s="35"/>
      </tp>
      <tp t="e">
        <v>#N/A</v>
        <stp/>
        <stp>BDH|13721281794725449416</stp>
        <tr r="AA171" s="39"/>
      </tp>
      <tp t="e">
        <v>#N/A</v>
        <stp/>
        <stp>BDH|12763908396973882879</stp>
        <tr r="H19" s="35"/>
      </tp>
      <tp t="e">
        <v>#N/A</v>
        <stp/>
        <stp>BDH|17017326154218913012</stp>
        <tr r="C22" s="22"/>
      </tp>
    </main>
    <main first="bofaddin.rtdserver">
      <tp t="e">
        <v>#N/A</v>
        <stp/>
        <stp>BDH|17759441352451398932</stp>
        <tr r="V113" s="39"/>
      </tp>
      <tp t="e">
        <v>#N/A</v>
        <stp/>
        <stp>BDH|12971886248961826100</stp>
        <tr r="AB68" s="32"/>
      </tp>
      <tp t="e">
        <v>#N/A</v>
        <stp/>
        <stp>BDH|13898423929782460965</stp>
        <tr r="AB87" s="32"/>
      </tp>
      <tp t="e">
        <v>#N/A</v>
        <stp/>
        <stp>BDH|11509876157685589714</stp>
        <tr r="S21" s="22"/>
      </tp>
      <tp t="e">
        <v>#N/A</v>
        <stp/>
        <stp>BDH|10768026672059041068</stp>
        <tr r="R179" s="39"/>
      </tp>
      <tp t="e">
        <v>#N/A</v>
        <stp/>
        <stp>BDH|13187874676456328429</stp>
        <tr r="AC28" s="36"/>
      </tp>
      <tp t="e">
        <v>#N/A</v>
        <stp/>
        <stp>BDH|15507722816598123515</stp>
        <tr r="R145" s="39"/>
      </tp>
      <tp t="e">
        <v>#N/A</v>
        <stp/>
        <stp>BDH|16553624873709233072</stp>
        <tr r="S133" s="39"/>
      </tp>
      <tp t="e">
        <v>#N/A</v>
        <stp/>
        <stp>BDH|13400553872479281609</stp>
        <tr r="U11" s="32"/>
      </tp>
      <tp t="e">
        <v>#N/A</v>
        <stp/>
        <stp>BDH|16212831361640212627</stp>
        <tr r="R67" s="32"/>
      </tp>
      <tp t="e">
        <v>#N/A</v>
        <stp/>
        <stp>BDH|16920254827371256997</stp>
        <tr r="X121" s="39"/>
      </tp>
      <tp t="e">
        <v>#N/A</v>
        <stp/>
        <stp>BDH|17167991598029680068</stp>
        <tr r="Z163" s="39"/>
      </tp>
      <tp t="e">
        <v>#N/A</v>
        <stp/>
        <stp>BDH|13857901658163791279</stp>
        <tr r="K26" s="37"/>
      </tp>
      <tp t="e">
        <v>#N/A</v>
        <stp/>
        <stp>BDH|10653687104949138187</stp>
        <tr r="I29" s="37"/>
      </tp>
      <tp t="e">
        <v>#N/A</v>
        <stp/>
        <stp>BDH|14438049797962656128</stp>
        <tr r="R29" s="35"/>
      </tp>
      <tp t="e">
        <v>#N/A</v>
        <stp/>
        <stp>BDH|13629932187849325524</stp>
        <tr r="X167" s="39"/>
      </tp>
      <tp t="e">
        <v>#N/A</v>
        <stp/>
        <stp>BDH|11603128286093004515</stp>
        <tr r="AB129" s="39"/>
        <tr r="AC129" s="39"/>
      </tp>
      <tp t="e">
        <v>#N/A</v>
        <stp/>
        <stp>BDH|10487220655758419151</stp>
        <tr r="Z194" s="39"/>
      </tp>
      <tp t="e">
        <v>#N/A</v>
        <stp/>
        <stp>BDH|18169113640846442567</stp>
        <tr r="AL35" s="36"/>
      </tp>
      <tp t="e">
        <v>#N/A</v>
        <stp/>
        <stp>BDH|15191165784480961283</stp>
        <tr r="AD35" s="32"/>
      </tp>
      <tp t="e">
        <v>#N/A</v>
        <stp/>
        <stp>BDH|10682845450890583351</stp>
        <tr r="T23" s="36"/>
      </tp>
      <tp t="e">
        <v>#N/A</v>
        <stp/>
        <stp>BDH|14623169515689257354</stp>
        <tr r="AD42" s="32"/>
      </tp>
      <tp t="e">
        <v>#N/A</v>
        <stp/>
        <stp>BDH|15933116687850496298</stp>
        <tr r="Y10" s="32"/>
      </tp>
      <tp t="e">
        <v>#N/A</v>
        <stp/>
        <stp>BDH|18034130273743760351</stp>
        <tr r="AB23" s="36"/>
      </tp>
      <tp t="e">
        <v>#N/A</v>
        <stp/>
        <stp>BDH|13774177877262020952</stp>
        <tr r="V65" s="32"/>
      </tp>
      <tp t="e">
        <v>#N/A</v>
        <stp/>
        <stp>BDH|17130599295662674799</stp>
        <tr r="M19" s="35"/>
      </tp>
      <tp t="e">
        <v>#N/A</v>
        <stp/>
        <stp>BDH|12704927209520858560</stp>
        <tr r="Z128" s="39"/>
      </tp>
      <tp t="e">
        <v>#N/A</v>
        <stp/>
        <stp>BDH|11681502440427470976</stp>
        <tr r="AB145" s="39"/>
        <tr r="AC145" s="39"/>
      </tp>
      <tp t="e">
        <v>#N/A</v>
        <stp/>
        <stp>BDH|12103695485275013788</stp>
        <tr r="AB215" s="39"/>
        <tr r="AC215" s="39"/>
      </tp>
      <tp t="e">
        <v>#N/A</v>
        <stp/>
        <stp>BDH|12842957364824414787</stp>
        <tr r="F23" s="36"/>
      </tp>
      <tp t="e">
        <v>#N/A</v>
        <stp/>
        <stp>BDH|18185347115701666532</stp>
        <tr r="AC7" s="32"/>
      </tp>
      <tp t="e">
        <v>#N/A</v>
        <stp/>
        <stp>BDH|12359353931414677846</stp>
        <tr r="Y198" s="39"/>
      </tp>
      <tp t="e">
        <v>#N/A</v>
        <stp/>
        <stp>BDH|11934192107367428962</stp>
        <tr r="R86" s="32"/>
      </tp>
      <tp t="e">
        <v>#N/A</v>
        <stp/>
        <stp>BDH|12745775393944233649</stp>
        <tr r="K30" s="35"/>
      </tp>
      <tp t="e">
        <v>#N/A</v>
        <stp/>
        <stp>BDH|18234743986471518807</stp>
        <tr r="V140" s="39"/>
      </tp>
      <tp t="e">
        <v>#N/A</v>
        <stp/>
        <stp>BDH|18340753572187868190</stp>
        <tr r="C25" s="36"/>
      </tp>
      <tp t="e">
        <v>#N/A</v>
        <stp/>
        <stp>BDH|17665921218926035799</stp>
        <tr r="H26" s="34"/>
      </tp>
      <tp t="e">
        <v>#N/A</v>
        <stp/>
        <stp>BDH|10455968391309433736</stp>
        <tr r="AD105" s="32"/>
      </tp>
      <tp t="e">
        <v>#N/A</v>
        <stp/>
        <stp>BDH|11269573602023754948</stp>
        <tr r="X11" s="32"/>
      </tp>
      <tp t="e">
        <v>#N/A</v>
        <stp/>
        <stp>BDH|11545961821922315653</stp>
        <tr r="Z183" s="39"/>
      </tp>
      <tp t="e">
        <v>#N/A</v>
        <stp/>
        <stp>BDH|10977995440821056242</stp>
        <tr r="AD39" s="32"/>
      </tp>
      <tp t="e">
        <v>#N/A</v>
        <stp/>
        <stp>BDH|12112043995684702139</stp>
        <tr r="J23" s="22"/>
      </tp>
      <tp t="e">
        <v>#N/A</v>
        <stp/>
        <stp>BDH|12985142871673867909</stp>
        <tr r="S28" s="35"/>
      </tp>
      <tp t="e">
        <v>#N/A</v>
        <stp/>
        <stp>BDH|12198897937135994227</stp>
        <tr r="AB83" s="32"/>
      </tp>
      <tp t="e">
        <v>#N/A</v>
        <stp/>
        <stp>BDH|16938863182869199180</stp>
        <tr r="T104" s="32"/>
      </tp>
      <tp t="e">
        <v>#N/A</v>
        <stp/>
        <stp>BDH|16594668330654559922</stp>
        <tr r="S142" s="39"/>
      </tp>
      <tp t="e">
        <v>#N/A</v>
        <stp/>
        <stp>BDH|15606422291386844091</stp>
        <tr r="W175" s="39"/>
      </tp>
      <tp t="e">
        <v>#N/A</v>
        <stp/>
        <stp>BDH|13928889714242058627</stp>
        <tr r="AA34" s="36"/>
      </tp>
      <tp t="e">
        <v>#N/A</v>
        <stp/>
        <stp>BDH|17844869877481833760</stp>
        <tr r="Z97" s="32"/>
      </tp>
      <tp t="e">
        <v>#N/A</v>
        <stp/>
        <stp>BDH|16107884841456709288</stp>
        <tr r="N28" s="36"/>
      </tp>
      <tp t="e">
        <v>#N/A</v>
        <stp/>
        <stp>BDH|18099033691338504706</stp>
        <tr r="AL33" s="36"/>
      </tp>
      <tp t="e">
        <v>#N/A</v>
        <stp/>
        <stp>BDH|17901745168190406868</stp>
        <tr r="Q167" s="39"/>
      </tp>
      <tp t="e">
        <v>#N/A</v>
        <stp/>
        <stp>BDH|14164266890482801388</stp>
        <tr r="AC90" s="32"/>
      </tp>
      <tp t="e">
        <v>#N/A</v>
        <stp/>
        <stp>BDH|17317442298630839405</stp>
        <tr r="R28" s="22"/>
      </tp>
      <tp t="e">
        <v>#N/A</v>
        <stp/>
        <stp>BDH|11804123043823782990</stp>
        <tr r="AC46" s="32"/>
      </tp>
      <tp t="e">
        <v>#N/A</v>
        <stp/>
        <stp>BDH|11110423893695378742</stp>
        <tr r="AA47" s="22"/>
        <tr r="AA47" s="35"/>
      </tp>
      <tp t="e">
        <v>#N/A</v>
        <stp/>
        <stp>BDH|13637273190677603107</stp>
        <tr r="F20" s="34"/>
      </tp>
      <tp t="e">
        <v>#N/A</v>
        <stp/>
        <stp>BDH|11933111079028045161</stp>
        <tr r="X97" s="32"/>
      </tp>
      <tp t="e">
        <v>#N/A</v>
        <stp/>
        <stp>BDH|18046534309315459690</stp>
        <tr r="Z150" s="39"/>
      </tp>
      <tp t="e">
        <v>#N/A</v>
        <stp/>
        <stp>BDH|14244447383567516171</stp>
        <tr r="R143" s="39"/>
      </tp>
      <tp t="e">
        <v>#N/A</v>
        <stp/>
        <stp>BDH|10662235273279827296</stp>
        <tr r="U88" s="32"/>
      </tp>
      <tp t="e">
        <v>#N/A</v>
        <stp/>
        <stp>BDH|11192030577250765846</stp>
        <tr r="R192" s="39"/>
      </tp>
      <tp t="e">
        <v>#N/A</v>
        <stp/>
        <stp>BDH|15724921833393335238</stp>
        <tr r="O28" s="34"/>
      </tp>
      <tp t="e">
        <v>#N/A</v>
        <stp/>
        <stp>BDH|10088269765803709929</stp>
        <tr r="Y159" s="39"/>
      </tp>
      <tp t="e">
        <v>#N/A</v>
        <stp/>
        <stp>BDH|13796244569598899141</stp>
        <tr r="AA207" s="39"/>
      </tp>
      <tp t="e">
        <v>#N/A</v>
        <stp/>
        <stp>BDH|14207600901509673535</stp>
        <tr r="V135" s="39"/>
      </tp>
      <tp t="e">
        <v>#N/A</v>
        <stp/>
        <stp>BDH|15739010213438034232</stp>
        <tr r="C36" s="37"/>
      </tp>
      <tp t="e">
        <v>#N/A</v>
        <stp/>
        <stp>BDH|14248027697324864790</stp>
        <tr r="V80" s="32"/>
      </tp>
      <tp t="e">
        <v>#N/A</v>
        <stp/>
        <stp>BDH|11849607988777463627</stp>
        <tr r="Q212" s="39"/>
      </tp>
      <tp t="e">
        <v>#N/A</v>
        <stp/>
        <stp>BDH|17499490392753250742</stp>
        <tr r="I28" s="24"/>
      </tp>
      <tp t="e">
        <v>#N/A</v>
        <stp/>
        <stp>BDH|11750570883980264285</stp>
        <tr r="Y50" s="32"/>
      </tp>
      <tp t="e">
        <v>#N/A</v>
        <stp/>
        <stp>BDH|12959249500797413906</stp>
        <tr r="W44" s="32"/>
      </tp>
      <tp t="e">
        <v>#N/A</v>
        <stp/>
        <stp>BDH|14557982946406146136</stp>
        <tr r="Q207" s="39"/>
      </tp>
      <tp t="e">
        <v>#N/A</v>
        <stp/>
        <stp>BDH|10797420791030409382</stp>
        <tr r="Y21" s="22"/>
      </tp>
      <tp t="e">
        <v>#N/A</v>
        <stp/>
        <stp>BDH|14103454904288990616</stp>
        <tr r="Y26" s="35"/>
      </tp>
      <tp t="e">
        <v>#N/A</v>
        <stp/>
        <stp>BDH|14963726383847690269</stp>
        <tr r="AE26" s="36"/>
      </tp>
      <tp t="e">
        <v>#N/A</v>
        <stp/>
        <stp>BDH|15115398456374020964</stp>
        <tr r="AD30" s="36"/>
      </tp>
      <tp t="e">
        <v>#N/A</v>
        <stp/>
        <stp>BDH|10511843529841562550</stp>
        <tr r="AB21" s="32"/>
      </tp>
      <tp t="e">
        <v>#N/A</v>
        <stp/>
        <stp>BDH|15707822472893684795</stp>
        <tr r="R37" s="32"/>
      </tp>
      <tp t="e">
        <v>#N/A</v>
        <stp/>
        <stp>BDH|11202553734471802833</stp>
        <tr r="G38" s="37"/>
      </tp>
      <tp t="e">
        <v>#N/A</v>
        <stp/>
        <stp>BDH|18010639149324235033</stp>
        <tr r="G26" s="24"/>
      </tp>
      <tp t="e">
        <v>#N/A</v>
        <stp/>
        <stp>BDH|12001949428990037779</stp>
        <tr r="Z80" s="32"/>
      </tp>
      <tp t="e">
        <v>#N/A</v>
        <stp/>
        <stp>BDH|13485088825549343618</stp>
        <tr r="D30" s="35"/>
      </tp>
      <tp t="e">
        <v>#N/A</v>
        <stp/>
        <stp>BDH|15015889396523561903</stp>
        <tr r="Q29" s="35"/>
      </tp>
      <tp t="e">
        <v>#N/A</v>
        <stp/>
        <stp>BDH|13960564045299084518</stp>
        <tr r="I31" s="36"/>
      </tp>
      <tp t="e">
        <v>#N/A</v>
        <stp/>
        <stp>BDH|14659293200110022840</stp>
        <tr r="V171" s="39"/>
      </tp>
      <tp t="e">
        <v>#N/A</v>
        <stp/>
        <stp>BDH|14211075517232085984</stp>
        <tr r="AD7" s="32"/>
      </tp>
      <tp t="e">
        <v>#N/A</v>
        <stp/>
        <stp>BDH|12246482195911236072</stp>
        <tr r="L28" s="38"/>
      </tp>
      <tp t="e">
        <v>#N/A</v>
        <stp/>
        <stp>BDH|18005828999627084015</stp>
        <tr r="G26" s="38"/>
      </tp>
      <tp t="e">
        <v>#N/A</v>
        <stp/>
        <stp>BDH|11248429858238447668</stp>
        <tr r="N29" s="37"/>
      </tp>
      <tp t="e">
        <v>#N/A</v>
        <stp/>
        <stp>BDH|11228242727258236793</stp>
        <tr r="W149" s="39"/>
      </tp>
      <tp t="e">
        <v>#N/A</v>
        <stp/>
        <stp>BDH|18318375794749275580</stp>
        <tr r="C35" s="36"/>
      </tp>
      <tp t="e">
        <v>#N/A</v>
        <stp/>
        <stp>BDH|16485983141463388643</stp>
        <tr r="T120" s="39"/>
      </tp>
      <tp t="e">
        <v>#N/A</v>
        <stp/>
        <stp>BDH|11486092668589977013</stp>
        <tr r="C27" s="22"/>
      </tp>
      <tp t="e">
        <v>#N/A</v>
        <stp/>
        <stp>BDH|12993888810756421388</stp>
        <tr r="U189" s="39"/>
      </tp>
      <tp t="e">
        <v>#N/A</v>
        <stp/>
        <stp>BDH|14553735118009245518</stp>
        <tr r="Y29" s="35"/>
      </tp>
      <tp t="e">
        <v>#N/A</v>
        <stp/>
        <stp>BDH|12924334994493501561</stp>
        <tr r="AA198" s="39"/>
      </tp>
      <tp t="e">
        <v>#N/A</v>
        <stp/>
        <stp>BDH|18200851882752826406</stp>
        <tr r="AK26" s="36"/>
      </tp>
      <tp t="e">
        <v>#N/A</v>
        <stp/>
        <stp>BDH|15376998336941157004</stp>
        <tr r="R162" s="39"/>
      </tp>
      <tp t="e">
        <v>#N/A</v>
        <stp/>
        <stp>BDH|12940980748640474103</stp>
        <tr r="X31" s="36"/>
      </tp>
      <tp t="e">
        <v>#N/A</v>
        <stp/>
        <stp>BDH|12085720387644968700</stp>
        <tr r="T83" s="32"/>
      </tp>
      <tp t="e">
        <v>#N/A</v>
        <stp/>
        <stp>BDH|13672905177360415398</stp>
        <tr r="X72" s="32"/>
      </tp>
      <tp t="e">
        <v>#N/A</v>
        <stp/>
        <stp>BDH|13896333656769817291</stp>
        <tr r="R102" s="32"/>
      </tp>
      <tp t="e">
        <v>#N/A</v>
        <stp/>
        <stp>BDH|10213874468588349824</stp>
        <tr r="M31" s="37"/>
      </tp>
      <tp t="e">
        <v>#N/A</v>
        <stp/>
        <stp>BDH|17264534902585597994</stp>
        <tr r="N32" s="37"/>
      </tp>
      <tp t="e">
        <v>#N/A</v>
        <stp/>
        <stp>BDH|10659474793826485598</stp>
        <tr r="U140" s="39"/>
      </tp>
      <tp t="e">
        <v>#N/A</v>
        <stp/>
        <stp>BDH|14984101283455703624</stp>
        <tr r="W19" s="22"/>
      </tp>
      <tp t="e">
        <v>#N/A</v>
        <stp/>
        <stp>BDH|12993759441909501671</stp>
        <tr r="AD69" s="32"/>
      </tp>
      <tp t="e">
        <v>#N/A</v>
        <stp/>
        <stp>BDH|15022496646558572359</stp>
        <tr r="U29" s="36"/>
      </tp>
      <tp t="e">
        <v>#N/A</v>
        <stp/>
        <stp>BDH|13395671971755844926</stp>
        <tr r="AD44" s="32"/>
      </tp>
      <tp t="e">
        <v>#N/A</v>
        <stp/>
        <stp>BDH|15320651588115676078</stp>
        <tr r="T73" s="32"/>
      </tp>
      <tp t="e">
        <v>#N/A</v>
        <stp/>
        <stp>BDH|12867268285774435206</stp>
        <tr r="Q144" s="39"/>
      </tp>
      <tp t="e">
        <v>#N/A</v>
        <stp/>
        <stp>BDH|17406899447905293075</stp>
        <tr r="U109" s="32"/>
      </tp>
      <tp t="e">
        <v>#N/A</v>
        <stp/>
        <stp>BDH|15884566392620591762</stp>
        <tr r="B20" s="34"/>
      </tp>
      <tp t="e">
        <v>#N/A</v>
        <stp/>
        <stp>BDH|11794449824718856102</stp>
        <tr r="F23" s="24"/>
      </tp>
      <tp t="e">
        <v>#N/A</v>
        <stp/>
        <stp>BDH|12665165046128114199</stp>
        <tr r="O36" s="36"/>
      </tp>
      <tp t="e">
        <v>#N/A</v>
        <stp/>
        <stp>BDH|15766494095505651333</stp>
        <tr r="T182" s="39"/>
      </tp>
      <tp t="e">
        <v>#N/A</v>
        <stp/>
        <stp>BDH|12349739914752380895</stp>
        <tr r="AB85" s="32"/>
      </tp>
      <tp t="e">
        <v>#N/A</v>
        <stp/>
        <stp>BDH|17516083227573415800</stp>
        <tr r="U126" s="39"/>
      </tp>
      <tp t="e">
        <v>#N/A</v>
        <stp/>
        <stp>BDH|13067207680335760291</stp>
        <tr r="AA118" s="39"/>
      </tp>
      <tp t="e">
        <v>#N/A</v>
        <stp/>
        <stp>BDH|14447630280945903108</stp>
        <tr r="H19" s="24"/>
      </tp>
    </main>
    <main first="bofaddin.rtdserver">
      <tp t="e">
        <v>#N/A</v>
        <stp/>
        <stp>BDH|13137868487069742564</stp>
        <tr r="V169" s="39"/>
      </tp>
      <tp t="e">
        <v>#N/A</v>
        <stp/>
        <stp>BDH|16468674499206396083</stp>
        <tr r="Y191" s="39"/>
      </tp>
      <tp t="e">
        <v>#N/A</v>
        <stp/>
        <stp>BDH|14070557781683666539</stp>
        <tr r="V162" s="39"/>
      </tp>
      <tp t="e">
        <v>#N/A</v>
        <stp/>
        <stp>BDH|12261903377184792734</stp>
        <tr r="AB5" s="32"/>
      </tp>
      <tp t="e">
        <v>#N/A</v>
        <stp/>
        <stp>BDH|12259378694970751779</stp>
        <tr r="K30" s="38"/>
      </tp>
      <tp t="e">
        <v>#N/A</v>
        <stp/>
        <stp>BDH|10255879572270208043</stp>
        <tr r="D25" s="24"/>
      </tp>
      <tp t="e">
        <v>#N/A</v>
        <stp/>
        <stp>BDH|12582217282744687312</stp>
        <tr r="Y132" s="39"/>
      </tp>
      <tp t="e">
        <v>#N/A</v>
        <stp/>
        <stp>BDH|13522804711070460517</stp>
        <tr r="H23" s="22"/>
      </tp>
      <tp t="e">
        <v>#N/A</v>
        <stp/>
        <stp>BDH|18422074802870413749</stp>
        <tr r="V20" s="32"/>
      </tp>
      <tp t="e">
        <v>#N/A</v>
        <stp/>
        <stp>BDH|10316382259438045135</stp>
        <tr r="L25" s="34"/>
      </tp>
      <tp t="e">
        <v>#N/A</v>
        <stp/>
        <stp>BDH|16398557242490330873</stp>
        <tr r="S152" s="39"/>
      </tp>
      <tp t="e">
        <v>#N/A</v>
        <stp/>
        <stp>BDH|11175391479583344928</stp>
        <tr r="C23" s="34"/>
      </tp>
      <tp t="e">
        <v>#N/A</v>
        <stp/>
        <stp>BDH|15466742223388793743</stp>
        <tr r="AD24" s="32"/>
      </tp>
      <tp t="e">
        <v>#N/A</v>
        <stp/>
        <stp>BDH|18362852319986810870</stp>
        <tr r="AB70" s="32"/>
      </tp>
      <tp t="e">
        <v>#N/A</v>
        <stp/>
        <stp>BDH|17806840409220755026</stp>
        <tr r="S117" s="39"/>
      </tp>
      <tp t="e">
        <v>#N/A</v>
        <stp/>
        <stp>BDH|17509019030903574810</stp>
        <tr r="AA183" s="39"/>
      </tp>
      <tp t="e">
        <v>#N/A</v>
        <stp/>
        <stp>BDH|16430962694161072860</stp>
        <tr r="T39" s="32"/>
      </tp>
      <tp t="e">
        <v>#N/A</v>
        <stp/>
        <stp>BDH|13997564818671266959</stp>
        <tr r="AC41" s="32"/>
      </tp>
      <tp t="e">
        <v>#N/A</v>
        <stp/>
        <stp>BDH|16605847064955697203</stp>
        <tr r="G24" s="22"/>
      </tp>
      <tp t="e">
        <v>#N/A</v>
        <stp/>
        <stp>BDH|11210337297915070153</stp>
        <tr r="AA206" s="39"/>
      </tp>
      <tp t="e">
        <v>#N/A</v>
        <stp/>
        <stp>BDH|18043468755936098006</stp>
        <tr r="AC58" s="32"/>
      </tp>
      <tp t="e">
        <v>#N/A</v>
        <stp/>
        <stp>BDH|11795854572680535161</stp>
        <tr r="AA23" s="36"/>
      </tp>
      <tp t="e">
        <v>#N/A</v>
        <stp/>
        <stp>BDH|10050651509689987062</stp>
        <tr r="Y27" s="36"/>
      </tp>
      <tp t="e">
        <v>#N/A</v>
        <stp/>
        <stp>BDH|15074436361091735961</stp>
        <tr r="P27" s="36"/>
      </tp>
      <tp t="e">
        <v>#N/A</v>
        <stp/>
        <stp>BDH|11710879341823274106</stp>
        <tr r="V90" s="32"/>
      </tp>
      <tp t="e">
        <v>#N/A</v>
        <stp/>
        <stp>BDH|10654419373598354457</stp>
        <tr r="V156" s="39"/>
      </tp>
      <tp t="e">
        <v>#N/A</v>
        <stp/>
        <stp>BDH|15333128790596720442</stp>
        <tr r="AA4" s="32"/>
      </tp>
      <tp t="e">
        <v>#N/A</v>
        <stp/>
        <stp>BDH|12258516086637311747</stp>
        <tr r="X184" s="39"/>
      </tp>
      <tp t="e">
        <v>#N/A</v>
        <stp/>
        <stp>BDH|16571916505571037134</stp>
        <tr r="Z175" s="39"/>
      </tp>
      <tp t="e">
        <v>#N/A</v>
        <stp/>
        <stp>BDH|16102914246056557212</stp>
        <tr r="S188" s="39"/>
      </tp>
      <tp t="e">
        <v>#N/A</v>
        <stp/>
        <stp>BDH|17348828123472800088</stp>
        <tr r="D31" s="38"/>
      </tp>
      <tp t="e">
        <v>#N/A</v>
        <stp/>
        <stp>BDH|13210411261796740873</stp>
        <tr r="AC84" s="32"/>
      </tp>
      <tp t="e">
        <v>#N/A</v>
        <stp/>
        <stp>BDH|13123639491277403459</stp>
        <tr r="AA138" s="39"/>
      </tp>
      <tp t="e">
        <v>#N/A</v>
        <stp/>
        <stp>BDH|15626997834998099893</stp>
        <tr r="E35" s="37"/>
      </tp>
      <tp t="e">
        <v>#N/A</v>
        <stp/>
        <stp>BDH|17912754150168968276</stp>
        <tr r="AB23" s="35"/>
      </tp>
      <tp t="e">
        <v>#N/A</v>
        <stp/>
        <stp>BDH|15773044757187067818</stp>
        <tr r="Y146" s="39"/>
      </tp>
      <tp t="e">
        <v>#N/A</v>
        <stp/>
        <stp>BDH|13054750948629871606</stp>
        <tr r="AA137" s="39"/>
      </tp>
      <tp t="e">
        <v>#N/A</v>
        <stp/>
        <stp>BDH|15727887908173307115</stp>
        <tr r="S211" s="39"/>
      </tp>
      <tp t="e">
        <v>#N/A</v>
        <stp/>
        <stp>BDH|11122592325670806902</stp>
        <tr r="X169" s="39"/>
      </tp>
      <tp t="e">
        <v>#N/A</v>
        <stp/>
        <stp>BDH|16897545185830816441</stp>
        <tr r="R110" s="32"/>
      </tp>
      <tp t="e">
        <v>#N/A</v>
        <stp/>
        <stp>BDH|12182066336607335966</stp>
        <tr r="R65" s="32"/>
      </tp>
      <tp t="e">
        <v>#N/A</v>
        <stp/>
        <stp>BDH|15331604941209318158</stp>
        <tr r="Y47" s="32"/>
      </tp>
      <tp t="e">
        <v>#N/A</v>
        <stp/>
        <stp>BDH|18411542392152565938</stp>
        <tr r="L21" s="34"/>
      </tp>
      <tp t="e">
        <v>#N/A</v>
        <stp/>
        <stp>BDH|17878050991662022381</stp>
        <tr r="G36" s="38"/>
      </tp>
      <tp t="e">
        <v>#N/A</v>
        <stp/>
        <stp>BDH|12724502957399690428</stp>
        <tr r="AB197" s="39"/>
        <tr r="AC197" s="39"/>
      </tp>
      <tp t="e">
        <v>#N/A</v>
        <stp/>
        <stp>BDH|10905185968208946042</stp>
        <tr r="Q163" s="39"/>
      </tp>
      <tp t="e">
        <v>#N/A</v>
        <stp/>
        <stp>BDH|16706466145009548055</stp>
        <tr r="K32" s="36"/>
      </tp>
      <tp t="e">
        <v>#N/A</v>
        <stp/>
        <stp>BDH|15529718089781904436</stp>
        <tr r="AA33" s="36"/>
      </tp>
      <tp t="e">
        <v>#N/A</v>
        <stp/>
        <stp>BDH|11847027056753341887</stp>
        <tr r="K19" s="35"/>
      </tp>
      <tp t="e">
        <v>#N/A</v>
        <stp/>
        <stp>BDH|10139767785080619033</stp>
        <tr r="K38" s="37"/>
      </tp>
      <tp t="e">
        <v>#N/A</v>
        <stp/>
        <stp>BDH|16406876632447774513</stp>
        <tr r="U101" s="32"/>
      </tp>
      <tp t="e">
        <v>#N/A</v>
        <stp/>
        <stp>BDH|16969513375063291897</stp>
        <tr r="X52" s="32"/>
      </tp>
      <tp t="e">
        <v>#N/A</v>
        <stp/>
        <stp>BDH|14053991732473984243</stp>
        <tr r="S62" s="32"/>
      </tp>
      <tp t="e">
        <v>#N/A</v>
        <stp/>
        <stp>BDH|16702905747831461520</stp>
        <tr r="AA165" s="39"/>
      </tp>
      <tp t="e">
        <v>#N/A</v>
        <stp/>
        <stp>BDH|15412842380008197271</stp>
        <tr r="AC98" s="32"/>
      </tp>
      <tp t="e">
        <v>#N/A</v>
        <stp/>
        <stp>BDH|13636652289135536799</stp>
        <tr r="G27" s="22"/>
      </tp>
      <tp t="e">
        <v>#N/A</v>
        <stp/>
        <stp>BDH|11991990427426025317</stp>
        <tr r="E22" s="22"/>
      </tp>
      <tp t="e">
        <v>#N/A</v>
        <stp/>
        <stp>BDH|10465360341270796822</stp>
        <tr r="V85" s="32"/>
      </tp>
      <tp t="e">
        <v>#N/A</v>
        <stp/>
        <stp>BDH|17040020927118696252</stp>
        <tr r="AB209" s="39"/>
        <tr r="AC209" s="39"/>
      </tp>
      <tp t="e">
        <v>#N/A</v>
        <stp/>
        <stp>BDH|11212745480532098304</stp>
        <tr r="R176" s="39"/>
      </tp>
      <tp t="e">
        <v>#N/A</v>
        <stp/>
        <stp>BDH|11149241641968003020</stp>
        <tr r="S96" s="32"/>
      </tp>
      <tp t="e">
        <v>#N/A</v>
        <stp/>
        <stp>BDH|11216771584889031878</stp>
        <tr r="Y31" s="36"/>
      </tp>
      <tp t="e">
        <v>#N/A</v>
        <stp/>
        <stp>BDH|18027917881276427027</stp>
        <tr r="U7" s="32"/>
      </tp>
      <tp t="e">
        <v>#N/A</v>
        <stp/>
        <stp>BDH|13614080263492827836</stp>
        <tr r="AC3" s="32"/>
      </tp>
      <tp t="e">
        <v>#N/A</v>
        <stp/>
        <stp>BDH|16943674022785252884</stp>
        <tr r="C27" s="35"/>
      </tp>
      <tp t="e">
        <v>#N/A</v>
        <stp/>
        <stp>BDH|17419356345659337617</stp>
        <tr r="C2" s="29"/>
      </tp>
      <tp t="e">
        <v>#N/A</v>
        <stp/>
        <stp>BDH|13830194604319939458</stp>
        <tr r="R107" s="32"/>
      </tp>
      <tp t="e">
        <v>#N/A</v>
        <stp/>
        <stp>BDH|16592055573167328991</stp>
        <tr r="T19" s="32"/>
      </tp>
      <tp t="e">
        <v>#N/A</v>
        <stp/>
        <stp>BDH|10019068105856944939</stp>
        <tr r="W103" s="32"/>
      </tp>
      <tp t="e">
        <v>#N/A</v>
        <stp/>
        <stp>BDH|17394591820388690753</stp>
        <tr r="G27" s="35"/>
      </tp>
      <tp t="e">
        <v>#N/A</v>
        <stp/>
        <stp>BDH|13175172696070043490</stp>
        <tr r="H19" s="22"/>
      </tp>
      <tp t="e">
        <v>#N/A</v>
        <stp/>
        <stp>BDH|15895258125992340834</stp>
        <tr r="C29" s="24"/>
      </tp>
      <tp t="e">
        <v>#N/A</v>
        <stp/>
        <stp>BDH|12332297085632031579</stp>
        <tr r="F24" s="22"/>
      </tp>
      <tp t="e">
        <v>#N/A</v>
        <stp/>
        <stp>BDH|10372961071087405688</stp>
        <tr r="AA23" s="35"/>
      </tp>
      <tp t="e">
        <v>#N/A</v>
        <stp/>
        <stp>BDH|16963181388036105604</stp>
        <tr r="S197" s="39"/>
      </tp>
      <tp t="e">
        <v>#N/A</v>
        <stp/>
        <stp>BDH|13282237998976753162</stp>
        <tr r="AA20" s="22"/>
      </tp>
      <tp t="e">
        <v>#N/A</v>
        <stp/>
        <stp>BDH|13498058719129193418</stp>
        <tr r="W119" s="39"/>
      </tp>
      <tp t="e">
        <v>#N/A</v>
        <stp/>
        <stp>BDH|10008552579979788434</stp>
        <tr r="C24" s="34"/>
      </tp>
      <tp t="e">
        <v>#N/A</v>
        <stp/>
        <stp>BDH|17843172511249227174</stp>
        <tr r="E30" s="36"/>
      </tp>
      <tp t="e">
        <v>#N/A</v>
        <stp/>
        <stp>BDH|17398963039962319040</stp>
        <tr r="AB189" s="39"/>
        <tr r="AC189" s="39"/>
      </tp>
      <tp t="e">
        <v>#N/A</v>
        <stp/>
        <stp>BDH|12077069523386843969</stp>
        <tr r="H28" s="22"/>
      </tp>
      <tp t="e">
        <v>#N/A</v>
        <stp/>
        <stp>BDH|17071057038668083376</stp>
        <tr r="X32" s="36"/>
      </tp>
      <tp t="e">
        <v>#N/A</v>
        <stp/>
        <stp>BDH|11822914153452022007</stp>
        <tr r="Z10" s="32"/>
      </tp>
      <tp t="e">
        <v>#N/A</v>
        <stp/>
        <stp>BDH|16542093275158472676</stp>
        <tr r="R136" s="39"/>
      </tp>
      <tp t="e">
        <v>#N/A</v>
        <stp/>
        <stp>BDH|15664790864049185275</stp>
        <tr r="R28" s="32"/>
      </tp>
      <tp t="e">
        <v>#N/A</v>
        <stp/>
        <stp>BDH|18006339778356015562</stp>
        <tr r="AC34" s="32"/>
      </tp>
      <tp t="e">
        <v>#N/A</v>
        <stp/>
        <stp>BDH|17796187886453404202</stp>
        <tr r="AA41" s="32"/>
      </tp>
      <tp t="e">
        <v>#N/A</v>
        <stp/>
        <stp>BDH|16565751468580390865</stp>
        <tr r="Y113" s="39"/>
      </tp>
      <tp t="e">
        <v>#N/A</v>
        <stp/>
        <stp>BDH|14220192603823100945</stp>
        <tr r="V98" s="32"/>
      </tp>
      <tp t="e">
        <v>#N/A</v>
        <stp/>
        <stp>BDH|16415923319266134732</stp>
        <tr r="F28" s="34"/>
      </tp>
      <tp t="e">
        <v>#N/A</v>
        <stp/>
        <stp>BDH|10121862317650527685</stp>
        <tr r="J27" s="38"/>
      </tp>
      <tp t="e">
        <v>#N/A</v>
        <stp/>
        <stp>BDH|18422003748194509745</stp>
        <tr r="H20" s="22"/>
      </tp>
      <tp t="e">
        <v>#N/A</v>
        <stp/>
        <stp>BDH|14850388837079822230</stp>
        <tr r="H21" s="35"/>
      </tp>
      <tp t="e">
        <v>#N/A</v>
        <stp/>
        <stp>BDH|14293637516718809436</stp>
        <tr r="AB136" s="39"/>
        <tr r="AC136" s="39"/>
      </tp>
      <tp t="e">
        <v>#N/A</v>
        <stp/>
        <stp>BDH|18360280911845352157</stp>
        <tr r="U18" s="35"/>
      </tp>
      <tp t="e">
        <v>#N/A</v>
        <stp/>
        <stp>BDH|10354948656373532081</stp>
        <tr r="T203" s="39"/>
      </tp>
      <tp t="e">
        <v>#N/A</v>
        <stp/>
        <stp>BDH|15344890537696606773</stp>
        <tr r="V26" s="22"/>
      </tp>
      <tp t="e">
        <v>#N/A</v>
        <stp/>
        <stp>BDH|16180702198886571105</stp>
        <tr r="Z62" s="32"/>
      </tp>
      <tp t="e">
        <v>#N/A</v>
        <stp/>
        <stp>BDH|14903381444719814513</stp>
        <tr r="T65" s="32"/>
      </tp>
      <tp t="e">
        <v>#N/A</v>
        <stp/>
        <stp>BDH|12771315934859504481</stp>
        <tr r="V20" s="35"/>
      </tp>
      <tp t="e">
        <v>#N/A</v>
        <stp/>
        <stp>BDH|14989866021470224133</stp>
        <tr r="T45" s="32"/>
      </tp>
      <tp t="e">
        <v>#N/A</v>
        <stp/>
        <stp>BDH|18214657894708863045</stp>
        <tr r="N28" s="34"/>
      </tp>
      <tp t="e">
        <v>#N/A</v>
        <stp/>
        <stp>BDH|13494485331172566979</stp>
        <tr r="AD92" s="32"/>
      </tp>
      <tp t="e">
        <v>#N/A</v>
        <stp/>
        <stp>BDH|11232097190534070344</stp>
        <tr r="U190" s="39"/>
      </tp>
      <tp t="e">
        <v>#N/A</v>
        <stp/>
        <stp>BDH|17178110288197568621</stp>
        <tr r="R27" s="22"/>
      </tp>
      <tp t="e">
        <v>#N/A</v>
        <stp/>
        <stp>BDH|17132297181450379253</stp>
        <tr r="AD9" s="32"/>
      </tp>
      <tp t="e">
        <v>#N/A</v>
        <stp/>
        <stp>BDH|14062852737359956958</stp>
        <tr r="X24" s="35"/>
      </tp>
      <tp t="e">
        <v>#N/A</v>
        <stp/>
        <stp>BDH|17059894046804157004</stp>
        <tr r="S151" s="39"/>
      </tp>
      <tp t="e">
        <v>#N/A</v>
        <stp/>
        <stp>BDH|10966641894462645214</stp>
        <tr r="N24" s="22"/>
      </tp>
      <tp t="e">
        <v>#N/A</v>
        <stp/>
        <stp>BDH|15784804558861308627</stp>
        <tr r="S164" s="39"/>
      </tp>
      <tp t="e">
        <v>#N/A</v>
        <stp/>
        <stp>BDH|14652279501831648886</stp>
        <tr r="H27" s="24"/>
      </tp>
      <tp t="e">
        <v>#N/A</v>
        <stp/>
        <stp>BDH|17304758035635599983</stp>
        <tr r="O19" s="34"/>
      </tp>
      <tp t="e">
        <v>#N/A</v>
        <stp/>
        <stp>BDH|17727987876585571323</stp>
        <tr r="U131" s="39"/>
      </tp>
      <tp t="e">
        <v>#N/A</v>
        <stp/>
        <stp>BDH|17461246538588874219</stp>
        <tr r="V180" s="39"/>
      </tp>
      <tp t="e">
        <v>#N/A</v>
        <stp/>
        <stp>BDH|13462949633272509774</stp>
        <tr r="T18" s="35"/>
      </tp>
      <tp t="e">
        <v>#N/A</v>
        <stp/>
        <stp>BDH|17503710624259694773</stp>
        <tr r="W147" s="39"/>
      </tp>
      <tp t="e">
        <v>#N/A</v>
        <stp/>
        <stp>BDH|12509678102381530945</stp>
        <tr r="V210" s="39"/>
      </tp>
      <tp t="e">
        <v>#N/A</v>
        <stp/>
        <stp>BDH|15019541265029793375</stp>
        <tr r="X18" s="35"/>
      </tp>
      <tp t="e">
        <v>#N/A</v>
        <stp/>
        <stp>BDH|15162295297266952476</stp>
        <tr r="T26" s="34"/>
      </tp>
      <tp t="e">
        <v>#N/A</v>
        <stp/>
        <stp>BDH|17368482882745866204</stp>
        <tr r="AA10" s="32"/>
      </tp>
      <tp t="e">
        <v>#N/A</v>
        <stp/>
        <stp>BDH|12893166891072806469</stp>
        <tr r="AA19" s="22"/>
      </tp>
      <tp t="e">
        <v>#N/A</v>
        <stp/>
        <stp>BDH|10910957337397841124</stp>
        <tr r="Y143" s="39"/>
      </tp>
      <tp t="e">
        <v>#N/A</v>
        <stp/>
        <stp>BDH|13758221976193017920</stp>
        <tr r="U141" s="39"/>
      </tp>
      <tp t="e">
        <v>#N/A</v>
        <stp/>
        <stp>BDH|10410602071949688439</stp>
        <tr r="AC33" s="36"/>
      </tp>
      <tp t="e">
        <v>#N/A</v>
        <stp/>
        <stp>BDH|13933583813768447368</stp>
        <tr r="K33" s="36"/>
      </tp>
      <tp t="e">
        <v>#N/A</v>
        <stp/>
        <stp>BDH|14342083689860769056</stp>
        <tr r="L21" s="22"/>
      </tp>
      <tp t="e">
        <v>#N/A</v>
        <stp/>
        <stp>BDH|13011663208730872960</stp>
        <tr r="V59" s="32"/>
      </tp>
      <tp t="e">
        <v>#N/A</v>
        <stp/>
        <stp>BDH|13417052895112717435</stp>
        <tr r="V36" s="32"/>
      </tp>
      <tp t="e">
        <v>#N/A</v>
        <stp/>
        <stp>BDH|10999418879687832892</stp>
        <tr r="H23" s="36"/>
      </tp>
      <tp t="e">
        <v>#N/A</v>
        <stp/>
        <stp>BDH|11488407424973365834</stp>
        <tr r="Y65" s="32"/>
      </tp>
      <tp t="e">
        <v>#N/A</v>
        <stp/>
        <stp>BDH|17114770116595204820</stp>
        <tr r="AH33" s="36"/>
      </tp>
      <tp t="e">
        <v>#N/A</v>
        <stp/>
        <stp>BDH|12694211901505602937</stp>
        <tr r="AJ36" s="36"/>
      </tp>
      <tp t="e">
        <v>#N/A</v>
        <stp/>
        <stp>BDH|16698859369512981604</stp>
        <tr r="K22" s="24"/>
      </tp>
      <tp t="e">
        <v>#N/A</v>
        <stp/>
        <stp>BDH|12333261384582601648</stp>
        <tr r="V22" s="32"/>
      </tp>
      <tp t="e">
        <v>#N/A</v>
        <stp/>
        <stp>BDH|18113114043464073508</stp>
        <tr r="D30" s="38"/>
      </tp>
      <tp t="e">
        <v>#N/A</v>
        <stp/>
        <stp>BDH|10335271315448624749</stp>
        <tr r="AN27" s="36"/>
      </tp>
      <tp t="e">
        <v>#N/A</v>
        <stp/>
        <stp>BDH|10711260363818635079</stp>
        <tr r="V32" s="32"/>
      </tp>
      <tp t="e">
        <v>#N/A</v>
        <stp/>
        <stp>BDH|17373335074558277752</stp>
        <tr r="Q114" s="39"/>
      </tp>
      <tp t="e">
        <v>#N/A</v>
        <stp/>
        <stp>BDH|10468134557280544865</stp>
        <tr r="J26" s="34"/>
      </tp>
      <tp t="e">
        <v>#N/A</v>
        <stp/>
        <stp>BDH|17317353019200943951</stp>
        <tr r="AD45" s="32"/>
      </tp>
      <tp t="e">
        <v>#N/A</v>
        <stp/>
        <stp>BDH|13535092977908826011</stp>
        <tr r="AD99" s="32"/>
      </tp>
      <tp t="e">
        <v>#N/A</v>
        <stp/>
        <stp>BDH|11711108390231036453</stp>
        <tr r="W166" s="39"/>
      </tp>
      <tp t="e">
        <v>#N/A</v>
        <stp/>
        <stp>BDH|10426092676563986807</stp>
        <tr r="Q178" s="39"/>
      </tp>
      <tp t="e">
        <v>#N/A</v>
        <stp/>
        <stp>BDH|17404535091181384675</stp>
        <tr r="R23" s="22"/>
      </tp>
      <tp t="e">
        <v>#N/A</v>
        <stp/>
        <stp>BDH|14628018104349358124</stp>
        <tr r="H28" s="24"/>
      </tp>
      <tp t="e">
        <v>#N/A</v>
        <stp/>
        <stp>BDH|13756351483824458077</stp>
        <tr r="AD4" s="32"/>
      </tp>
      <tp t="e">
        <v>#N/A</v>
        <stp/>
        <stp>BDH|11945962168734692634</stp>
        <tr r="AC102" s="32"/>
      </tp>
      <tp t="e">
        <v>#N/A</v>
        <stp/>
        <stp>BDH|16736959130323132316</stp>
        <tr r="O26" s="34"/>
      </tp>
      <tp t="e">
        <v>#N/A</v>
        <stp/>
        <stp>BDH|17562767381892784673</stp>
        <tr r="Y15" s="32"/>
      </tp>
      <tp t="e">
        <v>#N/A</v>
        <stp/>
        <stp>BDH|16574143196463728120</stp>
        <tr r="AA73" s="32"/>
      </tp>
      <tp t="e">
        <v>#N/A</v>
        <stp/>
        <stp>BDH|14477223940336068841</stp>
        <tr r="G24" s="35"/>
      </tp>
      <tp t="e">
        <v>#N/A</v>
        <stp/>
        <stp>BDH|15800077465007035884</stp>
        <tr r="AC99" s="32"/>
      </tp>
      <tp t="e">
        <v>#N/A</v>
        <stp/>
        <stp>BDH|11172668383366245548</stp>
        <tr r="V19" s="22"/>
      </tp>
      <tp t="e">
        <v>#N/A</v>
        <stp/>
        <stp>BDH|14904185664218401737</stp>
        <tr r="V87" s="32"/>
      </tp>
      <tp t="e">
        <v>#N/A</v>
        <stp/>
        <stp>BDH|13491216108615875879</stp>
        <tr r="L26" s="34"/>
      </tp>
      <tp t="e">
        <v>#N/A</v>
        <stp/>
        <stp>BDH|18325767607404041702</stp>
        <tr r="J34" s="37"/>
      </tp>
      <tp t="e">
        <v>#N/A</v>
        <stp/>
        <stp>BDH|17996083902179892294</stp>
        <tr r="V83" s="32"/>
      </tp>
      <tp t="e">
        <v>#N/A</v>
        <stp/>
        <stp>BDH|11602747812638769352</stp>
        <tr r="X32" s="32"/>
      </tp>
      <tp t="e">
        <v>#N/A</v>
        <stp/>
        <stp>BDH|11308939711871200468</stp>
        <tr r="AA24" s="32"/>
      </tp>
      <tp t="e">
        <v>#N/A</v>
        <stp/>
        <stp>BDH|18429209132020573561</stp>
        <tr r="M19" s="22"/>
      </tp>
      <tp t="e">
        <v>#N/A</v>
        <stp/>
        <stp>BDH|13471945060446692632</stp>
        <tr r="T143" s="39"/>
      </tp>
      <tp t="e">
        <v>#N/A</v>
        <stp/>
        <stp>BDH|16367074788534895613</stp>
        <tr r="G28" s="35"/>
      </tp>
      <tp t="e">
        <v>#N/A</v>
        <stp/>
        <stp>BDH|10765198669608548370</stp>
        <tr r="S217" s="39"/>
      </tp>
      <tp t="e">
        <v>#N/A</v>
        <stp/>
        <stp>BDH|15096247992070768244</stp>
        <tr r="AB174" s="39"/>
        <tr r="AC174" s="39"/>
      </tp>
      <tp t="e">
        <v>#N/A</v>
        <stp/>
        <stp>BDH|15139972315237251644</stp>
        <tr r="W209" s="39"/>
      </tp>
      <tp t="e">
        <v>#N/A</v>
        <stp/>
        <stp>BDH|18137537727013319035</stp>
        <tr r="G37" s="37"/>
      </tp>
      <tp t="e">
        <v>#N/A</v>
        <stp/>
        <stp>BDH|12368167890577319133</stp>
        <tr r="R41" s="32"/>
      </tp>
      <tp t="e">
        <v>#N/A</v>
        <stp/>
        <stp>BDH|13279121985507756170</stp>
        <tr r="J27" s="22"/>
      </tp>
      <tp t="e">
        <v>#N/A</v>
        <stp/>
        <stp>BDH|10181044120886154814</stp>
        <tr r="AC85" s="32"/>
      </tp>
      <tp t="e">
        <v>#N/A</v>
        <stp/>
        <stp>BDH|12872938606427983016</stp>
        <tr r="X174" s="39"/>
      </tp>
      <tp t="e">
        <v>#N/A</v>
        <stp/>
        <stp>BDH|16442156594603056119</stp>
        <tr r="AA130" s="39"/>
      </tp>
      <tp t="e">
        <v>#N/A</v>
        <stp/>
        <stp>BDH|14603111099572929239</stp>
        <tr r="Q175" s="39"/>
      </tp>
      <tp t="e">
        <v>#N/A</v>
        <stp/>
        <stp>BDH|15499238899585237788</stp>
        <tr r="R88" s="32"/>
      </tp>
      <tp t="e">
        <v>#N/A</v>
        <stp/>
        <stp>BDH|12344746705329679008</stp>
        <tr r="AL32" s="36"/>
      </tp>
      <tp t="e">
        <v>#N/A</v>
        <stp/>
        <stp>BDH|13248133987935281308</stp>
        <tr r="T194" s="39"/>
      </tp>
      <tp t="e">
        <v>#N/A</v>
        <stp/>
        <stp>BDH|17928607951489585195</stp>
        <tr r="Y102" s="32"/>
      </tp>
      <tp t="e">
        <v>#N/A</v>
        <stp/>
        <stp>BDH|17528414423415501863</stp>
        <tr r="AE28" s="36"/>
      </tp>
      <tp t="e">
        <v>#N/A</v>
        <stp/>
        <stp>BDH|13768480739069576170</stp>
        <tr r="Z18" s="35"/>
      </tp>
      <tp t="e">
        <v>#N/A</v>
        <stp/>
        <stp>BDH|10866024046530100897</stp>
        <tr r="I31" s="38"/>
      </tp>
      <tp t="e">
        <v>#N/A</v>
        <stp/>
        <stp>BDH|16635923830325319532</stp>
        <tr r="T28" s="34"/>
      </tp>
      <tp t="e">
        <v>#N/A</v>
        <stp/>
        <stp>BDH|17917147408988414267</stp>
        <tr r="X21" s="22"/>
      </tp>
      <tp t="e">
        <v>#N/A</v>
        <stp/>
        <stp>BDH|12145612979228651789</stp>
        <tr r="Q172" s="39"/>
      </tp>
      <tp t="e">
        <v>#N/A</v>
        <stp/>
        <stp>BDH|11303775312563324825</stp>
        <tr r="N25" s="34"/>
      </tp>
      <tp t="e">
        <v>#N/A</v>
        <stp/>
        <stp>BDH|15314633296335472353</stp>
        <tr r="R131" s="39"/>
      </tp>
      <tp t="e">
        <v>#N/A</v>
        <stp/>
        <stp>BDH|18278228914425184227</stp>
        <tr r="S25" s="32"/>
      </tp>
      <tp t="e">
        <v>#N/A</v>
        <stp/>
        <stp>BDH|13828479289193732077</stp>
        <tr r="S20" s="22"/>
      </tp>
      <tp t="e">
        <v>#N/A</v>
        <stp/>
        <stp>BDH|15831622104398199795</stp>
        <tr r="G21" s="35"/>
      </tp>
      <tp t="e">
        <v>#N/A</v>
        <stp/>
        <stp>BDH|13989127879369572017</stp>
        <tr r="H28" s="36"/>
      </tp>
      <tp t="e">
        <v>#N/A</v>
        <stp/>
        <stp>BDH|13964682344019068431</stp>
        <tr r="AG28" s="36"/>
      </tp>
      <tp t="e">
        <v>#N/A</v>
        <stp/>
        <stp>BDH|18425552756373877795</stp>
        <tr r="S105" s="32"/>
      </tp>
      <tp t="e">
        <v>#N/A</v>
        <stp/>
        <stp>BDH|12238220591244789109</stp>
        <tr r="B28" s="34"/>
      </tp>
      <tp t="e">
        <v>#N/A</v>
        <stp/>
        <stp>BDH|13932849962094846518</stp>
        <tr r="W167" s="39"/>
      </tp>
      <tp t="e">
        <v>#N/A</v>
        <stp/>
        <stp>BDH|10028986008456448320</stp>
        <tr r="Z29" s="32"/>
      </tp>
      <tp t="e">
        <v>#N/A</v>
        <stp/>
        <stp>BDH|18390307384637045818</stp>
        <tr r="T24" s="35"/>
      </tp>
      <tp t="e">
        <v>#N/A</v>
        <stp/>
        <stp>BDH|18205088457430141154</stp>
        <tr r="Z131" s="39"/>
      </tp>
      <tp t="e">
        <v>#N/A</v>
        <stp/>
        <stp>BDH|16708486036319711470</stp>
        <tr r="AC23" s="36"/>
      </tp>
      <tp t="e">
        <v>#N/A</v>
        <stp/>
        <stp>BDH|10922525289868323996</stp>
        <tr r="U120" s="39"/>
      </tp>
      <tp t="e">
        <v>#N/A</v>
        <stp/>
        <stp>BDH|18096432369601365713</stp>
        <tr r="I21" s="34"/>
      </tp>
      <tp t="e">
        <v>#N/A</v>
        <stp/>
        <stp>BDH|10316508974047541997</stp>
        <tr r="M25" s="22"/>
      </tp>
      <tp t="e">
        <v>#N/A</v>
        <stp/>
        <stp>BDH|17831979223956562626</stp>
        <tr r="AB20" s="32"/>
      </tp>
      <tp t="e">
        <v>#N/A</v>
        <stp/>
        <stp>BDH|16551961018082945091</stp>
        <tr r="Z165" s="39"/>
      </tp>
      <tp t="e">
        <v>#N/A</v>
        <stp/>
        <stp>BDH|15976570127057436960</stp>
        <tr r="E23" s="22"/>
      </tp>
      <tp t="e">
        <v>#N/A</v>
        <stp/>
        <stp>BDH|16395535571791215995</stp>
        <tr r="X182" s="39"/>
      </tp>
      <tp t="e">
        <v>#N/A</v>
        <stp/>
        <stp>BDH|13940448383506438504</stp>
        <tr r="AA140" s="39"/>
      </tp>
      <tp t="e">
        <v>#N/A</v>
        <stp/>
        <stp>BDH|16315370379979683713</stp>
        <tr r="AB140" s="39"/>
        <tr r="AC140" s="39"/>
      </tp>
      <tp t="e">
        <v>#N/A</v>
        <stp/>
        <stp>BDH|18042297116261083658</stp>
        <tr r="U19" s="22"/>
      </tp>
      <tp t="e">
        <v>#N/A</v>
        <stp/>
        <stp>BDH|12774912458774068644</stp>
        <tr r="E24" s="22"/>
      </tp>
      <tp t="e">
        <v>#N/A</v>
        <stp/>
        <stp>BDH|16201660045130870836</stp>
        <tr r="R101" s="32"/>
      </tp>
      <tp t="e">
        <v>#N/A</v>
        <stp/>
        <stp>BDH|16395692493597188222</stp>
        <tr r="C26" s="34"/>
      </tp>
      <tp t="e">
        <v>#N/A</v>
        <stp/>
        <stp>BDH|10488901692445811937</stp>
        <tr r="U9" s="32"/>
      </tp>
      <tp t="e">
        <v>#N/A</v>
        <stp/>
        <stp>BDH|15200569848251246931</stp>
        <tr r="Y183" s="39"/>
      </tp>
      <tp t="e">
        <v>#N/A</v>
        <stp/>
        <stp>BDH|18244564384938870153</stp>
        <tr r="AC28" s="32"/>
      </tp>
      <tp t="e">
        <v>#N/A</v>
        <stp/>
        <stp>BDH|15282939605017113782</stp>
        <tr r="AC36" s="32"/>
      </tp>
      <tp t="e">
        <v>#N/A</v>
        <stp/>
        <stp>BDH|14829463123356360833</stp>
        <tr r="Y6" s="32"/>
      </tp>
      <tp t="e">
        <v>#N/A</v>
        <stp/>
        <stp>BDH|14121025303751843953</stp>
        <tr r="Z116" s="39"/>
      </tp>
      <tp t="e">
        <v>#N/A</v>
        <stp/>
        <stp>BDH|12280387046160201938</stp>
        <tr r="AN33" s="36"/>
      </tp>
      <tp t="e">
        <v>#N/A</v>
        <stp/>
        <stp>BDH|10913504965017717860</stp>
        <tr r="V151" s="39"/>
      </tp>
      <tp t="e">
        <v>#N/A</v>
        <stp/>
        <stp>BDH|12118003993873898469</stp>
        <tr r="U68" s="32"/>
      </tp>
      <tp t="e">
        <v>#N/A</v>
        <stp/>
        <stp>BDH|17602567701559499792</stp>
        <tr r="W25" s="35"/>
      </tp>
      <tp t="e">
        <v>#N/A</v>
        <stp/>
        <stp>BDH|17747873434450980016</stp>
        <tr r="T131" s="39"/>
      </tp>
      <tp t="e">
        <v>#N/A</v>
        <stp/>
        <stp>BDH|13728834704886437181</stp>
        <tr r="V132" s="39"/>
      </tp>
      <tp t="e">
        <v>#N/A</v>
        <stp/>
        <stp>BDH|16209020529230262875</stp>
        <tr r="S27" s="34"/>
      </tp>
      <tp t="e">
        <v>#N/A</v>
        <stp/>
        <stp>BDH|13244024631345560981</stp>
        <tr r="W105" s="32"/>
      </tp>
      <tp t="e">
        <v>#N/A</v>
        <stp/>
        <stp>BDH|13892841364554412537</stp>
        <tr r="Y166" s="39"/>
      </tp>
      <tp t="e">
        <v>#N/A</v>
        <stp/>
        <stp>BDH|13842565192155251614</stp>
        <tr r="X92" s="32"/>
      </tp>
      <tp t="e">
        <v>#N/A</v>
        <stp/>
        <stp>BDH|12554892116276322167</stp>
        <tr r="X26" s="32"/>
      </tp>
      <tp t="e">
        <v>#N/A</v>
        <stp/>
        <stp>BDH|16896663696277386246</stp>
        <tr r="AB30" s="36"/>
      </tp>
      <tp t="e">
        <v>#N/A</v>
        <stp/>
        <stp>BDH|10988377355408310263</stp>
        <tr r="I33" s="38"/>
      </tp>
      <tp t="e">
        <v>#N/A</v>
        <stp/>
        <stp>BDH|14685247508042051849</stp>
        <tr r="S27" s="22"/>
      </tp>
      <tp t="e">
        <v>#N/A</v>
        <stp/>
        <stp>BDH|11901872826611250641</stp>
        <tr r="W194" s="39"/>
      </tp>
    </main>
    <main first="bofaddin.rtdserver">
      <tp t="e">
        <v>#N/A</v>
        <stp/>
        <stp>BDH|17242922047960713715</stp>
        <tr r="Q116" s="39"/>
      </tp>
      <tp t="e">
        <v>#N/A</v>
        <stp/>
        <stp>BDH|15733575523927636847</stp>
        <tr r="AJ30" s="36"/>
      </tp>
      <tp t="e">
        <v>#N/A</v>
        <stp/>
        <stp>BDH|16635892824214806529</stp>
        <tr r="S23" s="34"/>
      </tp>
      <tp t="e">
        <v>#N/A</v>
        <stp/>
        <stp>BDH|15477237381135422730</stp>
        <tr r="Y188" s="39"/>
      </tp>
      <tp t="e">
        <v>#N/A</v>
        <stp/>
        <stp>BDH|13788265055210197946</stp>
        <tr r="F26" s="34"/>
      </tp>
      <tp t="e">
        <v>#N/A</v>
        <stp/>
        <stp>BDH|17711746073592483840</stp>
        <tr r="AC38" s="32"/>
      </tp>
      <tp t="e">
        <v>#N/A</v>
        <stp/>
        <stp>BDH|15737005403111193954</stp>
        <tr r="E31" s="38"/>
      </tp>
      <tp t="e">
        <v>#N/A</v>
        <stp/>
        <stp>BDH|10581019753208023079</stp>
        <tr r="R94" s="32"/>
      </tp>
      <tp t="e">
        <v>#N/A</v>
        <stp/>
        <stp>BDH|15140869274144589369</stp>
        <tr r="AD37" s="36"/>
      </tp>
      <tp t="e">
        <v>#N/A</v>
        <stp/>
        <stp>BDH|12416328706225207927</stp>
        <tr r="AB32" s="36"/>
      </tp>
      <tp t="e">
        <v>#N/A</v>
        <stp/>
        <stp>BDH|15352871470296655120</stp>
        <tr r="Z36" s="36"/>
      </tp>
      <tp t="e">
        <v>#N/A</v>
        <stp/>
        <stp>BDH|10925153156328264187</stp>
        <tr r="AA23" s="32"/>
      </tp>
      <tp t="e">
        <v>#N/A</v>
        <stp/>
        <stp>BDH|15261227593427308402</stp>
        <tr r="K26" s="24"/>
      </tp>
      <tp t="e">
        <v>#N/A</v>
        <stp/>
        <stp>BDH|13509140479190137894</stp>
        <tr r="Y207" s="39"/>
      </tp>
      <tp t="e">
        <v>#N/A</v>
        <stp/>
        <stp>BDH|14060204351609206731</stp>
        <tr r="Z39" s="32"/>
      </tp>
      <tp t="e">
        <v>#N/A</v>
        <stp/>
        <stp>BDH|13384430182707480563</stp>
        <tr r="Y35" s="36"/>
      </tp>
      <tp t="e">
        <v>#N/A</v>
        <stp/>
        <stp>BDH|15432814462002441437</stp>
        <tr r="Z110" s="32"/>
      </tp>
      <tp t="e">
        <v>#N/A</v>
        <stp/>
        <stp>BDH|15164382891491288393</stp>
        <tr r="AB179" s="39"/>
        <tr r="AC179" s="39"/>
      </tp>
      <tp t="e">
        <v>#N/A</v>
        <stp/>
        <stp>BDH|11694997346845306498</stp>
        <tr r="H21" s="34"/>
      </tp>
      <tp t="e">
        <v>#N/A</v>
        <stp/>
        <stp>BDH|17250075397024608773</stp>
        <tr r="R32" s="32"/>
      </tp>
      <tp t="e">
        <v>#N/A</v>
        <stp/>
        <stp>BDH|17203021607763579912</stp>
        <tr r="T4" s="32"/>
      </tp>
      <tp t="e">
        <v>#N/A</v>
        <stp/>
        <stp>BDH|17309217225152016841</stp>
        <tr r="V166" s="39"/>
      </tp>
      <tp t="e">
        <v>#N/A</v>
        <stp/>
        <stp>BDH|14463879485838670128</stp>
        <tr r="U168" s="39"/>
      </tp>
      <tp t="e">
        <v>#N/A</v>
        <stp/>
        <stp>BDH|17698649644258366076</stp>
        <tr r="K28" s="24"/>
      </tp>
      <tp t="e">
        <v>#N/A</v>
        <stp/>
        <stp>BDH|13568617006608027007</stp>
        <tr r="V194" s="39"/>
      </tp>
      <tp t="e">
        <v>#N/A</v>
        <stp/>
        <stp>BDH|12095926180719907798</stp>
        <tr r="U179" s="39"/>
      </tp>
      <tp t="e">
        <v>#N/A</v>
        <stp/>
        <stp>BDH|12953504613612957914</stp>
        <tr r="W67" s="32"/>
      </tp>
      <tp t="e">
        <v>#N/A</v>
        <stp/>
        <stp>BDH|16655609542390381924</stp>
        <tr r="T193" s="39"/>
      </tp>
      <tp t="e">
        <v>#N/A</v>
        <stp/>
        <stp>BDH|10146153987423429722</stp>
        <tr r="S140" s="39"/>
      </tp>
      <tp t="e">
        <v>#N/A</v>
        <stp/>
        <stp>BDH|13942166526705926855</stp>
        <tr r="T24" s="32"/>
      </tp>
      <tp t="e">
        <v>#N/A</v>
        <stp/>
        <stp>BDH|15649282194791669291</stp>
        <tr r="P33" s="36"/>
      </tp>
      <tp t="e">
        <v>#N/A</v>
        <stp/>
        <stp>BDH|15102671873831181815</stp>
        <tr r="S93" s="32"/>
      </tp>
      <tp t="e">
        <v>#N/A</v>
        <stp/>
        <stp>BDH|17424855660584106049</stp>
        <tr r="V89" s="32"/>
      </tp>
      <tp t="e">
        <v>#N/A</v>
        <stp/>
        <stp>BDH|15887876931115916635</stp>
        <tr r="AH23" s="36"/>
      </tp>
      <tp t="e">
        <v>#N/A</v>
        <stp/>
        <stp>BDH|18160759146066005066</stp>
        <tr r="S4" s="32"/>
      </tp>
      <tp t="e">
        <v>#N/A</v>
        <stp/>
        <stp>BDH|18229128310945491005</stp>
        <tr r="W94" s="32"/>
      </tp>
      <tp t="e">
        <v>#N/A</v>
        <stp/>
        <stp>BDH|12284957893288699769</stp>
        <tr r="E20" s="24"/>
      </tp>
      <tp t="e">
        <v>#N/A</v>
        <stp/>
        <stp>BDH|10630819074173369140</stp>
        <tr r="AB173" s="39"/>
        <tr r="AC173" s="39"/>
      </tp>
      <tp t="e">
        <v>#N/A</v>
        <stp/>
        <stp>BDH|17663314691249652946</stp>
        <tr r="Z173" s="39"/>
      </tp>
      <tp t="e">
        <v>#N/A</v>
        <stp/>
        <stp>BDH|18218241490399756754</stp>
        <tr r="Z30" s="32"/>
      </tp>
      <tp t="e">
        <v>#N/A</v>
        <stp/>
        <stp>BDH|12361909361147771718</stp>
        <tr r="AB19" s="35"/>
      </tp>
      <tp t="e">
        <v>#N/A</v>
        <stp/>
        <stp>BDH|14399805384538318109</stp>
        <tr r="M21" s="34"/>
      </tp>
      <tp t="e">
        <v>#N/A</v>
        <stp/>
        <stp>BDH|15450970011895082565</stp>
        <tr r="AL24" s="36"/>
      </tp>
      <tp t="e">
        <v>#N/A</v>
        <stp/>
        <stp>BDH|12443984951190853314</stp>
        <tr r="G20" s="24"/>
      </tp>
      <tp t="e">
        <v>#N/A</v>
        <stp/>
        <stp>BDH|17058925072061776530</stp>
        <tr r="N23" s="22"/>
      </tp>
      <tp t="e">
        <v>#N/A</v>
        <stp/>
        <stp>BDH|18393538849535444195</stp>
        <tr r="Z29" s="36"/>
      </tp>
      <tp t="e">
        <v>#N/A</v>
        <stp/>
        <stp>BDH|14278443247989493011</stp>
        <tr r="S212" s="39"/>
      </tp>
      <tp t="e">
        <v>#N/A</v>
        <stp/>
        <stp>BDH|12122874051814630659</stp>
        <tr r="V198" s="39"/>
      </tp>
      <tp t="e">
        <v>#N/A</v>
        <stp/>
        <stp>BDH|16043809247244718374</stp>
        <tr r="R18" s="34"/>
      </tp>
      <tp t="e">
        <v>#N/A</v>
        <stp/>
        <stp>BDH|11780885858081568052</stp>
        <tr r="M27" s="22"/>
      </tp>
      <tp t="e">
        <v>#N/A</v>
        <stp/>
        <stp>BDH|16133099339340444825</stp>
        <tr r="R153" s="39"/>
      </tp>
      <tp t="e">
        <v>#N/A</v>
        <stp/>
        <stp>BDH|17573109114162639802</stp>
        <tr r="R25" s="35"/>
      </tp>
      <tp t="e">
        <v>#N/A</v>
        <stp/>
        <stp>BDH|17556994853974951211</stp>
        <tr r="K27" s="24"/>
      </tp>
      <tp t="e">
        <v>#N/A</v>
        <stp/>
        <stp>BDH|14348150917788522132</stp>
        <tr r="U22" s="22"/>
      </tp>
      <tp t="e">
        <v>#N/A</v>
        <stp/>
        <stp>BDH|17536973195762757869</stp>
        <tr r="V44" s="32"/>
      </tp>
      <tp t="e">
        <v>#N/A</v>
        <stp/>
        <stp>BDH|11174214000478358658</stp>
        <tr r="J20" s="24"/>
      </tp>
      <tp t="e">
        <v>#N/A</v>
        <stp/>
        <stp>BDH|10744574688027690784</stp>
        <tr r="X213" s="39"/>
      </tp>
      <tp t="e">
        <v>#N/A</v>
        <stp/>
        <stp>BDH|16644247799560389016</stp>
        <tr r="T175" s="39"/>
      </tp>
      <tp t="e">
        <v>#N/A</v>
        <stp/>
        <stp>BDH|17570413136264207998</stp>
        <tr r="J19" s="22"/>
      </tp>
      <tp t="e">
        <v>#N/A</v>
        <stp/>
        <stp>BDH|14780481706495133813</stp>
        <tr r="Q183" s="39"/>
      </tp>
      <tp t="e">
        <v>#N/A</v>
        <stp/>
        <stp>BDH|10620824568954073754</stp>
        <tr r="Z27" s="32"/>
      </tp>
      <tp t="e">
        <v>#N/A</v>
        <stp/>
        <stp>BDH|13231329208004182900</stp>
        <tr r="AB90" s="32"/>
      </tp>
      <tp t="e">
        <v>#N/A</v>
        <stp/>
        <stp>BDH|10827520491430442160</stp>
        <tr r="I37" s="37"/>
      </tp>
      <tp t="e">
        <v>#N/A</v>
        <stp/>
        <stp>BDH|11910028323846038813</stp>
        <tr r="S186" s="39"/>
      </tp>
      <tp t="e">
        <v>#N/A</v>
        <stp/>
        <stp>BDH|12026716716599717090</stp>
        <tr r="Y152" s="39"/>
      </tp>
      <tp t="e">
        <v>#N/A</v>
        <stp/>
        <stp>BDH|14534492992450497426</stp>
        <tr r="AD61" s="32"/>
      </tp>
      <tp t="e">
        <v>#N/A</v>
        <stp/>
        <stp>BDH|14169978666511068782</stp>
        <tr r="R23" s="32"/>
      </tp>
      <tp t="e">
        <v>#N/A</v>
        <stp/>
        <stp>BDH|12862372987891179519</stp>
        <tr r="Z77" s="32"/>
      </tp>
      <tp t="e">
        <v>#N/A</v>
        <stp/>
        <stp>BDH|10488398212546077973</stp>
        <tr r="R138" s="39"/>
      </tp>
      <tp t="e">
        <v>#N/A</v>
        <stp/>
        <stp>BDH|16041862264237362293</stp>
        <tr r="R127" s="39"/>
      </tp>
      <tp t="e">
        <v>#N/A</v>
        <stp/>
        <stp>BDH|18069596402519138923</stp>
        <tr r="T74" s="32"/>
      </tp>
      <tp t="e">
        <v>#N/A</v>
        <stp/>
        <stp>BDH|13982985918947776167</stp>
        <tr r="Z22" s="35"/>
      </tp>
      <tp t="e">
        <v>#N/A</v>
        <stp/>
        <stp>BDH|13192977460798831955</stp>
        <tr r="T9" s="32"/>
      </tp>
      <tp t="e">
        <v>#N/A</v>
        <stp/>
        <stp>BDH|11253739291301977327</stp>
        <tr r="Y124" s="39"/>
      </tp>
      <tp t="e">
        <v>#N/A</v>
        <stp/>
        <stp>BDH|18178568647667927326</stp>
        <tr r="AB116" s="39"/>
        <tr r="AC116" s="39"/>
      </tp>
      <tp t="e">
        <v>#N/A</v>
        <stp/>
        <stp>BDH|14590773768188914087</stp>
        <tr r="N23" s="35"/>
      </tp>
      <tp t="e">
        <v>#N/A</v>
        <stp/>
        <stp>BDH|10267419867836881973</stp>
        <tr r="AD95" s="32"/>
      </tp>
      <tp t="e">
        <v>#N/A</v>
        <stp/>
        <stp>BDH|17293243489599318972</stp>
        <tr r="AB25" s="22"/>
      </tp>
      <tp t="e">
        <v>#N/A</v>
        <stp/>
        <stp>BDH|14514934881049527194</stp>
        <tr r="AA107" s="32"/>
      </tp>
      <tp t="e">
        <v>#N/A</v>
        <stp/>
        <stp>BDH|18098262372329882972</stp>
        <tr r="AB206" s="39"/>
        <tr r="AC206" s="39"/>
      </tp>
      <tp t="e">
        <v>#N/A</v>
        <stp/>
        <stp>BDH|12036276298210371477</stp>
        <tr r="J23" s="34"/>
      </tp>
      <tp t="e">
        <v>#N/A</v>
        <stp/>
        <stp>BDH|10011839071285180787</stp>
        <tr r="W48" s="32"/>
      </tp>
      <tp t="e">
        <v>#N/A</v>
        <stp/>
        <stp>BDH|11288096251920328920</stp>
        <tr r="R115" s="39"/>
      </tp>
      <tp t="e">
        <v>#N/A</v>
        <stp/>
        <stp>BDH|14949113533272164917</stp>
        <tr r="K29" s="22"/>
      </tp>
      <tp t="e">
        <v>#N/A</v>
        <stp/>
        <stp>BDH|16360781514195639837</stp>
        <tr r="K26" s="22"/>
      </tp>
      <tp t="e">
        <v>#N/A</v>
        <stp/>
        <stp>BDH|15578146237913375984</stp>
        <tr r="AK28" s="36"/>
      </tp>
      <tp t="e">
        <v>#N/A</v>
        <stp/>
        <stp>BDH|14384217764664946922</stp>
        <tr r="V202" s="39"/>
      </tp>
      <tp t="e">
        <v>#N/A</v>
        <stp/>
        <stp>BDH|12904972231500766555</stp>
        <tr r="U85" s="32"/>
      </tp>
      <tp t="e">
        <v>#N/A</v>
        <stp/>
        <stp>BDH|12860662612939739174</stp>
        <tr r="AA200" s="39"/>
      </tp>
      <tp t="e">
        <v>#N/A</v>
        <stp/>
        <stp>BDH|17744221971916812907</stp>
        <tr r="X37" s="36"/>
      </tp>
      <tp t="e">
        <v>#N/A</v>
        <stp/>
        <stp>BDH|10464838844118730984</stp>
        <tr r="H18" s="35"/>
      </tp>
      <tp t="e">
        <v>#N/A</v>
        <stp/>
        <stp>BDH|14930450830537210928</stp>
        <tr r="C27" s="36"/>
      </tp>
      <tp t="e">
        <v>#N/A</v>
        <stp/>
        <stp>BDH|15278123099378202879</stp>
        <tr r="X100" s="32"/>
      </tp>
      <tp t="e">
        <v>#N/A</v>
        <stp/>
        <stp>BDH|17633961622252954378</stp>
        <tr r="AA117" s="39"/>
      </tp>
      <tp t="e">
        <v>#N/A</v>
        <stp/>
        <stp>BDH|13048928364611289083</stp>
        <tr r="X130" s="39"/>
      </tp>
      <tp t="e">
        <v>#N/A</v>
        <stp/>
        <stp>BDH|18388863109655928898</stp>
        <tr r="Z64" s="32"/>
      </tp>
      <tp t="e">
        <v>#N/A</v>
        <stp/>
        <stp>BDH|14327342837240565992</stp>
        <tr r="W216" s="39"/>
      </tp>
      <tp t="e">
        <v>#N/A</v>
        <stp/>
        <stp>BDH|17318459327355467998</stp>
        <tr r="Q208" s="39"/>
      </tp>
      <tp t="e">
        <v>#N/A</v>
        <stp/>
        <stp>BDH|17395357897497919772</stp>
        <tr r="T20" s="34"/>
      </tp>
      <tp t="e">
        <v>#N/A</v>
        <stp/>
        <stp>BDH|18338017378927710520</stp>
        <tr r="S32" s="32"/>
      </tp>
      <tp t="e">
        <v>#N/A</v>
        <stp/>
        <stp>BDH|16480860253307704199</stp>
        <tr r="R36" s="36"/>
      </tp>
      <tp t="e">
        <v>#N/A</v>
        <stp/>
        <stp>BDH|11634894227836591027</stp>
        <tr r="Q211" s="39"/>
      </tp>
      <tp t="e">
        <v>#N/A</v>
        <stp/>
        <stp>BDH|17963859269891970537</stp>
        <tr r="Y190" s="39"/>
      </tp>
      <tp t="e">
        <v>#N/A</v>
        <stp/>
        <stp>BDH|11850936050432543215</stp>
        <tr r="D25" s="36"/>
      </tp>
      <tp t="e">
        <v>#N/A</v>
        <stp/>
        <stp>BDH|12453402949319719653</stp>
        <tr r="M28" s="37"/>
      </tp>
      <tp t="e">
        <v>#N/A</v>
        <stp/>
        <stp>BDH|13954088639754791918</stp>
        <tr r="AG37" s="36"/>
      </tp>
      <tp t="e">
        <v>#N/A</v>
        <stp/>
        <stp>BDH|16827413512487597906</stp>
        <tr r="X181" s="39"/>
      </tp>
      <tp t="e">
        <v>#N/A</v>
        <stp/>
        <stp>BDH|11199805850728928967</stp>
        <tr r="K38" s="38"/>
      </tp>
      <tp t="e">
        <v>#N/A</v>
        <stp/>
        <stp>BDH|14435963158166308371</stp>
        <tr r="L18" s="34"/>
      </tp>
    </main>
    <main first="bofaddin.rtdserver">
      <tp t="e">
        <v>#N/A</v>
        <stp/>
        <stp>BDH|11493514067001156121</stp>
        <tr r="V39" s="32"/>
      </tp>
      <tp t="e">
        <v>#N/A</v>
        <stp/>
        <stp>BDH|14304142280776094964</stp>
        <tr r="G36" s="37"/>
      </tp>
      <tp t="e">
        <v>#N/A</v>
        <stp/>
        <stp>BDH|13516781014860931713</stp>
        <tr r="Y26" s="22"/>
      </tp>
      <tp t="e">
        <v>#N/A</v>
        <stp/>
        <stp>BDH|11010597744891835342</stp>
        <tr r="D24" s="35"/>
      </tp>
      <tp t="e">
        <v>#N/A</v>
        <stp/>
        <stp>BDH|14194892973210320996</stp>
        <tr r="S24" s="34"/>
      </tp>
      <tp t="e">
        <v>#N/A</v>
        <stp/>
        <stp>BDH|10510974571354789859</stp>
        <tr r="W126" s="39"/>
      </tp>
      <tp t="e">
        <v>#N/A</v>
        <stp/>
        <stp>BDH|15817087843692176130</stp>
        <tr r="W58" s="32"/>
      </tp>
      <tp t="e">
        <v>#N/A</v>
        <stp/>
        <stp>BDH|10275140115727144532</stp>
        <tr r="N31" s="38"/>
      </tp>
      <tp t="e">
        <v>#N/A</v>
        <stp/>
        <stp>BDH|14602645166376655037</stp>
        <tr r="L30" s="38"/>
      </tp>
      <tp t="e">
        <v>#N/A</v>
        <stp/>
        <stp>BDH|17847390586126085877</stp>
        <tr r="J30" s="37"/>
      </tp>
      <tp t="e">
        <v>#N/A</v>
        <stp/>
        <stp>BDH|12052799038361500545</stp>
        <tr r="Y160" s="39"/>
      </tp>
      <tp t="e">
        <v>#N/A</v>
        <stp/>
        <stp>BDH|12814224149825324305</stp>
        <tr r="I19" s="35"/>
      </tp>
      <tp t="e">
        <v>#N/A</v>
        <stp/>
        <stp>BDH|13706587001921924575</stp>
        <tr r="X57" s="32"/>
      </tp>
      <tp t="e">
        <v>#N/A</v>
        <stp/>
        <stp>BDH|14516440405755605729</stp>
        <tr r="H28" s="38"/>
      </tp>
      <tp t="e">
        <v>#N/A</v>
        <stp/>
        <stp>BDH|16606663893402167922</stp>
        <tr r="F25" s="35"/>
      </tp>
      <tp t="e">
        <v>#N/A</v>
        <stp/>
        <stp>BDH|16529872015624736907</stp>
        <tr r="D30" s="37"/>
      </tp>
      <tp t="e">
        <v>#N/A</v>
        <stp/>
        <stp>BDH|15137852677339250115</stp>
        <tr r="V203" s="39"/>
      </tp>
      <tp t="e">
        <v>#N/A</v>
        <stp/>
        <stp>BDH|17327166014325342022</stp>
        <tr r="K29" s="38"/>
      </tp>
      <tp t="e">
        <v>#N/A</v>
        <stp/>
        <stp>BDH|17939996809264124884</stp>
        <tr r="F26" s="22"/>
      </tp>
      <tp t="e">
        <v>#N/A</v>
        <stp/>
        <stp>BDH|14424016865512557253</stp>
        <tr r="AD13" s="32"/>
      </tp>
      <tp t="e">
        <v>#N/A</v>
        <stp/>
        <stp>BDH|10519890279878465519</stp>
        <tr r="T115" s="39"/>
      </tp>
      <tp t="e">
        <v>#N/A</v>
        <stp/>
        <stp>BDH|17744184125600275685</stp>
        <tr r="R56" s="32"/>
      </tp>
      <tp t="e">
        <v>#N/A</v>
        <stp/>
        <stp>BDH|14402041692756456958</stp>
        <tr r="X31" s="32"/>
      </tp>
      <tp t="e">
        <v>#N/A</v>
        <stp/>
        <stp>BDH|12244194619325896591</stp>
        <tr r="Y18" s="35"/>
      </tp>
      <tp t="e">
        <v>#N/A</v>
        <stp/>
        <stp>BDH|16841851275042277999</stp>
        <tr r="N34" s="37"/>
      </tp>
      <tp t="e">
        <v>#N/A</v>
        <stp/>
        <stp>BDH|15562833380766737128</stp>
        <tr r="D27" s="24"/>
      </tp>
      <tp t="e">
        <v>#N/A</v>
        <stp/>
        <stp>BDH|18242825008915816737</stp>
        <tr r="U76" s="32"/>
      </tp>
      <tp t="e">
        <v>#N/A</v>
        <stp/>
        <stp>BDH|13877614821882862731</stp>
        <tr r="S137" s="39"/>
      </tp>
      <tp t="e">
        <v>#N/A</v>
        <stp/>
        <stp>BDH|16686859100655028904</stp>
        <tr r="G25" s="35"/>
      </tp>
      <tp t="e">
        <v>#N/A</v>
        <stp/>
        <stp>BDH|15881206289988123535</stp>
        <tr r="AC13" s="32"/>
      </tp>
      <tp t="e">
        <v>#N/A</v>
        <stp/>
        <stp>BDH|13620431053788460816</stp>
        <tr r="S99" s="32"/>
      </tp>
      <tp t="e">
        <v>#N/A</v>
        <stp/>
        <stp>BDH|13790862069498273783</stp>
        <tr r="L36" s="37"/>
      </tp>
      <tp t="e">
        <v>#N/A</v>
        <stp/>
        <stp>BDH|16454021254555096401</stp>
        <tr r="AB24" s="35"/>
      </tp>
      <tp t="e">
        <v>#N/A</v>
        <stp/>
        <stp>BDH|14230738456202434613</stp>
        <tr r="J36" s="36"/>
      </tp>
      <tp t="e">
        <v>#N/A</v>
        <stp/>
        <stp>BDH|13325488478205978781</stp>
        <tr r="K21" s="35"/>
      </tp>
      <tp t="e">
        <v>#N/A</v>
        <stp/>
        <stp>BDH|12418841491975131424</stp>
        <tr r="X62" s="32"/>
      </tp>
      <tp t="e">
        <v>#N/A</v>
        <stp/>
        <stp>BDH|16956323189356288923</stp>
        <tr r="V131" s="39"/>
      </tp>
      <tp t="e">
        <v>#N/A</v>
        <stp/>
        <stp>BDH|11338207500154110506</stp>
        <tr r="V58" s="32"/>
      </tp>
      <tp t="e">
        <v>#N/A</v>
        <stp/>
        <stp>BDH|12033094834170600393</stp>
        <tr r="E18" s="24"/>
      </tp>
      <tp t="e">
        <v>#N/A</v>
        <stp/>
        <stp>BDH|11425262921715242637</stp>
        <tr r="Z41" s="32"/>
      </tp>
      <tp t="e">
        <v>#N/A</v>
        <stp/>
        <stp>BDH|12092165624034891781</stp>
        <tr r="T22" s="34"/>
      </tp>
      <tp t="e">
        <v>#N/A</v>
        <stp/>
        <stp>BDH|12440678312587676024</stp>
        <tr r="Z8" s="32"/>
      </tp>
      <tp t="e">
        <v>#N/A</v>
        <stp/>
        <stp>BDH|17063282899866204865</stp>
        <tr r="U164" s="39"/>
      </tp>
      <tp t="e">
        <v>#N/A</v>
        <stp/>
        <stp>BDH|14780954327085020802</stp>
        <tr r="U123" s="39"/>
      </tp>
      <tp t="e">
        <v>#N/A</v>
        <stp/>
        <stp>BDH|14130273709334965039</stp>
        <tr r="AC56" s="32"/>
      </tp>
      <tp t="e">
        <v>#N/A</v>
        <stp/>
        <stp>BDH|13554688207442921567</stp>
        <tr r="AB117" s="39"/>
        <tr r="AC117" s="39"/>
      </tp>
      <tp t="e">
        <v>#N/A</v>
        <stp/>
        <stp>BDH|12627691544581906375</stp>
        <tr r="S63" s="32"/>
      </tp>
      <tp t="e">
        <v>#N/A</v>
        <stp/>
        <stp>BDH|13377362724060552013</stp>
        <tr r="X104" s="32"/>
      </tp>
      <tp t="e">
        <v>#N/A</v>
        <stp/>
        <stp>BDH|16096415555883377622</stp>
        <tr r="AC50" s="32"/>
      </tp>
      <tp t="e">
        <v>#N/A</v>
        <stp/>
        <stp>BDH|15897639589079724003</stp>
        <tr r="AA211" s="39"/>
      </tp>
      <tp t="e">
        <v>#N/A</v>
        <stp/>
        <stp>BDH|16272414909859752988</stp>
        <tr r="AA192" s="39"/>
      </tp>
      <tp t="e">
        <v>#N/A</v>
        <stp/>
        <stp>BDH|16933890425048489650</stp>
        <tr r="V31" s="36"/>
      </tp>
      <tp t="e">
        <v>#N/A</v>
        <stp/>
        <stp>BDH|11491632173384236621</stp>
        <tr r="Y30" s="22"/>
      </tp>
      <tp t="e">
        <v>#N/A</v>
        <stp/>
        <stp>BDH|17369036340926197758</stp>
        <tr r="G34" s="38"/>
      </tp>
      <tp t="e">
        <v>#N/A</v>
        <stp/>
        <stp>BDH|16738018519585928023</stp>
        <tr r="Z106" s="32"/>
      </tp>
      <tp t="e">
        <v>#N/A</v>
        <stp/>
        <stp>BDH|16298130614463455754</stp>
        <tr r="T43" s="32"/>
      </tp>
      <tp t="e">
        <v>#N/A</v>
        <stp/>
        <stp>BDH|18314648295146245340</stp>
        <tr r="R106" s="32"/>
      </tp>
      <tp t="e">
        <v>#N/A</v>
        <stp/>
        <stp>BDH|16997311074870124090</stp>
        <tr r="U74" s="32"/>
      </tp>
      <tp t="e">
        <v>#N/A</v>
        <stp/>
        <stp>BDH|10131844099320064380</stp>
        <tr r="Q204" s="39"/>
      </tp>
      <tp t="e">
        <v>#N/A</v>
        <stp/>
        <stp>BDH|16390852793484494151</stp>
        <tr r="V69" s="32"/>
      </tp>
      <tp t="e">
        <v>#N/A</v>
        <stp/>
        <stp>BDH|15752531471370574546</stp>
        <tr r="L34" s="37"/>
      </tp>
      <tp t="e">
        <v>#N/A</v>
        <stp/>
        <stp>BDH|11924951850577824801</stp>
        <tr r="S12" s="32"/>
      </tp>
      <tp t="e">
        <v>#N/A</v>
        <stp/>
        <stp>BDH|15033123451133179062</stp>
        <tr r="T169" s="39"/>
      </tp>
      <tp t="e">
        <v>#N/A</v>
        <stp/>
        <stp>BDH|10145029784963050935</stp>
        <tr r="I30" s="35"/>
      </tp>
      <tp t="e">
        <v>#N/A</v>
        <stp/>
        <stp>BDH|10920302847743051699</stp>
        <tr r="Z16" s="32"/>
      </tp>
      <tp t="e">
        <v>#N/A</v>
        <stp/>
        <stp>BDH|17942590305608489864</stp>
        <tr r="W27" s="36"/>
      </tp>
      <tp t="e">
        <v>#N/A</v>
        <stp/>
        <stp>BDH|15279126978616730787</stp>
        <tr r="R77" s="32"/>
      </tp>
      <tp t="e">
        <v>#N/A</v>
        <stp/>
        <stp>BDH|12898777406165978279</stp>
        <tr r="AA190" s="39"/>
      </tp>
      <tp t="e">
        <v>#N/A</v>
        <stp/>
        <stp>BDH|17548237019501876706</stp>
        <tr r="X177" s="39"/>
      </tp>
      <tp t="e">
        <v>#N/A</v>
        <stp/>
        <stp>BDH|12925505141259608891</stp>
        <tr r="U124" s="39"/>
      </tp>
      <tp t="e">
        <v>#N/A</v>
        <stp/>
        <stp>BDH|12697906521219088201</stp>
        <tr r="I26" s="38"/>
      </tp>
      <tp t="e">
        <v>#N/A</v>
        <stp/>
        <stp>BDH|17307247218746875003</stp>
        <tr r="V146" s="39"/>
      </tp>
      <tp t="e">
        <v>#N/A</v>
        <stp/>
        <stp>BDH|14968688258536825372</stp>
        <tr r="V141" s="39"/>
      </tp>
      <tp t="e">
        <v>#N/A</v>
        <stp/>
        <stp>BDH|14738301155958289868</stp>
        <tr r="AA182" s="39"/>
      </tp>
      <tp t="e">
        <v>#N/A</v>
        <stp/>
        <stp>BDH|17059685942176995151</stp>
        <tr r="R183" s="39"/>
      </tp>
      <tp t="e">
        <v>#N/A</v>
        <stp/>
        <stp>BDH|10623178296882993884</stp>
        <tr r="S24" s="35"/>
      </tp>
      <tp t="e">
        <v>#N/A</v>
        <stp/>
        <stp>BDH|13011668512701572777</stp>
        <tr r="J30" s="36"/>
      </tp>
      <tp t="e">
        <v>#N/A</v>
        <stp/>
        <stp>BDH|12766553657259308904</stp>
        <tr r="AB105" s="32"/>
      </tp>
      <tp t="e">
        <v>#N/A</v>
        <stp/>
        <stp>BDH|18336598546842947936</stp>
        <tr r="Q155" s="39"/>
      </tp>
      <tp t="e">
        <v>#N/A</v>
        <stp/>
        <stp>BDH|17777261404377620052</stp>
        <tr r="D37" s="38"/>
      </tp>
      <tp t="e">
        <v>#N/A</v>
        <stp/>
        <stp>BDH|16017986566049000282</stp>
        <tr r="W8" s="32"/>
      </tp>
      <tp t="e">
        <v>#N/A</v>
        <stp/>
        <stp>BDH|13338213545347211036</stp>
        <tr r="C37" s="37"/>
      </tp>
      <tp t="e">
        <v>#N/A</v>
        <stp/>
        <stp>BDH|15907875608516144910</stp>
        <tr r="X214" s="39"/>
      </tp>
      <tp t="e">
        <v>#N/A</v>
        <stp/>
        <stp>BDH|12787702409712883501</stp>
        <tr r="AA185" s="39"/>
      </tp>
      <tp t="e">
        <v>#N/A</v>
        <stp/>
        <stp>BDH|17596240945632419196</stp>
        <tr r="F22" s="34"/>
      </tp>
      <tp t="e">
        <v>#N/A</v>
        <stp/>
        <stp>BDH|10220929000232835915</stp>
        <tr r="Y97" s="32"/>
      </tp>
      <tp t="e">
        <v>#N/A</v>
        <stp/>
        <stp>BDH|12869545147777619648</stp>
        <tr r="V190" s="39"/>
      </tp>
      <tp t="e">
        <v>#N/A</v>
        <stp/>
        <stp>BDH|13637647148012317106</stp>
        <tr r="G29" s="35"/>
      </tp>
      <tp t="e">
        <v>#N/A</v>
        <stp/>
        <stp>BDH|11184548748586365471</stp>
        <tr r="Z69" s="32"/>
      </tp>
      <tp t="e">
        <v>#N/A</v>
        <stp/>
        <stp>BDH|13485072131185890732</stp>
        <tr r="AC94" s="32"/>
      </tp>
      <tp t="e">
        <v>#N/A</v>
        <stp/>
        <stp>BDH|15470760078441315602</stp>
        <tr r="AA202" s="39"/>
      </tp>
      <tp t="e">
        <v>#N/A</v>
        <stp/>
        <stp>BDH|13277957633519803255</stp>
        <tr r="AD53" s="32"/>
      </tp>
      <tp t="e">
        <v>#N/A</v>
        <stp/>
        <stp>BDH|14165384526126540137</stp>
        <tr r="I20" s="34"/>
      </tp>
      <tp t="e">
        <v>#N/A</v>
        <stp/>
        <stp>BDH|14068251049722322267</stp>
        <tr r="R188" s="39"/>
      </tp>
      <tp t="e">
        <v>#N/A</v>
        <stp/>
        <stp>BDH|17227565574350130783</stp>
        <tr r="L23" s="36"/>
      </tp>
      <tp t="e">
        <v>#N/A</v>
        <stp/>
        <stp>BDH|11881078227424821592</stp>
        <tr r="O18" s="34"/>
      </tp>
      <tp t="e">
        <v>#N/A</v>
        <stp/>
        <stp>BDH|11347284789558892127</stp>
        <tr r="AD47" s="32"/>
      </tp>
      <tp t="e">
        <v>#N/A</v>
        <stp/>
        <stp>BDH|17570681044840235732</stp>
        <tr r="Y139" s="39"/>
      </tp>
      <tp t="e">
        <v>#N/A</v>
        <stp/>
        <stp>BDH|13929067706807669679</stp>
        <tr r="R30" s="36"/>
      </tp>
      <tp t="e">
        <v>#N/A</v>
        <stp/>
        <stp>BDH|11061683744247420607</stp>
        <tr r="S8" s="32"/>
      </tp>
      <tp t="e">
        <v>#N/A</v>
        <stp/>
        <stp>BDH|15622045155576902463</stp>
        <tr r="F19" s="24"/>
      </tp>
      <tp t="e">
        <v>#N/A</v>
        <stp/>
        <stp>BDH|16442546577877733189</stp>
        <tr r="V78" s="32"/>
      </tp>
      <tp t="e">
        <v>#N/A</v>
        <stp/>
        <stp>BDH|15311466096378328282</stp>
        <tr r="L25" s="22"/>
      </tp>
      <tp t="e">
        <v>#N/A</v>
        <stp/>
        <stp>BDH|11531001108453788017</stp>
        <tr r="C38" s="37"/>
      </tp>
      <tp t="e">
        <v>#N/A</v>
        <stp/>
        <stp>BDH|12409037881400996843</stp>
        <tr r="AD34" s="36"/>
      </tp>
      <tp t="e">
        <v>#N/A</v>
        <stp/>
        <stp>BDH|17656499944517398239</stp>
        <tr r="S157" s="39"/>
      </tp>
      <tp t="e">
        <v>#N/A</v>
        <stp/>
        <stp>BDH|14862040444165495776</stp>
        <tr r="AB71" s="32"/>
      </tp>
      <tp t="e">
        <v>#N/A</v>
        <stp/>
        <stp>BDH|12786092271334421304</stp>
        <tr r="L22" s="35"/>
      </tp>
      <tp t="e">
        <v>#N/A</v>
        <stp/>
        <stp>BDH|12512926803409892077</stp>
        <tr r="S27" s="32"/>
      </tp>
      <tp t="e">
        <v>#N/A</v>
        <stp/>
        <stp>BDH|15363653730805969747</stp>
        <tr r="V105" s="32"/>
      </tp>
      <tp t="e">
        <v>#N/A</v>
        <stp/>
        <stp>BDH|16471826451380428982</stp>
        <tr r="AE25" s="36"/>
      </tp>
      <tp t="e">
        <v>#N/A</v>
        <stp/>
        <stp>BDH|10576024210722407184</stp>
        <tr r="AA49" s="32"/>
      </tp>
      <tp t="e">
        <v>#N/A</v>
        <stp/>
        <stp>BDH|17804988320059284795</stp>
        <tr r="W35" s="36"/>
      </tp>
      <tp t="e">
        <v>#N/A</v>
        <stp/>
        <stp>BDH|13719464620534280393</stp>
        <tr r="X68" s="32"/>
      </tp>
      <tp t="e">
        <v>#N/A</v>
        <stp/>
        <stp>BDH|10483693130331769604</stp>
        <tr r="AD51" s="32"/>
      </tp>
      <tp t="e">
        <v>#N/A</v>
        <stp/>
        <stp>BDH|16087957574382825830</stp>
        <tr r="U81" s="32"/>
      </tp>
      <tp t="e">
        <v>#N/A</v>
        <stp/>
        <stp>BDH|14394413127124840471</stp>
        <tr r="V118" s="39"/>
      </tp>
      <tp t="e">
        <v>#N/A</v>
        <stp/>
        <stp>BDH|13464302594938362395</stp>
        <tr r="Z201" s="39"/>
      </tp>
      <tp t="e">
        <v>#N/A</v>
        <stp/>
        <stp>BDH|10223047866004971032</stp>
        <tr r="S122" s="39"/>
      </tp>
      <tp t="e">
        <v>#N/A</v>
        <stp/>
        <stp>BDH|17601079129312059528</stp>
        <tr r="R203" s="39"/>
      </tp>
      <tp t="e">
        <v>#N/A</v>
        <stp/>
        <stp>BDH|11774475461514459589</stp>
        <tr r="K31" s="38"/>
      </tp>
      <tp t="e">
        <v>#N/A</v>
        <stp/>
        <stp>BDH|10708567779176363669</stp>
        <tr r="V95" s="32"/>
      </tp>
      <tp t="e">
        <v>#N/A</v>
        <stp/>
        <stp>BDH|16849353850805376731</stp>
        <tr r="K28" s="36"/>
      </tp>
      <tp t="e">
        <v>#N/A</v>
        <stp/>
        <stp>BDH|13477552155155089494</stp>
        <tr r="AB151" s="39"/>
        <tr r="AC151" s="39"/>
      </tp>
      <tp t="e">
        <v>#N/A</v>
        <stp/>
        <stp>BDH|10547190786359381247</stp>
        <tr r="H32" s="36"/>
      </tp>
      <tp t="e">
        <v>#N/A</v>
        <stp/>
        <stp>BDH|11131610420463567482</stp>
        <tr r="W193" s="39"/>
      </tp>
      <tp t="e">
        <v>#N/A</v>
        <stp/>
        <stp>BDH|10522144139319153943</stp>
        <tr r="AB24" s="22"/>
      </tp>
      <tp t="e">
        <v>#N/A</v>
        <stp/>
        <stp>BDH|16692887823067840988</stp>
        <tr r="G29" s="37"/>
      </tp>
      <tp t="e">
        <v>#N/A</v>
        <stp/>
        <stp>BDH|10902405159285514683</stp>
        <tr r="R175" s="39"/>
      </tp>
      <tp t="e">
        <v>#N/A</v>
        <stp/>
        <stp>BDH|17911833496984909090</stp>
        <tr r="S144" s="39"/>
      </tp>
      <tp t="e">
        <v>#N/A</v>
        <stp/>
        <stp>BDH|12800664917654218379</stp>
        <tr r="Q189" s="39"/>
      </tp>
      <tp t="e">
        <v>#N/A</v>
        <stp/>
        <stp>BDH|18102092674925452844</stp>
        <tr r="V148" s="39"/>
      </tp>
      <tp t="e">
        <v>#N/A</v>
        <stp/>
        <stp>BDH|11680981372734447940</stp>
        <tr r="Q32" s="36"/>
      </tp>
      <tp t="e">
        <v>#N/A</v>
        <stp/>
        <stp>BDH|18099317129868763338</stp>
        <tr r="AA81" s="32"/>
      </tp>
      <tp t="e">
        <v>#N/A</v>
        <stp/>
        <stp>BDH|11846788057529935825</stp>
        <tr r="V144" s="39"/>
      </tp>
      <tp t="e">
        <v>#N/A</v>
        <stp/>
        <stp>BDH|10233144927631480095</stp>
        <tr r="AA170" s="39"/>
      </tp>
      <tp t="e">
        <v>#N/A</v>
        <stp/>
        <stp>BDH|14260166535166859256</stp>
        <tr r="U52" s="32"/>
      </tp>
      <tp t="e">
        <v>#N/A</v>
        <stp/>
        <stp>BDH|13214155271763925433</stp>
        <tr r="X107" s="32"/>
      </tp>
      <tp t="e">
        <v>#N/A</v>
        <stp/>
        <stp>BDH|16040100772327888569</stp>
        <tr r="Z113" s="39"/>
      </tp>
      <tp t="e">
        <v>#N/A</v>
        <stp/>
        <stp>BDH|11567310779294451357</stp>
        <tr r="V199" s="39"/>
      </tp>
      <tp t="e">
        <v>#N/A</v>
        <stp/>
        <stp>BDH|17179871256118870045</stp>
        <tr r="AA203" s="39"/>
      </tp>
      <tp t="e">
        <v>#N/A</v>
        <stp/>
        <stp>BDH|14300641646413841754</stp>
        <tr r="Q25" s="36"/>
      </tp>
      <tp t="e">
        <v>#N/A</v>
        <stp/>
        <stp>BDH|16757596222912668168</stp>
        <tr r="AH26" s="36"/>
      </tp>
      <tp t="e">
        <v>#N/A</v>
        <stp/>
        <stp>BDH|17745459219071518128</stp>
        <tr r="S101" s="32"/>
      </tp>
      <tp t="e">
        <v>#N/A</v>
        <stp/>
        <stp>BDH|14878404416940411350</stp>
        <tr r="F37" s="36"/>
      </tp>
      <tp t="e">
        <v>#N/A</v>
        <stp/>
        <stp>BDH|16422658654481833624</stp>
        <tr r="T28" s="32"/>
      </tp>
      <tp t="e">
        <v>#N/A</v>
        <stp/>
        <stp>BDH|18233852819973424052</stp>
        <tr r="Q188" s="39"/>
      </tp>
      <tp t="e">
        <v>#N/A</v>
        <stp/>
        <stp>BDH|16213983983953073662</stp>
        <tr r="AB89" s="32"/>
      </tp>
      <tp t="e">
        <v>#N/A</v>
        <stp/>
        <stp>BDH|11121398371247442022</stp>
        <tr r="Z54" s="32"/>
      </tp>
      <tp t="e">
        <v>#N/A</v>
        <stp/>
        <stp>BDH|14861634978532835548</stp>
        <tr r="Q181" s="39"/>
      </tp>
      <tp t="e">
        <v>#N/A</v>
        <stp/>
        <stp>BDH|16356880689904470097</stp>
        <tr r="AA128" s="39"/>
      </tp>
      <tp t="e">
        <v>#N/A</v>
        <stp/>
        <stp>BDH|13230442709773900694</stp>
        <tr r="AJ37" s="36"/>
      </tp>
      <tp t="e">
        <v>#N/A</v>
        <stp/>
        <stp>BDH|11359971190001373283</stp>
        <tr r="E30" s="38"/>
      </tp>
      <tp t="e">
        <v>#N/A</v>
        <stp/>
        <stp>BDH|15520305647725501587</stp>
        <tr r="E27" s="38"/>
      </tp>
      <tp t="e">
        <v>#N/A</v>
        <stp/>
        <stp>BDH|14555750707736959711</stp>
        <tr r="P23" s="34"/>
      </tp>
      <tp t="e">
        <v>#N/A</v>
        <stp/>
        <stp>BDH|17623680524195117444</stp>
        <tr r="U8" s="32"/>
      </tp>
      <tp t="e">
        <v>#N/A</v>
        <stp/>
        <stp>BDH|12191710106280143789</stp>
        <tr r="AF27" s="36"/>
      </tp>
      <tp t="e">
        <v>#N/A</v>
        <stp/>
        <stp>BDH|12345089624695167705</stp>
        <tr r="Y7" s="32"/>
      </tp>
      <tp t="e">
        <v>#N/A</v>
        <stp/>
        <stp>BDH|12475450154886971720</stp>
        <tr r="T31" s="32"/>
      </tp>
      <tp t="e">
        <v>#N/A</v>
        <stp/>
        <stp>BDH|10916612461911679313</stp>
        <tr r="AB46" s="32"/>
      </tp>
      <tp t="e">
        <v>#N/A</v>
        <stp/>
        <stp>BDH|17627493213894071423</stp>
        <tr r="T34" s="32"/>
      </tp>
      <tp t="e">
        <v>#N/A</v>
        <stp/>
        <stp>BDH|17162004728662512529</stp>
        <tr r="S7" s="32"/>
      </tp>
      <tp t="e">
        <v>#N/A</v>
        <stp/>
        <stp>BDH|15660305938291738671</stp>
        <tr r="U200" s="39"/>
      </tp>
      <tp t="e">
        <v>#N/A</v>
        <stp/>
        <stp>BDH|17343386581026674824</stp>
        <tr r="T157" s="39"/>
      </tp>
      <tp t="e">
        <v>#N/A</v>
        <stp/>
        <stp>BDH|10443798324455188265</stp>
        <tr r="S193" s="39"/>
      </tp>
    </main>
    <main first="bofaddin.rtdserver">
      <tp t="e">
        <v>#N/A</v>
        <stp/>
        <stp>BDH|10227321511876699768</stp>
        <tr r="I33" s="37"/>
      </tp>
      <tp t="e">
        <v>#N/A</v>
        <stp/>
        <stp>BDH|13143212847755205349</stp>
        <tr r="F28" s="38"/>
      </tp>
      <tp t="e">
        <v>#N/A</v>
        <stp/>
        <stp>BDH|17699742827965158458</stp>
        <tr r="V177" s="39"/>
      </tp>
      <tp t="e">
        <v>#N/A</v>
        <stp/>
        <stp>BDH|16797250204747108060</stp>
        <tr r="AB84" s="32"/>
      </tp>
      <tp t="e">
        <v>#N/A</v>
        <stp/>
        <stp>BDH|10264997143876154882</stp>
        <tr r="K35" s="36"/>
      </tp>
      <tp t="e">
        <v>#N/A</v>
        <stp/>
        <stp>BDH|17524812992136244358</stp>
        <tr r="M30" s="35"/>
      </tp>
      <tp t="e">
        <v>#N/A</v>
        <stp/>
        <stp>BDH|13694687858212157165</stp>
        <tr r="F23" s="35"/>
      </tp>
      <tp t="e">
        <v>#N/A</v>
        <stp/>
        <stp>BDH|14317020621471463450</stp>
        <tr r="X129" s="39"/>
      </tp>
      <tp t="e">
        <v>#N/A</v>
        <stp/>
        <stp>BDH|10221702735523150472</stp>
        <tr r="E23" s="35"/>
      </tp>
      <tp t="e">
        <v>#N/A</v>
        <stp/>
        <stp>BDH|15350077164979295930</stp>
        <tr r="G34" s="37"/>
      </tp>
      <tp t="e">
        <v>#N/A</v>
        <stp/>
        <stp>BDH|18285306183180188011</stp>
        <tr r="Y126" s="39"/>
      </tp>
      <tp t="e">
        <v>#N/A</v>
        <stp/>
        <stp>BDH|11396395621314883721</stp>
        <tr r="T141" s="39"/>
      </tp>
      <tp t="e">
        <v>#N/A</v>
        <stp/>
        <stp>BDH|11996095021217432749</stp>
        <tr r="S79" s="32"/>
      </tp>
      <tp t="e">
        <v>#N/A</v>
        <stp/>
        <stp>BDH|12931419184335811843</stp>
        <tr r="H22" s="35"/>
      </tp>
      <tp t="e">
        <v>#N/A</v>
        <stp/>
        <stp>BDH|16366900910635403870</stp>
        <tr r="W104" s="32"/>
      </tp>
      <tp t="e">
        <v>#N/A</v>
        <stp/>
        <stp>BDH|14564905689505815347</stp>
        <tr r="U24" s="36"/>
      </tp>
      <tp t="e">
        <v>#N/A</v>
        <stp/>
        <stp>BDH|11375207963287124110</stp>
        <tr r="C28" s="37"/>
      </tp>
      <tp t="e">
        <v>#N/A</v>
        <stp/>
        <stp>BDH|13719828474206764957</stp>
        <tr r="S198" s="39"/>
      </tp>
      <tp t="e">
        <v>#N/A</v>
        <stp/>
        <stp>BDH|12403731038184489180</stp>
        <tr r="Z141" s="39"/>
      </tp>
      <tp t="e">
        <v>#N/A</v>
        <stp/>
        <stp>BDH|13544917197904053401</stp>
        <tr r="AA149" s="39"/>
      </tp>
      <tp t="e">
        <v>#N/A</v>
        <stp/>
        <stp>BDH|13505935181475665427</stp>
        <tr r="R120" s="39"/>
      </tp>
      <tp t="e">
        <v>#N/A</v>
        <stp/>
        <stp>BDH|17584181270536832469</stp>
        <tr r="AB194" s="39"/>
        <tr r="AC194" s="39"/>
      </tp>
      <tp t="e">
        <v>#N/A</v>
        <stp/>
        <stp>BDH|10499041447517742022</stp>
        <tr r="D20" s="24"/>
      </tp>
      <tp t="e">
        <v>#N/A</v>
        <stp/>
        <stp>BDH|14968787343200428448</stp>
        <tr r="T109" s="32"/>
      </tp>
      <tp t="e">
        <v>#N/A</v>
        <stp/>
        <stp>BDH|14461517507135166718</stp>
        <tr r="AA151" s="39"/>
      </tp>
      <tp t="e">
        <v>#N/A</v>
        <stp/>
        <stp>BDH|11364739453884621478</stp>
        <tr r="L28" s="22"/>
      </tp>
      <tp t="e">
        <v>#N/A</v>
        <stp/>
        <stp>BDH|14765426096253681976</stp>
        <tr r="AB34" s="36"/>
      </tp>
      <tp t="e">
        <v>#N/A</v>
        <stp/>
        <stp>BDH|13253817480758015817</stp>
        <tr r="V26" s="35"/>
      </tp>
      <tp t="e">
        <v>#N/A</v>
        <stp/>
        <stp>BDH|11699214220210295274</stp>
        <tr r="G29" s="34"/>
      </tp>
      <tp t="e">
        <v>#N/A</v>
        <stp/>
        <stp>BDH|17565760142635311201</stp>
        <tr r="R140" s="39"/>
      </tp>
      <tp t="e">
        <v>#N/A</v>
        <stp/>
        <stp>BDH|12597529711803010649</stp>
        <tr r="R66" s="32"/>
      </tp>
      <tp t="e">
        <v>#N/A</v>
        <stp/>
        <stp>BDH|11927595805154404333</stp>
        <tr r="I36" s="36"/>
      </tp>
      <tp t="e">
        <v>#N/A</v>
        <stp/>
        <stp>BDH|10711341015325258463</stp>
        <tr r="V56" s="32"/>
      </tp>
      <tp t="e">
        <v>#N/A</v>
        <stp/>
        <stp>BDH|12159750150035510630</stp>
        <tr r="I38" s="37"/>
      </tp>
      <tp t="e">
        <v>#N/A</v>
        <stp/>
        <stp>BDH|12749338939127940612</stp>
        <tr r="Y11" s="32"/>
      </tp>
      <tp t="e">
        <v>#N/A</v>
        <stp/>
        <stp>BDH|12418148440952012658</stp>
        <tr r="V29" s="35"/>
      </tp>
      <tp t="e">
        <v>#N/A</v>
        <stp/>
        <stp>BDH|13863311076807305396</stp>
        <tr r="Q213" s="39"/>
      </tp>
      <tp t="e">
        <v>#N/A</v>
        <stp/>
        <stp>BDH|16051509564414711261</stp>
        <tr r="Q24" s="34"/>
      </tp>
      <tp t="e">
        <v>#N/A</v>
        <stp/>
        <stp>BDH|12896256372841218588</stp>
        <tr r="L20" s="35"/>
      </tp>
      <tp t="e">
        <v>#N/A</v>
        <stp/>
        <stp>BDH|15724914284526273159</stp>
        <tr r="S130" s="39"/>
      </tp>
      <tp t="e">
        <v>#N/A</v>
        <stp/>
        <stp>BDH|12074436081284067976</stp>
        <tr r="O20" s="34"/>
      </tp>
      <tp t="e">
        <v>#N/A</v>
        <stp/>
        <stp>BDH|14931016242214955761</stp>
        <tr r="W135" s="39"/>
      </tp>
      <tp t="e">
        <v>#N/A</v>
        <stp/>
        <stp>BDH|15319019145440760258</stp>
        <tr r="C31" s="36"/>
      </tp>
      <tp t="e">
        <v>#N/A</v>
        <stp/>
        <stp>BDH|14616937037115663811</stp>
        <tr r="G31" s="36"/>
      </tp>
      <tp t="e">
        <v>#N/A</v>
        <stp/>
        <stp>BDH|11382712153873625320</stp>
        <tr r="V32" s="36"/>
      </tp>
      <tp t="e">
        <v>#N/A</v>
        <stp/>
        <stp>BDH|17024115957666078636</stp>
        <tr r="K33" s="37"/>
      </tp>
      <tp t="e">
        <v>#N/A</v>
        <stp/>
        <stp>BDH|17508266436175153015</stp>
        <tr r="W13" s="32"/>
      </tp>
      <tp t="e">
        <v>#N/A</v>
        <stp/>
        <stp>BDH|11049189648422795525</stp>
        <tr r="H38" s="37"/>
      </tp>
      <tp t="e">
        <v>#N/A</v>
        <stp/>
        <stp>BDH|16709623855164634229</stp>
        <tr r="S174" s="39"/>
      </tp>
      <tp t="e">
        <v>#N/A</v>
        <stp/>
        <stp>BDH|13260127632432487023</stp>
        <tr r="AB78" s="32"/>
      </tp>
      <tp t="e">
        <v>#N/A</v>
        <stp/>
        <stp>BDH|14368065914487482113</stp>
        <tr r="X93" s="32"/>
      </tp>
      <tp t="e">
        <v>#N/A</v>
        <stp/>
        <stp>BDH|12636478817403145739</stp>
        <tr r="E35" s="36"/>
      </tp>
      <tp t="e">
        <v>#N/A</v>
        <stp/>
        <stp>BDH|16619773261820508418</stp>
        <tr r="Q209" s="39"/>
      </tp>
      <tp t="e">
        <v>#N/A</v>
        <stp/>
        <stp>BDH|14306316614273059620</stp>
        <tr r="Q217" s="39"/>
      </tp>
      <tp t="e">
        <v>#N/A</v>
        <stp/>
        <stp>BDH|10117116252315350254</stp>
        <tr r="W148" s="39"/>
      </tp>
      <tp t="e">
        <v>#N/A</v>
        <stp/>
        <stp>BDH|10249791149126495616</stp>
        <tr r="X25" s="32"/>
      </tp>
      <tp t="e">
        <v>#N/A</v>
        <stp/>
        <stp>BDH|15171106401824104362</stp>
        <tr r="AB109" s="32"/>
      </tp>
      <tp t="e">
        <v>#N/A</v>
        <stp/>
        <stp>BDH|16081850566643477803</stp>
        <tr r="U104" s="32"/>
      </tp>
      <tp t="e">
        <v>#N/A</v>
        <stp/>
        <stp>BDH|12023602233411141559</stp>
        <tr r="Y107" s="32"/>
      </tp>
      <tp t="e">
        <v>#N/A</v>
        <stp/>
        <stp>BDH|14143681753923435790</stp>
        <tr r="K23" s="35"/>
      </tp>
      <tp t="e">
        <v>#N/A</v>
        <stp/>
        <stp>BDH|14719587180082115899</stp>
        <tr r="S89" s="32"/>
      </tp>
      <tp t="e">
        <v>#N/A</v>
        <stp/>
        <stp>BDH|11823108270106677292</stp>
        <tr r="W31" s="36"/>
      </tp>
      <tp t="e">
        <v>#N/A</v>
        <stp/>
        <stp>BDH|12293883126519969228</stp>
        <tr r="E28" s="37"/>
      </tp>
      <tp t="e">
        <v>#N/A</v>
        <stp/>
        <stp>BDH|14807252061500351385</stp>
        <tr r="Y3" s="32"/>
      </tp>
      <tp t="e">
        <v>#N/A</v>
        <stp/>
        <stp>BDH|15848369361542981116</stp>
        <tr r="U113" s="39"/>
      </tp>
      <tp t="e">
        <v>#N/A</v>
        <stp/>
        <stp>BDH|17581245660195037569</stp>
        <tr r="AC70" s="32"/>
      </tp>
      <tp t="e">
        <v>#N/A</v>
        <stp/>
        <stp>BDH|18080115618038741385</stp>
        <tr r="U53" s="32"/>
      </tp>
      <tp t="e">
        <v>#N/A</v>
        <stp/>
        <stp>BDH|10333710636154317310</stp>
        <tr r="U13" s="32"/>
      </tp>
      <tp t="e">
        <v>#N/A</v>
        <stp/>
        <stp>BDH|11739750832525358353</stp>
        <tr r="V43" s="32"/>
      </tp>
      <tp t="e">
        <v>#N/A</v>
        <stp/>
        <stp>BDH|10798965854847439870</stp>
        <tr r="AB138" s="39"/>
        <tr r="AC138" s="39"/>
      </tp>
      <tp t="e">
        <v>#N/A</v>
        <stp/>
        <stp>BDH|16475413115649563932</stp>
        <tr r="AD26" s="32"/>
      </tp>
      <tp t="e">
        <v>#N/A</v>
        <stp/>
        <stp>BDH|10648704340867485745</stp>
        <tr r="V161" s="39"/>
      </tp>
      <tp t="e">
        <v>#N/A</v>
        <stp/>
        <stp>BDH|17000991144008251190</stp>
        <tr r="U204" s="39"/>
      </tp>
      <tp t="e">
        <v>#N/A</v>
        <stp/>
        <stp>BDH|17853406838815012694</stp>
        <tr r="U24" s="22"/>
      </tp>
      <tp t="e">
        <v>#N/A</v>
        <stp/>
        <stp>BDH|14053211771036822418</stp>
        <tr r="G23" s="35"/>
      </tp>
      <tp t="e">
        <v>#N/A</v>
        <stp/>
        <stp>BDH|15095310463682940129</stp>
        <tr r="U160" s="39"/>
      </tp>
      <tp t="e">
        <v>#N/A</v>
        <stp/>
        <stp>BDH|17763184622372459503</stp>
        <tr r="H25" s="36"/>
      </tp>
      <tp t="e">
        <v>#N/A</v>
        <stp/>
        <stp>BDH|11055256448811695525</stp>
        <tr r="AA76" s="32"/>
      </tp>
      <tp t="e">
        <v>#N/A</v>
        <stp/>
        <stp>BDH|11223297779067826030</stp>
        <tr r="V74" s="32"/>
      </tp>
      <tp t="e">
        <v>#N/A</v>
        <stp/>
        <stp>BDH|12008500345767809740</stp>
        <tr r="AC22" s="32"/>
      </tp>
      <tp t="e">
        <v>#N/A</v>
        <stp/>
        <stp>BDH|14954614423047363410</stp>
        <tr r="AC20" s="32"/>
      </tp>
      <tp t="e">
        <v>#N/A</v>
        <stp/>
        <stp>BDH|12190377170557769295</stp>
        <tr r="AB76" s="32"/>
      </tp>
      <tp t="e">
        <v>#N/A</v>
        <stp/>
        <stp>BDH|11923638669100204293</stp>
        <tr r="R12" s="32"/>
      </tp>
      <tp t="e">
        <v>#N/A</v>
        <stp/>
        <stp>BDH|10849042227588594964</stp>
        <tr r="T33" s="32"/>
      </tp>
      <tp t="e">
        <v>#N/A</v>
        <stp/>
        <stp>BDH|16687746071791244491</stp>
        <tr r="X198" s="39"/>
      </tp>
      <tp t="e">
        <v>#N/A</v>
        <stp/>
        <stp>BDH|17177445219013776236</stp>
        <tr r="H26" s="37"/>
      </tp>
      <tp t="e">
        <v>#N/A</v>
        <stp/>
        <stp>BDH|15184778824251307290</stp>
        <tr r="F26" s="36"/>
      </tp>
      <tp t="e">
        <v>#N/A</v>
        <stp/>
        <stp>BDH|15496590369947583299</stp>
        <tr r="AB203" s="39"/>
        <tr r="AC203" s="39"/>
      </tp>
      <tp t="e">
        <v>#N/A</v>
        <stp/>
        <stp>BDH|15354686650445628055</stp>
        <tr r="X29" s="35"/>
      </tp>
      <tp t="e">
        <v>#N/A</v>
        <stp/>
        <stp>BDH|15534385989104438982</stp>
        <tr r="W73" s="32"/>
      </tp>
      <tp t="e">
        <v>#N/A</v>
        <stp/>
        <stp>BDH|14505977399612671553</stp>
        <tr r="AJ29" s="36"/>
      </tp>
      <tp t="e">
        <v>#N/A</v>
        <stp/>
        <stp>BDH|18318427381424285391</stp>
        <tr r="T87" s="32"/>
      </tp>
      <tp t="e">
        <v>#N/A</v>
        <stp/>
        <stp>BDH|16782565718712752355</stp>
        <tr r="X218" s="39"/>
      </tp>
      <tp t="e">
        <v>#N/A</v>
        <stp/>
        <stp>BDH|13088065877104871324</stp>
        <tr r="I30" s="24"/>
      </tp>
      <tp t="e">
        <v>#N/A</v>
        <stp/>
        <stp>BDH|11694494813843450431</stp>
        <tr r="S81" s="32"/>
      </tp>
      <tp t="e">
        <v>#N/A</v>
        <stp/>
        <stp>BDH|11463168359740513659</stp>
        <tr r="D26" s="37"/>
      </tp>
      <tp t="e">
        <v>#N/A</v>
        <stp/>
        <stp>BDH|12970117311010111136</stp>
        <tr r="K19" s="24"/>
      </tp>
      <tp t="e">
        <v>#N/A</v>
        <stp/>
        <stp>BDH|12998294289068498362</stp>
        <tr r="J29" s="37"/>
      </tp>
      <tp t="e">
        <v>#N/A</v>
        <stp/>
        <stp>BDH|15427635348976282263</stp>
        <tr r="V134" s="39"/>
      </tp>
      <tp t="e">
        <v>#N/A</v>
        <stp/>
        <stp>BDH|13470420733222832578</stp>
        <tr r="X140" s="39"/>
      </tp>
      <tp t="e">
        <v>#N/A</v>
        <stp/>
        <stp>BDH|14695482780339704234</stp>
        <tr r="T6" s="32"/>
      </tp>
      <tp t="e">
        <v>#N/A</v>
        <stp/>
        <stp>BDH|10321799542976197637</stp>
        <tr r="U175" s="39"/>
      </tp>
      <tp t="e">
        <v>#N/A</v>
        <stp/>
        <stp>BDH|17177376775918894811</stp>
        <tr r="W143" s="39"/>
      </tp>
      <tp t="e">
        <v>#N/A</v>
        <stp/>
        <stp>BDH|16193091841013293216</stp>
        <tr r="L24" s="34"/>
      </tp>
      <tp t="e">
        <v>#N/A</v>
        <stp/>
        <stp>BDH|13936725727683438627</stp>
        <tr r="X83" s="32"/>
      </tp>
      <tp t="e">
        <v>#N/A</v>
        <stp/>
        <stp>BDH|14746281511713562710</stp>
        <tr r="Q19" s="22"/>
      </tp>
      <tp t="e">
        <v>#N/A</v>
        <stp/>
        <stp>BDH|11794051154185353285</stp>
        <tr r="T12" s="32"/>
      </tp>
      <tp t="e">
        <v>#N/A</v>
        <stp/>
        <stp>BDH|15597006555245540687</stp>
        <tr r="Z188" s="39"/>
      </tp>
      <tp t="e">
        <v>#N/A</v>
        <stp/>
        <stp>BDH|14256576911125999606</stp>
        <tr r="W142" s="39"/>
      </tp>
      <tp t="e">
        <v>#N/A</v>
        <stp/>
        <stp>BDH|11361131347043261480</stp>
        <tr r="AA157" s="39"/>
      </tp>
      <tp t="e">
        <v>#N/A</v>
        <stp/>
        <stp>BDH|11543663999008282559</stp>
        <tr r="O25" s="34"/>
      </tp>
      <tp t="e">
        <v>#N/A</v>
        <stp/>
        <stp>BDH|14747436429340170110</stp>
        <tr r="V128" s="39"/>
      </tp>
      <tp t="e">
        <v>#N/A</v>
        <stp/>
        <stp>BDH|16475805099826547258</stp>
        <tr r="T121" s="39"/>
      </tp>
      <tp t="e">
        <v>#N/A</v>
        <stp/>
        <stp>BDH|16415934557029991057</stp>
        <tr r="T68" s="32"/>
      </tp>
      <tp t="e">
        <v>#N/A</v>
        <stp/>
        <stp>BDH|10732294844111026466</stp>
        <tr r="G25" s="24"/>
      </tp>
      <tp t="e">
        <v>#N/A</v>
        <stp/>
        <stp>BDH|16428690005506600525</stp>
        <tr r="U61" s="32"/>
      </tp>
      <tp t="e">
        <v>#N/A</v>
        <stp/>
        <stp>BDH|15691064007925221391</stp>
        <tr r="T201" s="39"/>
      </tp>
      <tp t="e">
        <v>#N/A</v>
        <stp/>
        <stp>BDH|16929372759646961524</stp>
        <tr r="T20" s="35"/>
      </tp>
      <tp t="e">
        <v>#N/A</v>
        <stp/>
        <stp>BDH|12130540866195996754</stp>
        <tr r="Z71" s="32"/>
      </tp>
      <tp t="e">
        <v>#N/A</v>
        <stp/>
        <stp>BDH|12083337662184835063</stp>
        <tr r="W10" s="32"/>
      </tp>
      <tp t="e">
        <v>#N/A</v>
        <stp/>
        <stp>BDH|15569036103605268380</stp>
        <tr r="F38" s="37"/>
      </tp>
      <tp t="e">
        <v>#N/A</v>
        <stp/>
        <stp>BDH|16022763416396894561</stp>
        <tr r="R155" s="39"/>
      </tp>
      <tp t="e">
        <v>#N/A</v>
        <stp/>
        <stp>BDH|10192630721766870150</stp>
        <tr r="T92" s="32"/>
      </tp>
      <tp t="e">
        <v>#N/A</v>
        <stp/>
        <stp>BDH|17933742371573682741</stp>
        <tr r="AC51" s="32"/>
      </tp>
      <tp t="e">
        <v>#N/A</v>
        <stp/>
        <stp>BDH|17316394412704423221</stp>
        <tr r="U180" s="39"/>
      </tp>
      <tp t="e">
        <v>#N/A</v>
        <stp/>
        <stp>BDH|11901014058736937170</stp>
        <tr r="AA175" s="39"/>
      </tp>
    </main>
    <main first="bofaddin.rtdserver">
      <tp t="e">
        <v>#N/A</v>
        <stp/>
        <stp>BDH|16546533506974978782</stp>
        <tr r="AD57" s="32"/>
      </tp>
      <tp t="e">
        <v>#N/A</v>
        <stp/>
        <stp>BDH|10376238410037752460</stp>
        <tr r="V55" s="32"/>
      </tp>
      <tp t="e">
        <v>#N/A</v>
        <stp/>
        <stp>BDH|17909990383285126339</stp>
        <tr r="M37" s="36"/>
      </tp>
      <tp t="e">
        <v>#N/A</v>
        <stp/>
        <stp>BDH|13856053572576965278</stp>
        <tr r="Z98" s="32"/>
      </tp>
      <tp t="e">
        <v>#N/A</v>
        <stp/>
        <stp>BDH|15120327755662128162</stp>
        <tr r="R35" s="32"/>
      </tp>
      <tp t="e">
        <v>#N/A</v>
        <stp/>
        <stp>BDH|15959787679593825616</stp>
        <tr r="AA106" s="32"/>
      </tp>
      <tp t="e">
        <v>#N/A</v>
        <stp/>
        <stp>BDH|10453235677406905384</stp>
        <tr r="L27" s="34"/>
      </tp>
      <tp t="e">
        <v>#N/A</v>
        <stp/>
        <stp>BDH|18260076556515516872</stp>
        <tr r="K33" s="38"/>
      </tp>
      <tp t="e">
        <v>#N/A</v>
        <stp/>
        <stp>BDH|11221771644720793278</stp>
        <tr r="Y161" s="39"/>
      </tp>
      <tp t="e">
        <v>#N/A</v>
        <stp/>
        <stp>BDH|15604467549174850106</stp>
        <tr r="G32" s="36"/>
      </tp>
      <tp t="e">
        <v>#N/A</v>
        <stp/>
        <stp>BDH|15751876183925758047</stp>
        <tr r="AM29" s="36"/>
      </tp>
      <tp t="e">
        <v>#N/A</v>
        <stp/>
        <stp>BDH|11391510562183967191</stp>
        <tr r="V196" s="39"/>
      </tp>
      <tp t="e">
        <v>#N/A</v>
        <stp/>
        <stp>BDH|11147419900702747770</stp>
        <tr r="Z185" s="39"/>
      </tp>
      <tp t="e">
        <v>#N/A</v>
        <stp/>
        <stp>BDH|17674950561169050120</stp>
        <tr r="Y211" s="39"/>
      </tp>
      <tp t="e">
        <v>#N/A</v>
        <stp/>
        <stp>BDH|16772358364041156278</stp>
        <tr r="AB72" s="32"/>
      </tp>
      <tp t="e">
        <v>#N/A</v>
        <stp/>
        <stp>BDH|12269623168595947715</stp>
        <tr r="W156" s="39"/>
      </tp>
      <tp t="e">
        <v>#N/A</v>
        <stp/>
        <stp>BDH|10651509017981772567</stp>
        <tr r="AB30" s="35"/>
      </tp>
      <tp t="e">
        <v>#N/A</v>
        <stp/>
        <stp>BDH|13973717259727919682</stp>
        <tr r="X71" s="32"/>
      </tp>
      <tp t="e">
        <v>#N/A</v>
        <stp/>
        <stp>BDH|11322390645865816341</stp>
        <tr r="Y106" s="32"/>
      </tp>
      <tp t="e">
        <v>#N/A</v>
        <stp/>
        <stp>BDH|15365494508280063118</stp>
        <tr r="AB149" s="39"/>
        <tr r="AC149" s="39"/>
      </tp>
      <tp t="e">
        <v>#N/A</v>
        <stp/>
        <stp>BDH|17275336131482317508</stp>
        <tr r="T158" s="39"/>
      </tp>
      <tp t="e">
        <v>#N/A</v>
        <stp/>
        <stp>BDH|14907383855432417031</stp>
        <tr r="Y202" s="39"/>
      </tp>
      <tp t="e">
        <v>#N/A</v>
        <stp/>
        <stp>BDH|16331667765625728344</stp>
        <tr r="U154" s="39"/>
      </tp>
      <tp t="e">
        <v>#N/A</v>
        <stp/>
        <stp>BDH|12489636631995077254</stp>
        <tr r="M20" s="34"/>
      </tp>
      <tp t="e">
        <v>#N/A</v>
        <stp/>
        <stp>BDH|14921419649015375107</stp>
        <tr r="S104" s="32"/>
      </tp>
      <tp t="e">
        <v>#N/A</v>
        <stp/>
        <stp>BDH|17529098922851479488</stp>
        <tr r="H18" s="34"/>
      </tp>
      <tp t="e">
        <v>#N/A</v>
        <stp/>
        <stp>BDH|18022522365948527307</stp>
        <tr r="S91" s="32"/>
      </tp>
      <tp t="e">
        <v>#N/A</v>
        <stp/>
        <stp>BDH|16716677563865388325</stp>
        <tr r="S159" s="39"/>
      </tp>
      <tp t="e">
        <v>#N/A</v>
        <stp/>
        <stp>BDH|13659000310385527717</stp>
        <tr r="S36" s="36"/>
      </tp>
      <tp t="e">
        <v>#N/A</v>
        <stp/>
        <stp>BDH|10809311809120025321</stp>
        <tr r="X216" s="39"/>
      </tp>
      <tp t="e">
        <v>#N/A</v>
        <stp/>
        <stp>BDH|14044356332734308067</stp>
        <tr r="AB159" s="39"/>
        <tr r="AC159" s="39"/>
      </tp>
      <tp t="e">
        <v>#N/A</v>
        <stp/>
        <stp>BDH|14058730919631060387</stp>
        <tr r="R60" s="32"/>
      </tp>
      <tp t="e">
        <v>#N/A</v>
        <stp/>
        <stp>BDH|12540024344581663772</stp>
        <tr r="Z125" s="39"/>
      </tp>
      <tp t="e">
        <v>#N/A</v>
        <stp/>
        <stp>BDH|11858903798780283108</stp>
        <tr r="Z123" s="39"/>
      </tp>
      <tp t="e">
        <v>#N/A</v>
        <stp/>
        <stp>BDH|17949211128111129637</stp>
        <tr r="Y134" s="39"/>
      </tp>
      <tp t="e">
        <v>#N/A</v>
        <stp/>
        <stp>BDH|11063670954722411050</stp>
        <tr r="M29" s="38"/>
      </tp>
      <tp t="e">
        <v>#N/A</v>
        <stp/>
        <stp>BDH|15478021942051503036</stp>
        <tr r="Z191" s="39"/>
      </tp>
      <tp t="e">
        <v>#N/A</v>
        <stp/>
        <stp>BDH|10448479609841871504</stp>
        <tr r="I26" s="37"/>
      </tp>
      <tp t="e">
        <v>#N/A</v>
        <stp/>
        <stp>BDH|13342140559651836644</stp>
        <tr r="AA167" s="39"/>
      </tp>
      <tp t="e">
        <v>#N/A</v>
        <stp/>
        <stp>BDH|17230769139754018784</stp>
        <tr r="U169" s="39"/>
      </tp>
      <tp t="e">
        <v>#N/A</v>
        <stp/>
        <stp>BDH|17466456549361976648</stp>
        <tr r="Y20" s="35"/>
      </tp>
      <tp t="e">
        <v>#N/A</v>
        <stp/>
        <stp>BDH|15057875586106541316</stp>
        <tr r="J26" s="36"/>
      </tp>
      <tp t="e">
        <v>#N/A</v>
        <stp/>
        <stp>BDH|18328230785297368531</stp>
        <tr r="N27" s="37"/>
      </tp>
      <tp t="e">
        <v>#N/A</v>
        <stp/>
        <stp>BDH|10161770633067955394</stp>
        <tr r="S115" s="39"/>
      </tp>
      <tp t="e">
        <v>#N/A</v>
        <stp/>
        <stp>BDH|15167341544734082651</stp>
        <tr r="I25" s="36"/>
      </tp>
      <tp t="e">
        <v>#N/A</v>
        <stp/>
        <stp>BDH|16714628209453168397</stp>
        <tr r="Y144" s="39"/>
      </tp>
      <tp t="e">
        <v>#N/A</v>
        <stp/>
        <stp>BDH|11506760215913325417</stp>
        <tr r="Y24" s="22"/>
      </tp>
      <tp t="e">
        <v>#N/A</v>
        <stp/>
        <stp>BDH|13355433112564657205</stp>
        <tr r="S102" s="32"/>
      </tp>
      <tp t="e">
        <v>#N/A</v>
        <stp/>
        <stp>BDH|16245429643693786501</stp>
        <tr r="M29" s="22"/>
      </tp>
      <tp t="e">
        <v>#N/A</v>
        <stp/>
        <stp>BDH|13241304804493038325</stp>
        <tr r="B25" s="34"/>
      </tp>
      <tp t="e">
        <v>#N/A</v>
        <stp/>
        <stp>BDH|12942955466309664485</stp>
        <tr r="V168" s="39"/>
      </tp>
      <tp t="e">
        <v>#N/A</v>
        <stp/>
        <stp>BDH|11135450301553164600</stp>
        <tr r="Y22" s="22"/>
      </tp>
      <tp t="e">
        <v>#N/A</v>
        <stp/>
        <stp>BDH|12234287601409493983</stp>
        <tr r="W20" s="32"/>
      </tp>
      <tp t="e">
        <v>#N/A</v>
        <stp/>
        <stp>BDH|15797582948652706675</stp>
        <tr r="K29" s="35"/>
      </tp>
      <tp t="e">
        <v>#N/A</v>
        <stp/>
        <stp>BDH|14902745278945474163</stp>
        <tr r="T20" s="32"/>
      </tp>
      <tp t="e">
        <v>#N/A</v>
        <stp/>
        <stp>BDH|10184997864037378887</stp>
        <tr r="D29" s="22"/>
      </tp>
      <tp t="e">
        <v>#N/A</v>
        <stp/>
        <stp>BDH|14408280949981464361</stp>
        <tr r="T61" s="32"/>
      </tp>
      <tp t="e">
        <v>#N/A</v>
        <stp/>
        <stp>BDH|13198085363566963341</stp>
        <tr r="W30" s="36"/>
      </tp>
      <tp t="e">
        <v>#N/A</v>
        <stp/>
        <stp>BDH|17442165140040399265</stp>
        <tr r="X23" s="32"/>
      </tp>
      <tp t="e">
        <v>#N/A</v>
        <stp/>
        <stp>BDH|16643245661355774734</stp>
        <tr r="W54" s="32"/>
      </tp>
      <tp t="e">
        <v>#N/A</v>
        <stp/>
        <stp>BDH|18332801706198358810</stp>
        <tr r="AA39" s="32"/>
      </tp>
      <tp t="e">
        <v>#N/A</v>
        <stp/>
        <stp>BDH|11381658856990003262</stp>
        <tr r="AD20" s="32"/>
      </tp>
      <tp t="e">
        <v>#N/A</v>
        <stp/>
        <stp>BDH|16671850324244865899</stp>
        <tr r="F36" s="36"/>
      </tp>
      <tp t="e">
        <v>#N/A</v>
        <stp/>
        <stp>BDH|10497317126531765024</stp>
        <tr r="AA216" s="39"/>
      </tp>
      <tp t="e">
        <v>#N/A</v>
        <stp/>
        <stp>BDH|10391071243427944386</stp>
        <tr r="R37" s="36"/>
      </tp>
      <tp t="e">
        <v>#N/A</v>
        <stp/>
        <stp>BDH|10405097780779330182</stp>
        <tr r="C30" s="36"/>
      </tp>
      <tp t="e">
        <v>#N/A</v>
        <stp/>
        <stp>BDH|18388601608478421698</stp>
        <tr r="T191" s="39"/>
      </tp>
      <tp t="e">
        <v>#N/A</v>
        <stp/>
        <stp>BDH|17354760567675503314</stp>
        <tr r="S67" s="32"/>
      </tp>
      <tp t="e">
        <v>#N/A</v>
        <stp/>
        <stp>BDH|11135226319784519694</stp>
        <tr r="AD104" s="32"/>
      </tp>
      <tp t="e">
        <v>#N/A</v>
        <stp/>
        <stp>BDH|10972329749901705631</stp>
        <tr r="U27" s="35"/>
      </tp>
      <tp t="e">
        <v>#N/A</v>
        <stp/>
        <stp>BDH|11553604101080368711</stp>
        <tr r="T184" s="39"/>
      </tp>
      <tp t="e">
        <v>#N/A</v>
        <stp/>
        <stp>BDH|15268486665351593631</stp>
        <tr r="Z86" s="32"/>
      </tp>
      <tp t="e">
        <v>#N/A</v>
        <stp/>
        <stp>BDH|17706385440903343352</stp>
        <tr r="V182" s="39"/>
      </tp>
      <tp t="e">
        <v>#N/A</v>
        <stp/>
        <stp>BDH|10162441620164596296</stp>
        <tr r="Z159" s="39"/>
      </tp>
      <tp t="e">
        <v>#N/A</v>
        <stp/>
        <stp>BDH|15966451475025869389</stp>
        <tr r="AD75" s="32"/>
      </tp>
      <tp t="e">
        <v>#N/A</v>
        <stp/>
        <stp>BDH|13358565138535674021</stp>
        <tr r="T186" s="39"/>
      </tp>
      <tp t="e">
        <v>#N/A</v>
        <stp/>
        <stp>BDH|17986198454316991548</stp>
        <tr r="X98" s="32"/>
      </tp>
      <tp t="e">
        <v>#N/A</v>
        <stp/>
        <stp>BDH|13716257067717908050</stp>
        <tr r="AB106" s="32"/>
      </tp>
      <tp t="e">
        <v>#N/A</v>
        <stp/>
        <stp>BDH|10817033216205346473</stp>
        <tr r="AB199" s="39"/>
        <tr r="AC199" s="39"/>
      </tp>
      <tp t="e">
        <v>#N/A</v>
        <stp/>
        <stp>BDH|12347120666634736194</stp>
        <tr r="U14" s="32"/>
      </tp>
      <tp t="e">
        <v>#N/A</v>
        <stp/>
        <stp>BDH|18019992652867020330</stp>
        <tr r="F30" s="22"/>
      </tp>
      <tp t="e">
        <v>#N/A</v>
        <stp/>
        <stp>BDH|15276100217665898051</stp>
        <tr r="O32" s="36"/>
      </tp>
      <tp t="e">
        <v>#N/A</v>
        <stp/>
        <stp>BDH|14980647566447777344</stp>
        <tr r="Y141" s="39"/>
      </tp>
      <tp t="e">
        <v>#N/A</v>
        <stp/>
        <stp>BDH|18198958182811870860</stp>
        <tr r="I29" s="22"/>
      </tp>
      <tp t="e">
        <v>#N/A</v>
        <stp/>
        <stp>BDH|13372783786518151447</stp>
        <tr r="U55" s="32"/>
      </tp>
      <tp t="e">
        <v>#N/A</v>
        <stp/>
        <stp>BDH|13402081375702155602</stp>
        <tr r="H36" s="37"/>
      </tp>
      <tp t="e">
        <v>#N/A</v>
        <stp/>
        <stp>BDH|11395755213185957248</stp>
        <tr r="C28" s="22"/>
      </tp>
      <tp t="e">
        <v>#N/A</v>
        <stp/>
        <stp>BDH|14756689678934846177</stp>
        <tr r="X195" s="39"/>
      </tp>
      <tp t="e">
        <v>#N/A</v>
        <stp/>
        <stp>BDH|10330046579705516236</stp>
        <tr r="V186" s="39"/>
      </tp>
      <tp t="e">
        <v>#N/A</v>
        <stp/>
        <stp>BDH|12984711943686498772</stp>
        <tr r="AA54" s="38"/>
        <tr r="AA54" s="37"/>
      </tp>
      <tp t="e">
        <v>#N/A</v>
        <stp/>
        <stp>BDH|11068915489762080208</stp>
        <tr r="L27" s="38"/>
      </tp>
      <tp t="e">
        <v>#N/A</v>
        <stp/>
        <stp>BDH|14426846876098992347</stp>
        <tr r="V219" s="39"/>
      </tp>
      <tp t="e">
        <v>#N/A</v>
        <stp/>
        <stp>BDH|11521866584362934358</stp>
        <tr r="AJ35" s="36"/>
      </tp>
      <tp t="e">
        <v>#N/A</v>
        <stp/>
        <stp>BDH|12915247610023724215</stp>
        <tr r="Y182" s="39"/>
      </tp>
      <tp t="e">
        <v>#N/A</v>
        <stp/>
        <stp>BDH|14938634385228671225</stp>
        <tr r="U199" s="39"/>
      </tp>
      <tp t="e">
        <v>#N/A</v>
        <stp/>
        <stp>BDH|15857640874567229314</stp>
        <tr r="S95" s="32"/>
      </tp>
      <tp t="e">
        <v>#N/A</v>
        <stp/>
        <stp>BDH|18334476184857809322</stp>
        <tr r="AA103" s="32"/>
      </tp>
      <tp t="e">
        <v>#N/A</v>
        <stp/>
        <stp>BDH|18356896607972751200</stp>
        <tr r="G24" s="34"/>
      </tp>
      <tp t="e">
        <v>#N/A</v>
        <stp/>
        <stp>BDH|10418560238737591152</stp>
        <tr r="X64" s="32"/>
      </tp>
      <tp t="e">
        <v>#N/A</v>
        <stp/>
        <stp>BDH|17498163958170708378</stp>
        <tr r="AD31" s="32"/>
      </tp>
      <tp t="e">
        <v>#N/A</v>
        <stp/>
        <stp>BDH|12127778058553093345</stp>
        <tr r="AN28" s="36"/>
      </tp>
      <tp t="e">
        <v>#N/A</v>
        <stp/>
        <stp>BDH|12698108451313483598</stp>
        <tr r="Q122" s="39"/>
      </tp>
      <tp t="e">
        <v>#N/A</v>
        <stp/>
        <stp>BDH|17636295528546553183</stp>
        <tr r="R208" s="39"/>
      </tp>
      <tp t="e">
        <v>#N/A</v>
        <stp/>
        <stp>BDH|10204720263064971502</stp>
        <tr r="Q215" s="39"/>
      </tp>
      <tp t="e">
        <v>#N/A</v>
        <stp/>
        <stp>BDH|16932312584089534449</stp>
        <tr r="S16" s="32"/>
      </tp>
      <tp t="e">
        <v>#N/A</v>
        <stp/>
        <stp>BDH|17634871697953872536</stp>
        <tr r="F21" s="35"/>
      </tp>
      <tp t="e">
        <v>#N/A</v>
        <stp/>
        <stp>BDH|13459746815920963516</stp>
        <tr r="N19" s="35"/>
      </tp>
      <tp t="e">
        <v>#N/A</v>
        <stp/>
        <stp>BDH|15399000030851914778</stp>
        <tr r="AA169" s="39"/>
      </tp>
      <tp t="e">
        <v>#N/A</v>
        <stp/>
        <stp>BDH|16268327017717811328</stp>
        <tr r="X185" s="39"/>
      </tp>
      <tp t="e">
        <v>#N/A</v>
        <stp/>
        <stp>BDH|14872879282382182616</stp>
        <tr r="V154" s="39"/>
      </tp>
      <tp t="e">
        <v>#N/A</v>
        <stp/>
        <stp>BDH|17195351675646953559</stp>
        <tr r="AB167" s="39"/>
        <tr r="AC167" s="39"/>
      </tp>
      <tp t="e">
        <v>#N/A</v>
        <stp/>
        <stp>BDH|16479582064274173141</stp>
        <tr r="E27" s="24"/>
      </tp>
      <tp t="e">
        <v>#N/A</v>
        <stp/>
        <stp>BDH|12772244399108307144</stp>
        <tr r="Q25" s="35"/>
      </tp>
      <tp t="e">
        <v>#N/A</v>
        <stp/>
        <stp>BDH|15379544905591839171</stp>
        <tr r="Q164" s="39"/>
      </tp>
      <tp t="e">
        <v>#N/A</v>
        <stp/>
        <stp>BDH|11657943594017283680</stp>
        <tr r="W75" s="32"/>
      </tp>
      <tp t="e">
        <v>#N/A</v>
        <stp/>
        <stp>BDH|17109489284429802290</stp>
        <tr r="T27" s="35"/>
      </tp>
      <tp t="e">
        <v>#N/A</v>
        <stp/>
        <stp>BDH|18195119795096897615</stp>
        <tr r="R26" s="35"/>
      </tp>
      <tp t="e">
        <v>#N/A</v>
        <stp/>
        <stp>BDH|12819508742612055166</stp>
        <tr r="AD6" s="32"/>
      </tp>
      <tp t="e">
        <v>#N/A</v>
        <stp/>
        <stp>BDH|13204581857584201738</stp>
        <tr r="X215" s="39"/>
      </tp>
      <tp t="e">
        <v>#N/A</v>
        <stp/>
        <stp>BDH|18229222075778905506</stp>
        <tr r="AB35" s="36"/>
      </tp>
      <tp t="e">
        <v>#N/A</v>
        <stp/>
        <stp>BDH|10119093036227329417</stp>
        <tr r="X165" s="39"/>
      </tp>
      <tp t="e">
        <v>#N/A</v>
        <stp/>
        <stp>BDH|13028186619597938446</stp>
        <tr r="Y4" s="32"/>
      </tp>
      <tp t="e">
        <v>#N/A</v>
        <stp/>
        <stp>BDH|14944335009595784288</stp>
        <tr r="AA35" s="36"/>
      </tp>
      <tp t="e">
        <v>#N/A</v>
        <stp/>
        <stp>BDH|12635367860703848443</stp>
        <tr r="Q142" s="39"/>
      </tp>
      <tp t="e">
        <v>#N/A</v>
        <stp/>
        <stp>BDH|16563093751254646748</stp>
        <tr r="AA30" s="36"/>
      </tp>
      <tp t="e">
        <v>#N/A</v>
        <stp/>
        <stp>BDH|16716336848813761246</stp>
        <tr r="L37" s="38"/>
      </tp>
      <tp t="e">
        <v>#N/A</v>
        <stp/>
        <stp>BDH|17428280826764308368</stp>
        <tr r="AD62" s="32"/>
      </tp>
      <tp t="e">
        <v>#N/A</v>
        <stp/>
        <stp>BDH|17639061155544829628</stp>
        <tr r="AB148" s="39"/>
        <tr r="AC148" s="39"/>
      </tp>
      <tp t="e">
        <v>#N/A</v>
        <stp/>
        <stp>BDH|15220044238234973280</stp>
        <tr r="X18" s="32"/>
      </tp>
      <tp t="e">
        <v>#N/A</v>
        <stp/>
        <stp>BDH|14903612000787129567</stp>
        <tr r="AA28" s="32"/>
      </tp>
      <tp t="e">
        <v>#N/A</v>
        <stp/>
        <stp>BDH|12944007282073437907</stp>
        <tr r="M36" s="37"/>
      </tp>
      <tp t="e">
        <v>#N/A</v>
        <stp/>
        <stp>BDH|12308896951026150954</stp>
        <tr r="I29" s="38"/>
      </tp>
      <tp t="e">
        <v>#N/A</v>
        <stp/>
        <stp>BDH|15744291543204663747</stp>
        <tr r="R150" s="39"/>
      </tp>
      <tp t="e">
        <v>#N/A</v>
        <stp/>
        <stp>BDH|12481846127261188991</stp>
        <tr r="Y26" s="36"/>
      </tp>
      <tp t="e">
        <v>#N/A</v>
        <stp/>
        <stp>BDH|10135562588244045903</stp>
        <tr r="Z210" s="39"/>
      </tp>
      <tp t="e">
        <v>#N/A</v>
        <stp/>
        <stp>BDH|18105122340509805443</stp>
        <tr r="AD19" s="32"/>
      </tp>
      <tp t="e">
        <v>#N/A</v>
        <stp/>
        <stp>BDH|15724274333874555086</stp>
        <tr r="R28" s="36"/>
      </tp>
      <tp t="e">
        <v>#N/A</v>
        <stp/>
        <stp>BDH|16832573526671197063</stp>
        <tr r="U23" s="36"/>
      </tp>
      <tp t="e">
        <v>#N/A</v>
        <stp/>
        <stp>BDH|14995709038252863274</stp>
        <tr r="X217" s="39"/>
      </tp>
      <tp t="e">
        <v>#N/A</v>
        <stp/>
        <stp>BDH|10335774904861713699</stp>
        <tr r="R19" s="22"/>
      </tp>
      <tp t="e">
        <v>#N/A</v>
        <stp/>
        <stp>BDH|12333657329141140706</stp>
        <tr r="F35" s="36"/>
      </tp>
      <tp t="e">
        <v>#N/A</v>
        <stp/>
        <stp>BDH|14717976088605575030</stp>
        <tr r="X131" s="39"/>
      </tp>
    </main>
    <main first="bofaddin.rtdserver">
      <tp t="e">
        <v>#N/A</v>
        <stp/>
        <stp>BDH|15385301374408647803</stp>
        <tr r="J18" s="22"/>
      </tp>
      <tp t="e">
        <v>#N/A</v>
        <stp/>
        <stp>BDH|18098747094345743260</stp>
        <tr r="E33" s="36"/>
      </tp>
      <tp t="e">
        <v>#N/A</v>
        <stp/>
        <stp>BDH|16992595218754823710</stp>
        <tr r="Z52" s="32"/>
      </tp>
      <tp t="e">
        <v>#N/A</v>
        <stp/>
        <stp>BDH|17574648446202351657</stp>
        <tr r="K18" s="22"/>
      </tp>
      <tp t="e">
        <v>#N/A</v>
        <stp/>
        <stp>BDH|16382584277113860655</stp>
        <tr r="L32" s="38"/>
      </tp>
      <tp t="e">
        <v>#N/A</v>
        <stp/>
        <stp>BDH|16319169420297334377</stp>
        <tr r="AA27" s="35"/>
      </tp>
      <tp t="e">
        <v>#N/A</v>
        <stp/>
        <stp>BDH|17573656294660129948</stp>
        <tr r="T63" s="32"/>
      </tp>
      <tp t="e">
        <v>#N/A</v>
        <stp/>
        <stp>BDH|12603222881328245169</stp>
        <tr r="U156" s="39"/>
      </tp>
      <tp t="e">
        <v>#N/A</v>
        <stp/>
        <stp>BDH|11593074847190194454</stp>
        <tr r="Y72" s="32"/>
      </tp>
      <tp t="e">
        <v>#N/A</v>
        <stp/>
        <stp>BDH|14184248465460847190</stp>
        <tr r="W20" s="35"/>
      </tp>
      <tp t="e">
        <v>#N/A</v>
        <stp/>
        <stp>BDH|12267809690434259619</stp>
        <tr r="AD22" s="32"/>
      </tp>
      <tp t="e">
        <v>#N/A</v>
        <stp/>
        <stp>BDH|16150640007351726040</stp>
        <tr r="D32" s="37"/>
      </tp>
      <tp t="e">
        <v>#N/A</v>
        <stp/>
        <stp>BDH|13315233527674255645</stp>
        <tr r="I26" s="34"/>
      </tp>
      <tp t="e">
        <v>#N/A</v>
        <stp/>
        <stp>BDH|16076683718132546258</stp>
        <tr r="U176" s="39"/>
      </tp>
      <tp t="e">
        <v>#N/A</v>
        <stp/>
        <stp>BDH|10477463953317601779</stp>
        <tr r="AD50" s="32"/>
      </tp>
      <tp t="e">
        <v>#N/A</v>
        <stp/>
        <stp>BDH|16174469219272878067</stp>
        <tr r="S168" s="39"/>
      </tp>
      <tp t="e">
        <v>#N/A</v>
        <stp/>
        <stp>BDH|12904708105957901353</stp>
        <tr r="U24" s="35"/>
      </tp>
      <tp t="e">
        <v>#N/A</v>
        <stp/>
        <stp>BDH|10057110911613804286</stp>
        <tr r="J30" s="35"/>
      </tp>
      <tp t="e">
        <v>#N/A</v>
        <stp/>
        <stp>BDH|12628243064723354469</stp>
        <tr r="Z22" s="22"/>
      </tp>
      <tp t="e">
        <v>#N/A</v>
        <stp/>
        <stp>BDH|12564096763867972257</stp>
        <tr r="T19" s="34"/>
      </tp>
      <tp t="e">
        <v>#N/A</v>
        <stp/>
        <stp>BDH|16832769657564911131</stp>
        <tr r="Q30" s="35"/>
      </tp>
      <tp t="e">
        <v>#N/A</v>
        <stp/>
        <stp>BDH|12398453722124011177</stp>
        <tr r="AA27" s="22"/>
      </tp>
      <tp t="e">
        <v>#N/A</v>
        <stp/>
        <stp>BDH|10457459715417225357</stp>
        <tr r="T215" s="39"/>
      </tp>
      <tp t="e">
        <v>#N/A</v>
        <stp/>
        <stp>BDH|15214262653805566610</stp>
        <tr r="V81" s="32"/>
      </tp>
      <tp t="e">
        <v>#N/A</v>
        <stp/>
        <stp>BDH|15713921935056409873</stp>
        <tr r="X208" s="39"/>
      </tp>
      <tp t="e">
        <v>#N/A</v>
        <stp/>
        <stp>BDH|18257619817896638816</stp>
        <tr r="Y187" s="39"/>
      </tp>
      <tp t="e">
        <v>#N/A</v>
        <stp/>
        <stp>BDH|15515020212486167375</stp>
        <tr r="AC78" s="32"/>
      </tp>
      <tp t="e">
        <v>#N/A</v>
        <stp/>
        <stp>BDH|13391123405306120575</stp>
        <tr r="R19" s="34"/>
      </tp>
      <tp t="e">
        <v>#N/A</v>
        <stp/>
        <stp>BDH|17373977252158486207</stp>
        <tr r="Y151" s="39"/>
      </tp>
      <tp t="e">
        <v>#N/A</v>
        <stp/>
        <stp>BDH|11937751109256327140</stp>
        <tr r="R118" s="39"/>
      </tp>
      <tp t="e">
        <v>#N/A</v>
        <stp/>
        <stp>BDH|12415625783409216453</stp>
        <tr r="Z79" s="32"/>
      </tp>
      <tp t="e">
        <v>#N/A</v>
        <stp/>
        <stp>BDH|10204613713433204506</stp>
        <tr r="E29" s="38"/>
      </tp>
      <tp t="e">
        <v>#N/A</v>
        <stp/>
        <stp>BDH|10603344380099508351</stp>
        <tr r="W84" s="32"/>
      </tp>
      <tp t="e">
        <v>#N/A</v>
        <stp/>
        <stp>BDH|17743320629100180785</stp>
        <tr r="AA13" s="32"/>
      </tp>
      <tp t="e">
        <v>#N/A</v>
        <stp/>
        <stp>BDH|15152707911925703724</stp>
        <tr r="C13" s="29"/>
      </tp>
      <tp t="e">
        <v>#N/A</v>
        <stp/>
        <stp>BDH|11294843955449369457</stp>
        <tr r="AB69" s="32"/>
      </tp>
      <tp t="e">
        <v>#N/A</v>
        <stp/>
        <stp>BDH|15075287864285043595</stp>
        <tr r="X210" s="39"/>
      </tp>
      <tp t="e">
        <v>#N/A</v>
        <stp/>
        <stp>BDH|15198893587251989531</stp>
        <tr r="V24" s="32"/>
      </tp>
      <tp t="e">
        <v>#N/A</v>
        <stp/>
        <stp>BDH|14449444276224704244</stp>
        <tr r="AC25" s="32"/>
      </tp>
      <tp t="e">
        <v>#N/A</v>
        <stp/>
        <stp>BDH|14716313923634555054</stp>
        <tr r="Z214" s="39"/>
      </tp>
      <tp t="e">
        <v>#N/A</v>
        <stp/>
        <stp>BDH|10712077862514380350</stp>
        <tr r="G38" s="38"/>
      </tp>
      <tp t="e">
        <v>#N/A</v>
        <stp/>
        <stp>BDH|13414915937238097065</stp>
        <tr r="S18" s="35"/>
      </tp>
      <tp t="e">
        <v>#N/A</v>
        <stp/>
        <stp>BDH|10351586603755848148</stp>
        <tr r="Z32" s="32"/>
      </tp>
      <tp t="e">
        <v>#N/A</v>
        <stp/>
        <stp>BDH|12328848736118434017</stp>
        <tr r="AD17" s="32"/>
      </tp>
      <tp t="e">
        <v>#N/A</v>
        <stp/>
        <stp>BDH|14904794835206788762</stp>
        <tr r="N26" s="34"/>
      </tp>
      <tp t="e">
        <v>#N/A</v>
        <stp/>
        <stp>BDH|11728312623072155306</stp>
        <tr r="W150" s="39"/>
      </tp>
      <tp t="e">
        <v>#N/A</v>
        <stp/>
        <stp>BDH|17803427263631847556</stp>
        <tr r="N29" s="22"/>
      </tp>
      <tp t="e">
        <v>#N/A</v>
        <stp/>
        <stp>BDH|15198635303747299571</stp>
        <tr r="V72" s="32"/>
      </tp>
      <tp t="e">
        <v>#N/A</v>
        <stp/>
        <stp>BDH|13808831496182951104</stp>
        <tr r="S20" s="35"/>
      </tp>
      <tp t="e">
        <v>#N/A</v>
        <stp/>
        <stp>BDH|16102252634302481408</stp>
        <tr r="E22" s="34"/>
      </tp>
      <tp t="e">
        <v>#N/A</v>
        <stp/>
        <stp>BDH|10029652306476600113</stp>
        <tr r="Q154" s="39"/>
      </tp>
      <tp t="e">
        <v>#N/A</v>
        <stp/>
        <stp>BDH|17173433802074761635</stp>
        <tr r="AB188" s="39"/>
        <tr r="AC188" s="39"/>
      </tp>
      <tp t="e">
        <v>#N/A</v>
        <stp/>
        <stp>BDH|15663650477210152514</stp>
        <tr r="D29" s="35"/>
      </tp>
      <tp t="e">
        <v>#N/A</v>
        <stp/>
        <stp>BDH|14053440302905773461</stp>
        <tr r="Q22" s="35"/>
      </tp>
      <tp t="e">
        <v>#N/A</v>
        <stp/>
        <stp>BDH|17999485556515205220</stp>
        <tr r="Q153" s="39"/>
      </tp>
      <tp t="e">
        <v>#N/A</v>
        <stp/>
        <stp>BDH|16371630803774500518</stp>
        <tr r="U32" s="36"/>
      </tp>
      <tp t="e">
        <v>#N/A</v>
        <stp/>
        <stp>BDH|10670366151870024764</stp>
        <tr r="Y36" s="32"/>
      </tp>
      <tp t="e">
        <v>#N/A</v>
        <stp/>
        <stp>BDH|14455219449226277594</stp>
        <tr r="D19" s="24"/>
      </tp>
      <tp t="e">
        <v>#N/A</v>
        <stp/>
        <stp>BDH|17087401955315402269</stp>
        <tr r="U119" s="39"/>
      </tp>
      <tp t="e">
        <v>#N/A</v>
        <stp/>
        <stp>BDH|16260776393941788862</stp>
        <tr r="H29" s="38"/>
      </tp>
      <tp t="e">
        <v>#N/A</v>
        <stp/>
        <stp>BDH|18113401975309700343</stp>
        <tr r="AH34" s="36"/>
      </tp>
      <tp t="e">
        <v>#N/A</v>
        <stp/>
        <stp>BDH|16526174300056511007</stp>
        <tr r="U170" s="39"/>
      </tp>
      <tp t="e">
        <v>#N/A</v>
        <stp/>
        <stp>BDH|17775156379842591295</stp>
        <tr r="W71" s="32"/>
      </tp>
      <tp t="e">
        <v>#N/A</v>
        <stp/>
        <stp>BDH|12647986479884640975</stp>
        <tr r="E31" s="37"/>
      </tp>
      <tp t="e">
        <v>#N/A</v>
        <stp/>
        <stp>BDH|16634131103914805280</stp>
        <tr r="N19" s="34"/>
      </tp>
      <tp t="e">
        <v>#N/A</v>
        <stp/>
        <stp>BDH|16696797229815891781</stp>
        <tr r="T53" s="32"/>
      </tp>
      <tp t="e">
        <v>#N/A</v>
        <stp/>
        <stp>BDH|18391988331791447281</stp>
        <tr r="M35" s="36"/>
      </tp>
      <tp t="e">
        <v>#N/A</v>
        <stp/>
        <stp>BDH|10559035146393687608</stp>
        <tr r="AC16" s="32"/>
      </tp>
      <tp t="e">
        <v>#N/A</v>
        <stp/>
        <stp>BDH|12854584320831365558</stp>
        <tr r="S146" s="39"/>
      </tp>
      <tp t="e">
        <v>#N/A</v>
        <stp/>
        <stp>BDH|14030427402088165974</stp>
        <tr r="C24" s="24"/>
      </tp>
      <tp t="e">
        <v>#N/A</v>
        <stp/>
        <stp>BDH|10688737313265085203</stp>
        <tr r="R185" s="39"/>
      </tp>
      <tp t="e">
        <v>#N/A</v>
        <stp/>
        <stp>BDH|15112246737425218067</stp>
        <tr r="L30" s="37"/>
      </tp>
      <tp t="e">
        <v>#N/A</v>
        <stp/>
        <stp>BDH|14703291577895698569</stp>
        <tr r="O27" s="36"/>
      </tp>
      <tp t="e">
        <v>#N/A</v>
        <stp/>
        <stp>BDH|17908170611964029263</stp>
        <tr r="V30" s="22"/>
      </tp>
      <tp t="e">
        <v>#N/A</v>
        <stp/>
        <stp>BDH|15989912196267273351</stp>
        <tr r="Y53" s="32"/>
      </tp>
      <tp t="e">
        <v>#N/A</v>
        <stp/>
        <stp>BDH|11395777356586220498</stp>
        <tr r="W20" s="22"/>
      </tp>
      <tp t="e">
        <v>#N/A</v>
        <stp/>
        <stp>BDH|15964319926140790507</stp>
        <tr r="R108" s="32"/>
      </tp>
      <tp t="e">
        <v>#N/A</v>
        <stp/>
        <stp>BDH|14295977891002980741</stp>
        <tr r="X40" s="32"/>
      </tp>
      <tp t="e">
        <v>#N/A</v>
        <stp/>
        <stp>BDH|12838037213634665673</stp>
        <tr r="AA168" s="39"/>
      </tp>
      <tp t="e">
        <v>#N/A</v>
        <stp/>
        <stp>BDH|11947430031992546562</stp>
        <tr r="X7" s="32"/>
      </tp>
      <tp t="e">
        <v>#N/A</v>
        <stp/>
        <stp>BDH|13276848523441853957</stp>
        <tr r="P34" s="36"/>
      </tp>
      <tp t="e">
        <v>#N/A</v>
        <stp/>
        <stp>BDH|12060422042900960316</stp>
        <tr r="Z129" s="39"/>
      </tp>
      <tp t="e">
        <v>#N/A</v>
        <stp/>
        <stp>BDH|11349414737845490291</stp>
        <tr r="AK23" s="36"/>
      </tp>
      <tp t="e">
        <v>#N/A</v>
        <stp/>
        <stp>BDH|11389595232570888680</stp>
        <tr r="AA19" s="35"/>
      </tp>
      <tp t="e">
        <v>#N/A</v>
        <stp/>
        <stp>BDH|17050203687684661890</stp>
        <tr r="Z18" s="22"/>
      </tp>
      <tp t="e">
        <v>#N/A</v>
        <stp/>
        <stp>BDH|12075022749851380603</stp>
        <tr r="AB20" s="22"/>
      </tp>
      <tp t="e">
        <v>#N/A</v>
        <stp/>
        <stp>BDH|12665201425040809332</stp>
        <tr r="Z6" s="32"/>
      </tp>
      <tp t="e">
        <v>#N/A</v>
        <stp/>
        <stp>BDH|16205635238770737264</stp>
        <tr r="R125" s="39"/>
      </tp>
      <tp t="e">
        <v>#N/A</v>
        <stp/>
        <stp>BDH|10504204969582632726</stp>
        <tr r="AF23" s="36"/>
      </tp>
      <tp t="e">
        <v>#N/A</v>
        <stp/>
        <stp>BDH|15184572719470662021</stp>
        <tr r="X152" s="39"/>
      </tp>
      <tp t="e">
        <v>#N/A</v>
        <stp/>
        <stp>BDH|11685583853359001960</stp>
        <tr r="G30" s="38"/>
      </tp>
      <tp t="e">
        <v>#N/A</v>
        <stp/>
        <stp>BDH|13693062917754937757</stp>
        <tr r="X135" s="39"/>
      </tp>
      <tp t="e">
        <v>#N/A</v>
        <stp/>
        <stp>BDH|13452572989118368728</stp>
        <tr r="X159" s="39"/>
      </tp>
      <tp t="e">
        <v>#N/A</v>
        <stp/>
        <stp>BDH|16369050077605361599</stp>
        <tr r="R21" s="35"/>
      </tp>
      <tp t="e">
        <v>#N/A</v>
        <stp/>
        <stp>BDH|14367432610631383184</stp>
        <tr r="U42" s="32"/>
      </tp>
      <tp t="e">
        <v>#N/A</v>
        <stp/>
        <stp>BDH|17596406739234597529</stp>
        <tr r="E36" s="36"/>
      </tp>
      <tp t="e">
        <v>#N/A</v>
        <stp/>
        <stp>BDH|13619797902851557438</stp>
        <tr r="M23" s="35"/>
      </tp>
      <tp t="e">
        <v>#N/A</v>
        <stp/>
        <stp>BDH|13073292935656743506</stp>
        <tr r="D27" s="34"/>
      </tp>
      <tp t="e">
        <v>#N/A</v>
        <stp/>
        <stp>BDH|17872625830212434153</stp>
        <tr r="AI30" s="36"/>
      </tp>
      <tp t="e">
        <v>#N/A</v>
        <stp/>
        <stp>BDH|18378881741401015413</stp>
        <tr r="U20" s="32"/>
      </tp>
      <tp t="e">
        <v>#N/A</v>
        <stp/>
        <stp>BDH|15195593223976171514</stp>
        <tr r="W76" s="32"/>
      </tp>
      <tp t="e">
        <v>#N/A</v>
        <stp/>
        <stp>BDH|11343910987723666283</stp>
        <tr r="Y27" s="22"/>
      </tp>
      <tp t="e">
        <v>#N/A</v>
        <stp/>
        <stp>BDH|16290452527169223882</stp>
        <tr r="Z30" s="22"/>
      </tp>
      <tp t="e">
        <v>#N/A</v>
        <stp/>
        <stp>BDH|17801271078870927344</stp>
        <tr r="T27" s="22"/>
      </tp>
      <tp t="e">
        <v>#N/A</v>
        <stp/>
        <stp>BDH|11650815871348878749</stp>
        <tr r="V3" s="32"/>
      </tp>
      <tp t="e">
        <v>#N/A</v>
        <stp/>
        <stp>BDH|17664135589477426829</stp>
        <tr r="Y149" s="39"/>
      </tp>
      <tp t="e">
        <v>#N/A</v>
        <stp/>
        <stp>BDH|13402342929622407176</stp>
        <tr r="AC26" s="36"/>
      </tp>
      <tp t="e">
        <v>#N/A</v>
        <stp/>
        <stp>BDH|11953067716507060630</stp>
        <tr r="G24" s="36"/>
      </tp>
      <tp t="e">
        <v>#N/A</v>
        <stp/>
        <stp>BDH|17296065809635621362</stp>
        <tr r="D33" s="38"/>
      </tp>
      <tp t="e">
        <v>#N/A</v>
        <stp/>
        <stp>BDH|17999980986224319390</stp>
        <tr r="Q146" s="39"/>
      </tp>
      <tp t="e">
        <v>#N/A</v>
        <stp/>
        <stp>BDH|12599009929520586147</stp>
        <tr r="U183" s="39"/>
      </tp>
      <tp t="e">
        <v>#N/A</v>
        <stp/>
        <stp>BDH|16680500276594429191</stp>
        <tr r="V143" s="39"/>
      </tp>
      <tp t="e">
        <v>#N/A</v>
        <stp/>
        <stp>BDH|12478575639411081472</stp>
        <tr r="W188" s="39"/>
      </tp>
      <tp t="e">
        <v>#N/A</v>
        <stp/>
        <stp>BDH|14110345743050809235</stp>
        <tr r="AN32" s="36"/>
      </tp>
      <tp t="e">
        <v>#N/A</v>
        <stp/>
        <stp>BDH|14175711729562016242</stp>
        <tr r="AJ27" s="36"/>
      </tp>
      <tp t="e">
        <v>#N/A</v>
        <stp/>
        <stp>BDH|13324981232139267162</stp>
        <tr r="AC12" s="32"/>
      </tp>
      <tp t="e">
        <v>#N/A</v>
        <stp/>
        <stp>BDH|10912155800172481243</stp>
        <tr r="S26" s="32"/>
      </tp>
      <tp t="e">
        <v>#N/A</v>
        <stp/>
        <stp>BDH|16147209586948302589</stp>
        <tr r="C10" s="29"/>
      </tp>
      <tp t="e">
        <v>#N/A</v>
        <stp/>
        <stp>BDH|11649251309020250243</stp>
        <tr r="X147" s="39"/>
      </tp>
      <tp t="e">
        <v>#N/A</v>
        <stp/>
        <stp>BDH|14956231783717448814</stp>
        <tr r="T90" s="32"/>
      </tp>
      <tp t="e">
        <v>#N/A</v>
        <stp/>
        <stp>BDH|17253094924636739246</stp>
        <tr r="T218" s="39"/>
      </tp>
      <tp t="e">
        <v>#N/A</v>
        <stp/>
        <stp>BDH|13526583062091012030</stp>
        <tr r="U34" s="32"/>
      </tp>
      <tp t="e">
        <v>#N/A</v>
        <stp/>
        <stp>BDH|13851752670625279731</stp>
        <tr r="Y51" s="32"/>
      </tp>
      <tp t="e">
        <v>#N/A</v>
        <stp/>
        <stp>BDH|17856018127397290301</stp>
        <tr r="Q166" s="39"/>
      </tp>
      <tp t="e">
        <v>#N/A</v>
        <stp/>
        <stp>BDH|17504492311826635546</stp>
        <tr r="X35" s="32"/>
      </tp>
      <tp t="e">
        <v>#N/A</v>
        <stp/>
        <stp>BDH|16353218678175196748</stp>
        <tr r="D18" s="34"/>
      </tp>
      <tp t="e">
        <v>#N/A</v>
        <stp/>
        <stp>BDH|13063797844880738159</stp>
        <tr r="J18" s="24"/>
      </tp>
      <tp t="e">
        <v>#N/A</v>
        <stp/>
        <stp>BDH|12807571824451244560</stp>
        <tr r="E20" s="22"/>
      </tp>
      <tp t="e">
        <v>#N/A</v>
        <stp/>
        <stp>BDH|13110121727635232495</stp>
        <tr r="AM27" s="36"/>
      </tp>
      <tp t="e">
        <v>#N/A</v>
        <stp/>
        <stp>BDH|11624091071581340625</stp>
        <tr r="D31" s="36"/>
      </tp>
      <tp t="e">
        <v>#N/A</v>
        <stp/>
        <stp>BDH|11626435342103052386</stp>
        <tr r="X180" s="39"/>
      </tp>
      <tp t="e">
        <v>#N/A</v>
        <stp/>
        <stp>BDH|13909396248147779219</stp>
        <tr r="W65" s="32"/>
      </tp>
      <tp t="e">
        <v>#N/A</v>
        <stp/>
        <stp>BDH|11804698114775970227</stp>
        <tr r="U28" s="32"/>
      </tp>
      <tp t="e">
        <v>#N/A</v>
        <stp/>
        <stp>BDH|12875029947210031731</stp>
        <tr r="Y60" s="32"/>
      </tp>
      <tp t="e">
        <v>#N/A</v>
        <stp/>
        <stp>BDH|14224244967120866172</stp>
        <tr r="G26" s="35"/>
      </tp>
      <tp t="e">
        <v>#N/A</v>
        <stp/>
        <stp>BDH|18384944817721896061</stp>
        <tr r="R171" s="39"/>
      </tp>
      <tp t="e">
        <v>#N/A</v>
        <stp/>
        <stp>BDH|18072206788420440323</stp>
        <tr r="Y170" s="39"/>
      </tp>
      <tp t="e">
        <v>#N/A</v>
        <stp/>
        <stp>BDH|15249226773212812350</stp>
        <tr r="Z170" s="39"/>
      </tp>
      <tp t="e">
        <v>#N/A</v>
        <stp/>
        <stp>BDH|15483048517130132582</stp>
        <tr r="AG30" s="36"/>
      </tp>
      <tp t="e">
        <v>#N/A</v>
        <stp/>
        <stp>BDH|15245050908861839598</stp>
        <tr r="J35" s="38"/>
      </tp>
      <tp t="e">
        <v>#N/A</v>
        <stp/>
        <stp>BDH|17747316068861961298</stp>
        <tr r="X108" s="32"/>
      </tp>
    </main>
    <main first="bofaddin.rtdserver">
      <tp t="e">
        <v>#N/A</v>
        <stp/>
        <stp>BDH|17292048972612784424</stp>
        <tr r="AB30" s="22"/>
      </tp>
      <tp t="e">
        <v>#N/A</v>
        <stp/>
        <stp>BDH|14821950329861080859</stp>
        <tr r="U153" s="39"/>
      </tp>
      <tp t="e">
        <v>#N/A</v>
        <stp/>
        <stp>BDH|15084736404650446427</stp>
        <tr r="H37" s="38"/>
      </tp>
      <tp t="e">
        <v>#N/A</v>
        <stp/>
        <stp>BDH|10200351250905367554</stp>
        <tr r="Y59" s="32"/>
      </tp>
      <tp t="e">
        <v>#N/A</v>
        <stp/>
        <stp>BDH|15987795833966786155</stp>
        <tr r="G19" s="22"/>
      </tp>
      <tp t="e">
        <v>#N/A</v>
        <stp/>
        <stp>BDH|14208148203776713537</stp>
        <tr r="R22" s="32"/>
      </tp>
      <tp t="e">
        <v>#N/A</v>
        <stp/>
        <stp>BDH|17654048638442254095</stp>
        <tr r="S171" s="39"/>
      </tp>
      <tp t="e">
        <v>#N/A</v>
        <stp/>
        <stp>BDH|17945720604970984679</stp>
        <tr r="S129" s="39"/>
      </tp>
      <tp t="e">
        <v>#N/A</v>
        <stp/>
        <stp>BDH|13349582431131303284</stp>
        <tr r="F18" s="24"/>
      </tp>
      <tp t="e">
        <v>#N/A</v>
        <stp/>
        <stp>BDH|11279367051314137552</stp>
        <tr r="G24" s="24"/>
      </tp>
      <tp t="e">
        <v>#N/A</v>
        <stp/>
        <stp>BDH|13633257772583033300</stp>
        <tr r="N23" s="36"/>
      </tp>
      <tp t="e">
        <v>#N/A</v>
        <stp/>
        <stp>BDH|15127736938467804031</stp>
        <tr r="Q210" s="39"/>
      </tp>
      <tp t="e">
        <v>#N/A</v>
        <stp/>
        <stp>BDH|10107648615764088516</stp>
        <tr r="AC24" s="32"/>
      </tp>
      <tp t="e">
        <v>#N/A</v>
        <stp/>
        <stp>BDH|13727535006692460276</stp>
        <tr r="S210" s="39"/>
      </tp>
      <tp t="e">
        <v>#N/A</v>
        <stp/>
        <stp>BDH|15324440108067957072</stp>
        <tr r="V187" s="39"/>
      </tp>
      <tp t="e">
        <v>#N/A</v>
        <stp/>
        <stp>BDH|17634317425663076330</stp>
        <tr r="W134" s="39"/>
      </tp>
      <tp t="e">
        <v>#N/A</v>
        <stp/>
        <stp>BDH|13435746462356257216</stp>
        <tr r="W21" s="22"/>
      </tp>
      <tp t="e">
        <v>#N/A</v>
        <stp/>
        <stp>BDH|13508817977358659245</stp>
        <tr r="AB186" s="39"/>
        <tr r="AC186" s="39"/>
      </tp>
      <tp t="e">
        <v>#N/A</v>
        <stp/>
        <stp>BDH|14422415362545344552</stp>
        <tr r="X26" s="36"/>
      </tp>
      <tp t="e">
        <v>#N/A</v>
        <stp/>
        <stp>BDH|15580603550046567604</stp>
        <tr r="J25" s="34"/>
      </tp>
      <tp t="e">
        <v>#N/A</v>
        <stp/>
        <stp>BDH|15845276586259193086</stp>
        <tr r="Y75" s="32"/>
      </tp>
      <tp t="e">
        <v>#N/A</v>
        <stp/>
        <stp>BDH|15662957704068499236</stp>
        <tr r="R128" s="39"/>
      </tp>
      <tp t="e">
        <v>#N/A</v>
        <stp/>
        <stp>BDH|15193246136035532762</stp>
        <tr r="Q152" s="39"/>
      </tp>
      <tp t="e">
        <v>#N/A</v>
        <stp/>
        <stp>BDH|11500735682230400804</stp>
        <tr r="AM35" s="36"/>
      </tp>
      <tp t="e">
        <v>#N/A</v>
        <stp/>
        <stp>BDH|13615593132456937547</stp>
        <tr r="Y27" s="32"/>
      </tp>
      <tp t="e">
        <v>#N/A</v>
        <stp/>
        <stp>BDH|12335297288507676940</stp>
        <tr r="L32" s="37"/>
      </tp>
      <tp t="e">
        <v>#N/A</v>
        <stp/>
        <stp>BDH|15779735760442278064</stp>
        <tr r="Z30" s="35"/>
      </tp>
      <tp t="e">
        <v>#N/A</v>
        <stp/>
        <stp>BDH|14048863927320706860</stp>
        <tr r="T89" s="32"/>
      </tp>
      <tp t="e">
        <v>#N/A</v>
        <stp/>
        <stp>BDH|10781221427486104006</stp>
        <tr r="Y209" s="39"/>
      </tp>
      <tp t="e">
        <v>#N/A</v>
        <stp/>
        <stp>BDH|12205788638240153004</stp>
        <tr r="S161" s="39"/>
      </tp>
      <tp t="e">
        <v>#N/A</v>
        <stp/>
        <stp>BDH|17399590005362516694</stp>
        <tr r="X203" s="39"/>
      </tp>
      <tp t="e">
        <v>#N/A</v>
        <stp/>
        <stp>BDH|17416304347006245020</stp>
        <tr r="Z218" s="39"/>
      </tp>
      <tp t="e">
        <v>#N/A</v>
        <stp/>
        <stp>BDH|16561885492131410085</stp>
        <tr r="AB210" s="39"/>
        <tr r="AC210" s="39"/>
      </tp>
      <tp t="e">
        <v>#N/A</v>
        <stp/>
        <stp>BDH|15442342319021244087</stp>
        <tr r="U215" s="39"/>
      </tp>
      <tp t="e">
        <v>#N/A</v>
        <stp/>
        <stp>BDH|15576774299519927411</stp>
        <tr r="AD3" s="32"/>
      </tp>
      <tp t="e">
        <v>#N/A</v>
        <stp/>
        <stp>BDH|12365550600643215275</stp>
        <tr r="X27" s="36"/>
      </tp>
      <tp t="e">
        <v>#N/A</v>
        <stp/>
        <stp>BDH|14687627872692258166</stp>
        <tr r="U151" s="39"/>
      </tp>
      <tp t="e">
        <v>#N/A</v>
        <stp/>
        <stp>BDH|14175951425051709849</stp>
        <tr r="I28" s="34"/>
      </tp>
      <tp t="e">
        <v>#N/A</v>
        <stp/>
        <stp>BDH|13076192220092990421</stp>
        <tr r="W38" s="32"/>
      </tp>
      <tp t="e">
        <v>#N/A</v>
        <stp/>
        <stp>BDH|11698029265002650356</stp>
        <tr r="U99" s="32"/>
      </tp>
      <tp t="e">
        <v>#N/A</v>
        <stp/>
        <stp>BDH|18313679006628644068</stp>
        <tr r="Z137" s="39"/>
      </tp>
      <tp t="e">
        <v>#N/A</v>
        <stp/>
        <stp>BDH|15341127692142512942</stp>
        <tr r="T119" s="39"/>
      </tp>
      <tp t="e">
        <v>#N/A</v>
        <stp/>
        <stp>BDH|10384091245720579289</stp>
        <tr r="F30" s="38"/>
      </tp>
      <tp t="e">
        <v>#N/A</v>
        <stp/>
        <stp>BDH|12958752906616118590</stp>
        <tr r="AK36" s="36"/>
      </tp>
      <tp t="e">
        <v>#N/A</v>
        <stp/>
        <stp>BDH|13824583826970210269</stp>
        <tr r="U58" s="32"/>
      </tp>
      <tp t="e">
        <v>#N/A</v>
        <stp/>
        <stp>BDH|15921584267343564314</stp>
        <tr r="F36" s="37"/>
      </tp>
      <tp t="e">
        <v>#N/A</v>
        <stp/>
        <stp>BDH|14210038914163301030</stp>
        <tr r="M36" s="38"/>
      </tp>
      <tp t="e">
        <v>#N/A</v>
        <stp/>
        <stp>BDH|13656790394968662385</stp>
        <tr r="AB125" s="39"/>
        <tr r="AC125" s="39"/>
      </tp>
      <tp t="e">
        <v>#N/A</v>
        <stp/>
        <stp>BDH|16571333871906573277</stp>
        <tr r="Z24" s="32"/>
      </tp>
      <tp t="e">
        <v>#N/A</v>
        <stp/>
        <stp>BDH|14332581002867861040</stp>
        <tr r="T27" s="36"/>
      </tp>
      <tp t="e">
        <v>#N/A</v>
        <stp/>
        <stp>BDH|11912038738752588625</stp>
        <tr r="AG25" s="36"/>
      </tp>
      <tp t="e">
        <v>#N/A</v>
        <stp/>
        <stp>BDH|16544340816662652044</stp>
        <tr r="R24" s="34"/>
      </tp>
      <tp t="e">
        <v>#N/A</v>
        <stp/>
        <stp>BDH|11337713181100499829</stp>
        <tr r="AB157" s="39"/>
        <tr r="AC157" s="39"/>
      </tp>
      <tp t="e">
        <v>#N/A</v>
        <stp/>
        <stp>BDH|11534467471681171564</stp>
        <tr r="AD60" s="32"/>
      </tp>
      <tp t="e">
        <v>#N/A</v>
        <stp/>
        <stp>BDH|17504729870442045329</stp>
        <tr r="K27" s="37"/>
      </tp>
      <tp t="e">
        <v>#N/A</v>
        <stp/>
        <stp>BDH|11493130625570594422</stp>
        <tr r="AD106" s="32"/>
      </tp>
      <tp t="e">
        <v>#N/A</v>
        <stp/>
        <stp>BDH|18230213632739736633</stp>
        <tr r="AA189" s="39"/>
      </tp>
      <tp t="e">
        <v>#N/A</v>
        <stp/>
        <stp>BDH|15719473561941591014</stp>
        <tr r="N25" s="36"/>
      </tp>
      <tp t="e">
        <v>#N/A</v>
        <stp/>
        <stp>BDH|16314955755585597927</stp>
        <tr r="Z18" s="32"/>
      </tp>
      <tp t="e">
        <v>#N/A</v>
        <stp/>
        <stp>BDH|15230334162697267158</stp>
        <tr r="R39" s="32"/>
      </tp>
      <tp t="e">
        <v>#N/A</v>
        <stp/>
        <stp>BDH|17671724561968679872</stp>
        <tr r="Z94" s="32"/>
      </tp>
      <tp t="e">
        <v>#N/A</v>
        <stp/>
        <stp>BDH|16045226532549019848</stp>
        <tr r="T35" s="32"/>
      </tp>
      <tp t="e">
        <v>#N/A</v>
        <stp/>
        <stp>BDH|13295087677021156386</stp>
        <tr r="E25" s="22"/>
      </tp>
      <tp t="e">
        <v>#N/A</v>
        <stp/>
        <stp>BDH|12556050932190306758</stp>
        <tr r="Q137" s="39"/>
      </tp>
      <tp t="e">
        <v>#N/A</v>
        <stp/>
        <stp>BDH|10846575448754362303</stp>
        <tr r="N30" s="22"/>
      </tp>
      <tp t="e">
        <v>#N/A</v>
        <stp/>
        <stp>BDH|17528104808644942405</stp>
        <tr r="U30" s="32"/>
      </tp>
      <tp t="e">
        <v>#N/A</v>
        <stp/>
        <stp>BDH|12425908302768691540</stp>
        <tr r="Z50" s="32"/>
      </tp>
      <tp t="e">
        <v>#N/A</v>
        <stp/>
        <stp>BDH|16653263076286065319</stp>
        <tr r="W219" s="39"/>
      </tp>
      <tp t="e">
        <v>#N/A</v>
        <stp/>
        <stp>BDH|10234701351701174559</stp>
        <tr r="Z74" s="32"/>
      </tp>
      <tp t="e">
        <v>#N/A</v>
        <stp/>
        <stp>BDH|14256604020043780521</stp>
        <tr r="U121" s="39"/>
      </tp>
      <tp t="e">
        <v>#N/A</v>
        <stp/>
        <stp>BDH|17474824772646528864</stp>
        <tr r="T64" s="32"/>
      </tp>
      <tp t="e">
        <v>#N/A</v>
        <stp/>
        <stp>BDH|15805779288598974498</stp>
        <tr r="X205" s="39"/>
      </tp>
      <tp t="e">
        <v>#N/A</v>
        <stp/>
        <stp>BDH|16562307455094540227</stp>
        <tr r="U202" s="39"/>
      </tp>
      <tp t="e">
        <v>#N/A</v>
        <stp/>
        <stp>BDH|14345842713308239314</stp>
        <tr r="V211" s="39"/>
      </tp>
      <tp t="e">
        <v>#N/A</v>
        <stp/>
        <stp>BDH|15489658707327827290</stp>
        <tr r="T173" s="39"/>
      </tp>
      <tp t="e">
        <v>#N/A</v>
        <stp/>
        <stp>BDH|13522559160797185162</stp>
        <tr r="X27" s="32"/>
      </tp>
      <tp t="e">
        <v>#N/A</v>
        <stp/>
        <stp>BDH|18229534980331146277</stp>
        <tr r="K20" s="22"/>
      </tp>
      <tp t="e">
        <v>#N/A</v>
        <stp/>
        <stp>BDH|13278407155180930497</stp>
        <tr r="U37" s="36"/>
      </tp>
      <tp t="e">
        <v>#N/A</v>
        <stp/>
        <stp>BDH|16306113515208000804</stp>
        <tr r="Q171" s="39"/>
      </tp>
      <tp t="e">
        <v>#N/A</v>
        <stp/>
        <stp>BDH|17370270383389814281</stp>
        <tr r="H26" s="35"/>
      </tp>
      <tp t="e">
        <v>#N/A</v>
        <stp/>
        <stp>BDH|17394542721003974588</stp>
        <tr r="AM26" s="36"/>
      </tp>
      <tp t="e">
        <v>#N/A</v>
        <stp/>
        <stp>BDH|11420523496319496220</stp>
        <tr r="R25" s="36"/>
      </tp>
      <tp t="e">
        <v>#N/A</v>
        <stp/>
        <stp>BDH|14593263122067215553</stp>
        <tr r="AC103" s="32"/>
      </tp>
      <tp t="e">
        <v>#N/A</v>
        <stp/>
        <stp>BDH|11382741523562367018</stp>
        <tr r="R90" s="32"/>
      </tp>
      <tp t="e">
        <v>#N/A</v>
        <stp/>
        <stp>BDH|13338117556928450968</stp>
        <tr r="R197" s="39"/>
      </tp>
      <tp t="e">
        <v>#N/A</v>
        <stp/>
        <stp>BDH|13621463608544919575</stp>
        <tr r="AA30" s="35"/>
      </tp>
      <tp t="e">
        <v>#N/A</v>
        <stp/>
        <stp>BDH|10633620119337357685</stp>
        <tr r="AB204" s="39"/>
        <tr r="AC204" s="39"/>
      </tp>
      <tp t="e">
        <v>#N/A</v>
        <stp/>
        <stp>BDH|15549347968145901365</stp>
        <tr r="C26" s="37"/>
      </tp>
      <tp t="e">
        <v>#N/A</v>
        <stp/>
        <stp>BDH|17350081639032045047</stp>
        <tr r="Y173" s="39"/>
      </tp>
      <tp t="e">
        <v>#N/A</v>
        <stp/>
        <stp>BDH|12757557557073646751</stp>
        <tr r="W117" s="39"/>
      </tp>
      <tp t="e">
        <v>#N/A</v>
        <stp/>
        <stp>BDH|10744621940173121723</stp>
        <tr r="S29" s="35"/>
      </tp>
      <tp t="e">
        <v>#N/A</v>
        <stp/>
        <stp>BDH|12430159595764007829</stp>
        <tr r="F36" s="38"/>
      </tp>
      <tp t="e">
        <v>#N/A</v>
        <stp/>
        <stp>BDH|13496055911567855316</stp>
        <tr r="T30" s="22"/>
      </tp>
      <tp t="e">
        <v>#N/A</v>
        <stp/>
        <stp>BDH|15994595936740821574</stp>
        <tr r="W6" s="32"/>
      </tp>
      <tp t="e">
        <v>#N/A</v>
        <stp/>
        <stp>BDH|16123838979939164639</stp>
        <tr r="R122" s="39"/>
      </tp>
      <tp t="e">
        <v>#N/A</v>
        <stp/>
        <stp>BDH|13483160343093161392</stp>
        <tr r="AM23" s="36"/>
      </tp>
      <tp t="e">
        <v>#N/A</v>
        <stp/>
        <stp>BDH|18306607631943321880</stp>
        <tr r="S28" s="34"/>
      </tp>
      <tp t="e">
        <v>#N/A</v>
        <stp/>
        <stp>BDH|14569066821338272896</stp>
        <tr r="AA188" s="39"/>
      </tp>
      <tp t="e">
        <v>#N/A</v>
        <stp/>
        <stp>BDH|14941885909139077317</stp>
        <tr r="T28" s="35"/>
      </tp>
      <tp t="e">
        <v>#N/A</v>
        <stp/>
        <stp>BDH|15134486973722220210</stp>
        <tr r="F19" s="35"/>
      </tp>
      <tp t="e">
        <v>#N/A</v>
        <stp/>
        <stp>BDH|11756656617280426084</stp>
        <tr r="Z166" s="39"/>
      </tp>
      <tp t="e">
        <v>#N/A</v>
        <stp/>
        <stp>BDH|11958077089497622883</stp>
        <tr r="AD28" s="36"/>
      </tp>
      <tp t="e">
        <v>#N/A</v>
        <stp/>
        <stp>BDH|11407560122552165285</stp>
        <tr r="Q124" s="39"/>
      </tp>
      <tp t="e">
        <v>#N/A</v>
        <stp/>
        <stp>BDH|14071998522418469176</stp>
        <tr r="AD109" s="32"/>
      </tp>
      <tp t="e">
        <v>#N/A</v>
        <stp/>
        <stp>BDH|10626240259493660258</stp>
        <tr r="W163" s="39"/>
      </tp>
      <tp t="e">
        <v>#N/A</v>
        <stp/>
        <stp>BDH|18400609689233258371</stp>
        <tr r="H34" s="36"/>
      </tp>
      <tp t="e">
        <v>#N/A</v>
        <stp/>
        <stp>BDH|10565041149652892088</stp>
        <tr r="W88" s="32"/>
      </tp>
      <tp t="e">
        <v>#N/A</v>
        <stp/>
        <stp>BDH|10629509608984154770</stp>
        <tr r="AL31" s="36"/>
      </tp>
      <tp t="e">
        <v>#N/A</v>
        <stp/>
        <stp>BDH|18042645385593153384</stp>
        <tr r="I27" s="24"/>
      </tp>
      <tp t="e">
        <v>#N/A</v>
        <stp/>
        <stp>BDH|10474649487489692196</stp>
        <tr r="E30" s="37"/>
      </tp>
      <tp t="e">
        <v>#N/A</v>
        <stp/>
        <stp>BDH|15540258539172607078</stp>
        <tr r="AA184" s="39"/>
      </tp>
      <tp t="e">
        <v>#N/A</v>
        <stp/>
        <stp>BDH|11601893023219727436</stp>
        <tr r="AA28" s="36"/>
      </tp>
      <tp t="e">
        <v>#N/A</v>
        <stp/>
        <stp>BDH|13854347766153285334</stp>
        <tr r="Y28" s="36"/>
      </tp>
      <tp t="e">
        <v>#N/A</v>
        <stp/>
        <stp>BDH|16113088128491338393</stp>
        <tr r="Q26" s="36"/>
      </tp>
      <tp t="e">
        <v>#N/A</v>
        <stp/>
        <stp>BDH|12937487030940234382</stp>
        <tr r="R195" s="39"/>
      </tp>
      <tp t="e">
        <v>#N/A</v>
        <stp/>
        <stp>BDH|17350292376455164167</stp>
        <tr r="AA173" s="39"/>
      </tp>
      <tp t="e">
        <v>#N/A</v>
        <stp/>
        <stp>BDH|16869800179397314895</stp>
        <tr r="AD190" s="39"/>
        <tr r="AD206" s="39"/>
        <tr r="AD174" s="39"/>
        <tr r="AD127" s="39"/>
        <tr r="AD192" s="39"/>
        <tr r="AD160" s="39"/>
        <tr r="AD144" s="39"/>
        <tr r="AD128" s="39"/>
        <tr r="AD145" s="39"/>
        <tr r="AD129" s="39"/>
        <tr r="AD113" s="39"/>
        <tr r="AD193" s="39"/>
        <tr r="AD177" s="39"/>
        <tr r="AD161" s="39"/>
        <tr r="AD210" s="39"/>
        <tr r="AD194" s="39"/>
        <tr r="AD178" s="39"/>
        <tr r="AD162" s="39"/>
        <tr r="AD146" s="39"/>
        <tr r="AD130" s="39"/>
        <tr r="AD114" s="39"/>
        <tr r="AD211" s="39"/>
        <tr r="AD195" s="39"/>
        <tr r="AD179" s="39"/>
        <tr r="AD163" s="39"/>
        <tr r="AD147" s="39"/>
        <tr r="AD131" s="39"/>
        <tr r="AD115" s="39"/>
        <tr r="AD175" s="39"/>
        <tr r="AD176" s="39"/>
        <tr r="AD212" s="39"/>
        <tr r="AD196" s="39"/>
        <tr r="AD180" s="39"/>
        <tr r="AD164" s="39"/>
        <tr r="AD148" s="39"/>
        <tr r="AD132" s="39"/>
        <tr r="AD116" s="39"/>
        <tr r="AD126" s="39"/>
        <tr r="AD208" s="39"/>
        <tr r="AD209" s="39"/>
        <tr r="AD213" s="39"/>
        <tr r="AD197" s="39"/>
        <tr r="AD181" s="39"/>
        <tr r="AD165" s="39"/>
        <tr r="AD149" s="39"/>
        <tr r="AD133" s="39"/>
        <tr r="AD117" s="39"/>
        <tr r="AD166" s="39"/>
        <tr r="AD150" s="39"/>
        <tr r="AD134" s="39"/>
        <tr r="AD118" s="39"/>
        <tr r="AD143" s="39"/>
        <tr r="AD182" s="39"/>
        <tr r="AD215" s="39"/>
        <tr r="AD199" s="39"/>
        <tr r="AD183" s="39"/>
        <tr r="AD167" s="39"/>
        <tr r="AD151" s="39"/>
        <tr r="AD135" s="39"/>
        <tr r="AD119" s="39"/>
        <tr r="AD216" s="39"/>
        <tr r="AD200" s="39"/>
        <tr r="AD184" s="39"/>
        <tr r="AD168" s="39"/>
        <tr r="AD152" s="39"/>
        <tr r="AD136" s="39"/>
        <tr r="AD120" s="39"/>
        <tr r="AD142" s="39"/>
        <tr r="AD198" s="39"/>
        <tr r="AD217" s="39"/>
        <tr r="AD201" s="39"/>
        <tr r="AD185" s="39"/>
        <tr r="AD169" s="39"/>
        <tr r="AD153" s="39"/>
        <tr r="AD137" s="39"/>
        <tr r="AD121" s="39"/>
        <tr r="AD214" s="39"/>
        <tr r="AD218" s="39"/>
        <tr r="AD202" s="39"/>
        <tr r="AD186" s="39"/>
        <tr r="AD170" s="39"/>
        <tr r="AD154" s="39"/>
        <tr r="AD138" s="39"/>
        <tr r="AD122" s="39"/>
        <tr r="AD158" s="39"/>
        <tr r="AD219" s="39"/>
        <tr r="AD203" s="39"/>
        <tr r="AD187" s="39"/>
        <tr r="AD171" s="39"/>
        <tr r="AD155" s="39"/>
        <tr r="AD139" s="39"/>
        <tr r="AD123" s="39"/>
        <tr r="AD207" s="39"/>
        <tr r="AD191" s="39"/>
        <tr r="AD159" s="39"/>
        <tr r="AD204" s="39"/>
        <tr r="AD188" s="39"/>
        <tr r="AD172" s="39"/>
        <tr r="AD156" s="39"/>
        <tr r="AD140" s="39"/>
        <tr r="AD124" s="39"/>
        <tr r="AD205" s="39"/>
        <tr r="AD189" s="39"/>
        <tr r="AD173" s="39"/>
        <tr r="AD157" s="39"/>
        <tr r="AD141" s="39"/>
        <tr r="AD125" s="39"/>
      </tp>
      <tp t="e">
        <v>#N/A</v>
        <stp/>
        <stp>BDH|16578219323284589494</stp>
        <tr r="U54" s="32"/>
      </tp>
      <tp t="e">
        <v>#N/A</v>
        <stp/>
        <stp>BDH|13816338018845053284</stp>
        <tr r="R26" s="32"/>
      </tp>
      <tp t="e">
        <v>#N/A</v>
        <stp/>
        <stp>BDH|17516072876976993064</stp>
        <tr r="K26" s="35"/>
      </tp>
      <tp t="e">
        <v>#N/A</v>
        <stp/>
        <stp>BDH|17995611042545822698</stp>
        <tr r="W63" s="32"/>
      </tp>
      <tp t="e">
        <v>#N/A</v>
        <stp/>
        <stp>BDH|12438601319242703115</stp>
        <tr r="N27" s="35"/>
      </tp>
      <tp t="e">
        <v>#N/A</v>
        <stp/>
        <stp>BDH|13080500366867582193</stp>
        <tr r="AA89" s="32"/>
      </tp>
      <tp t="e">
        <v>#N/A</v>
        <stp/>
        <stp>BDH|14698091022766523620</stp>
        <tr r="Y78" s="32"/>
      </tp>
      <tp t="e">
        <v>#N/A</v>
        <stp/>
        <stp>BDH|15531997913063314866</stp>
        <tr r="AD74" s="32"/>
      </tp>
      <tp t="e">
        <v>#N/A</v>
        <stp/>
        <stp>BDH|10245461687803167989</stp>
        <tr r="AC40" s="32"/>
      </tp>
      <tp t="e">
        <v>#N/A</v>
        <stp/>
        <stp>BDH|11062661474267849100</stp>
        <tr r="F27" s="36"/>
      </tp>
      <tp t="e">
        <v>#N/A</v>
        <stp/>
        <stp>BDH|15056797653648676962</stp>
        <tr r="U31" s="36"/>
      </tp>
      <tp t="e">
        <v>#N/A</v>
        <stp/>
        <stp>BDH|16218552349749362875</stp>
        <tr r="Q173" s="39"/>
      </tp>
      <tp t="e">
        <v>#N/A</v>
        <stp/>
        <stp>BDH|17210927596074825542</stp>
        <tr r="D30" s="24"/>
      </tp>
      <tp t="e">
        <v>#N/A</v>
        <stp/>
        <stp>BDH|16722293768374929055</stp>
        <tr r="Y83" s="32"/>
      </tp>
      <tp t="e">
        <v>#N/A</v>
        <stp/>
        <stp>BDH|12329439419715798440</stp>
        <tr r="H32" s="37"/>
      </tp>
      <tp t="e">
        <v>#N/A</v>
        <stp/>
        <stp>BDH|11835154869756915675</stp>
        <tr r="W207" s="39"/>
      </tp>
      <tp t="e">
        <v>#N/A</v>
        <stp/>
        <stp>BDH|15908700176771730220</stp>
        <tr r="T57" s="32"/>
      </tp>
      <tp t="e">
        <v>#N/A</v>
        <stp/>
        <stp>BDH|12346180062884122756</stp>
        <tr r="AA78" s="32"/>
      </tp>
      <tp t="e">
        <v>#N/A</v>
        <stp/>
        <stp>BDH|15382556231587927237</stp>
        <tr r="X59" s="32"/>
      </tp>
      <tp t="e">
        <v>#N/A</v>
        <stp/>
        <stp>BDH|16578679311226751197</stp>
        <tr r="AH24" s="36"/>
      </tp>
      <tp t="e">
        <v>#N/A</v>
        <stp/>
        <stp>BDH|10260337600823937657</stp>
        <tr r="I28" s="38"/>
      </tp>
      <tp t="e">
        <v>#N/A</v>
        <stp/>
        <stp>BDH|17581765242646900459</stp>
        <tr r="X96" s="32"/>
      </tp>
      <tp t="e">
        <v>#N/A</v>
        <stp/>
        <stp>BDH|11909491243720867761</stp>
        <tr r="Y154" s="39"/>
      </tp>
      <tp t="e">
        <v>#N/A</v>
        <stp/>
        <stp>BDH|12059146199184373834</stp>
        <tr r="E19" s="22"/>
      </tp>
      <tp t="e">
        <v>#N/A</v>
        <stp/>
        <stp>BDH|10293554140767338099</stp>
        <tr r="Y129" s="39"/>
      </tp>
      <tp t="e">
        <v>#N/A</v>
        <stp/>
        <stp>BDH|13648762277081311497</stp>
        <tr r="U67" s="32"/>
      </tp>
      <tp t="e">
        <v>#N/A</v>
        <stp/>
        <stp>BDH|17786270297632864828</stp>
        <tr r="E36" s="37"/>
      </tp>
      <tp t="e">
        <v>#N/A</v>
        <stp/>
        <stp>BDH|10604606103481900115</stp>
        <tr r="D21" s="22"/>
      </tp>
      <tp t="e">
        <v>#N/A</v>
        <stp/>
        <stp>BDH|17330876765376946955</stp>
        <tr r="X53" s="32"/>
      </tp>
      <tp t="e">
        <v>#N/A</v>
        <stp/>
        <stp>BDH|10482944670309881151</stp>
        <tr r="AD89" s="32"/>
      </tp>
      <tp t="e">
        <v>#N/A</v>
        <stp/>
        <stp>BDH|17645579348286086642</stp>
        <tr r="M29" s="35"/>
      </tp>
      <tp t="e">
        <v>#N/A</v>
        <stp/>
        <stp>BDH|10769520578514718068</stp>
        <tr r="W161" s="39"/>
      </tp>
      <tp t="e">
        <v>#N/A</v>
        <stp/>
        <stp>BDH|12241366402583970439</stp>
        <tr r="M23" s="34"/>
      </tp>
      <tp t="e">
        <v>#N/A</v>
        <stp/>
        <stp>BDH|10819228665342143027</stp>
        <tr r="S128" s="39"/>
      </tp>
      <tp t="e">
        <v>#N/A</v>
        <stp/>
        <stp>BDH|12781440718451177063</stp>
        <tr r="AC71" s="32"/>
      </tp>
      <tp t="e">
        <v>#N/A</v>
        <stp/>
        <stp>BDH|17393391757036020112</stp>
        <tr r="C28" s="36"/>
      </tp>
      <tp t="e">
        <v>#N/A</v>
        <stp/>
        <stp>BDH|11424884394021383776</stp>
        <tr r="Y76" s="32"/>
      </tp>
      <tp t="e">
        <v>#N/A</v>
        <stp/>
        <stp>BDH|12738423521261094384</stp>
        <tr r="G22" s="34"/>
      </tp>
      <tp t="e">
        <v>#N/A</v>
        <stp/>
        <stp>BDH|11914641702923372200</stp>
        <tr r="R78" s="32"/>
      </tp>
      <tp t="e">
        <v>#N/A</v>
        <stp/>
        <stp>BDH|14180089430655324469</stp>
        <tr r="D28" s="24"/>
      </tp>
      <tp t="e">
        <v>#N/A</v>
        <stp/>
        <stp>BDH|18272661938063032806</stp>
        <tr r="AA87" s="32"/>
      </tp>
      <tp t="e">
        <v>#N/A</v>
        <stp/>
        <stp>BDH|12860560125512154164</stp>
        <tr r="W128" s="39"/>
      </tp>
      <tp t="e">
        <v>#N/A</v>
        <stp/>
        <stp>BDH|18253541684622752197</stp>
        <tr r="AJ32" s="36"/>
      </tp>
      <tp t="e">
        <v>#N/A</v>
        <stp/>
        <stp>BDH|15709468480917878851</stp>
        <tr r="S209" s="39"/>
      </tp>
      <tp t="e">
        <v>#N/A</v>
        <stp/>
        <stp>BDH|17182880990350767013</stp>
        <tr r="U36" s="36"/>
      </tp>
      <tp t="e">
        <v>#N/A</v>
        <stp/>
        <stp>BDH|12821550504337168674</stp>
        <tr r="C12" s="29"/>
      </tp>
      <tp t="e">
        <v>#N/A</v>
        <stp/>
        <stp>BDH|14239409928684483017</stp>
        <tr r="AF35" s="36"/>
      </tp>
      <tp t="e">
        <v>#N/A</v>
        <stp/>
        <stp>BDH|13525323882288976635</stp>
        <tr r="J29" s="35"/>
      </tp>
      <tp t="e">
        <v>#N/A</v>
        <stp/>
        <stp>BDH|18166816260496714682</stp>
        <tr r="AB34" s="32"/>
      </tp>
      <tp t="e">
        <v>#N/A</v>
        <stp/>
        <stp>BDH|13403882753259616164</stp>
        <tr r="I26" s="35"/>
      </tp>
      <tp t="e">
        <v>#N/A</v>
        <stp/>
        <stp>BDH|15201959975284591987</stp>
        <tr r="M18" s="35"/>
      </tp>
      <tp t="e">
        <v>#N/A</v>
        <stp/>
        <stp>BDH|17230028021423831069</stp>
        <tr r="Y25" s="22"/>
      </tp>
      <tp t="e">
        <v>#N/A</v>
        <stp/>
        <stp>BDH|15764315711366922716</stp>
        <tr r="W186" s="39"/>
      </tp>
      <tp t="e">
        <v>#N/A</v>
        <stp/>
        <stp>BDH|17976134216860122130</stp>
        <tr r="U23" s="35"/>
      </tp>
      <tp t="e">
        <v>#N/A</v>
        <stp/>
        <stp>BDH|12135577753357275399</stp>
        <tr r="C18" s="34"/>
      </tp>
      <tp t="e">
        <v>#N/A</v>
        <stp/>
        <stp>BDH|17337348095483545895</stp>
        <tr r="U28" s="22"/>
      </tp>
      <tp t="e">
        <v>#N/A</v>
        <stp/>
        <stp>BDH|16455599372197174507</stp>
        <tr r="Q20" s="22"/>
      </tp>
      <tp t="e">
        <v>#N/A</v>
        <stp/>
        <stp>BDH|12128391439141688598</stp>
        <tr r="T100" s="32"/>
      </tp>
      <tp t="e">
        <v>#N/A</v>
        <stp/>
        <stp>BDH|17919977681787164705</stp>
        <tr r="V40" s="32"/>
      </tp>
      <tp t="e">
        <v>#N/A</v>
        <stp/>
        <stp>BDH|12173683322673038350</stp>
        <tr r="S116" s="39"/>
      </tp>
      <tp t="e">
        <v>#N/A</v>
        <stp/>
        <stp>BDH|11231297704191326422</stp>
        <tr r="I22" s="35"/>
      </tp>
    </main>
    <main first="bofaddin.rtdserver">
      <tp t="e">
        <v>#N/A</v>
        <stp/>
        <stp>BDH|16869346928584274478</stp>
        <tr r="H22" s="22"/>
      </tp>
      <tp t="e">
        <v>#N/A</v>
        <stp/>
        <stp>BDH|16187464832746133052</stp>
        <tr r="D19" s="34"/>
      </tp>
      <tp t="e">
        <v>#N/A</v>
        <stp/>
        <stp>BDH|10775293748085600419</stp>
        <tr r="E27" s="34"/>
      </tp>
      <tp t="e">
        <v>#N/A</v>
        <stp/>
        <stp>BDH|16389158353821607428</stp>
        <tr r="N18" s="35"/>
      </tp>
      <tp t="e">
        <v>#N/A</v>
        <stp/>
        <stp>BDH|14980792727833201542</stp>
        <tr r="AA92" s="32"/>
      </tp>
      <tp t="e">
        <v>#N/A</v>
        <stp/>
        <stp>BDH|10866704328746100405</stp>
        <tr r="AA146" s="39"/>
      </tp>
      <tp t="e">
        <v>#N/A</v>
        <stp/>
        <stp>BDH|17902644067089251996</stp>
        <tr r="R218" s="39"/>
      </tp>
      <tp t="e">
        <v>#N/A</v>
        <stp/>
        <stp>BDH|12472595216329838826</stp>
        <tr r="W183" s="39"/>
      </tp>
      <tp t="e">
        <v>#N/A</v>
        <stp/>
        <stp>BDH|12761320890479385661</stp>
        <tr r="V201" s="39"/>
      </tp>
      <tp t="e">
        <v>#N/A</v>
        <stp/>
        <stp>BDH|18025585992262856128</stp>
        <tr r="Q216" s="39"/>
      </tp>
      <tp t="e">
        <v>#N/A</v>
        <stp/>
        <stp>BDH|14103367667913203521</stp>
        <tr r="S60" s="32"/>
      </tp>
      <tp t="e">
        <v>#N/A</v>
        <stp/>
        <stp>BDH|11877184315625389361</stp>
        <tr r="Y92" s="32"/>
      </tp>
      <tp t="e">
        <v>#N/A</v>
        <stp/>
        <stp>BDH|13831080949929865910</stp>
        <tr r="R31" s="36"/>
      </tp>
      <tp t="e">
        <v>#N/A</v>
        <stp/>
        <stp>BDH|12405657652214002234</stp>
        <tr r="R98" s="32"/>
      </tp>
      <tp t="e">
        <v>#N/A</v>
        <stp/>
        <stp>BDH|10140807189634011384</stp>
        <tr r="G33" s="37"/>
      </tp>
      <tp t="e">
        <v>#N/A</v>
        <stp/>
        <stp>BDH|17152999095998419893</stp>
        <tr r="AA47" s="38"/>
        <tr r="AA47" s="37"/>
      </tp>
      <tp t="e">
        <v>#N/A</v>
        <stp/>
        <stp>BDH|13752101607196270324</stp>
        <tr r="U39" s="32"/>
      </tp>
      <tp t="e">
        <v>#N/A</v>
        <stp/>
        <stp>BDH|14654374915675205463</stp>
        <tr r="AB131" s="39"/>
        <tr r="AC131" s="39"/>
      </tp>
      <tp t="e">
        <v>#N/A</v>
        <stp/>
        <stp>BDH|13525776209677119499</stp>
        <tr r="L23" s="35"/>
      </tp>
      <tp t="e">
        <v>#N/A</v>
        <stp/>
        <stp>BDH|15174378057101765556</stp>
        <tr r="F29" s="37"/>
      </tp>
      <tp t="e">
        <v>#N/A</v>
        <stp/>
        <stp>BDH|14517157365503021762</stp>
        <tr r="Z47" s="32"/>
      </tp>
      <tp t="e">
        <v>#N/A</v>
        <stp/>
        <stp>BDH|16970335199052039907</stp>
        <tr r="AA37" s="32"/>
      </tp>
      <tp t="e">
        <v>#N/A</v>
        <stp/>
        <stp>BDH|14859056215140354281</stp>
        <tr r="AC52" s="32"/>
      </tp>
      <tp t="e">
        <v>#N/A</v>
        <stp/>
        <stp>BDH|14457030305947969493</stp>
        <tr r="O23" s="36"/>
      </tp>
      <tp t="e">
        <v>#N/A</v>
        <stp/>
        <stp>BDH|12521407460653395449</stp>
        <tr r="Q198" s="39"/>
      </tp>
      <tp t="e">
        <v>#N/A</v>
        <stp/>
        <stp>BDH|14838271966626826134</stp>
        <tr r="AF25" s="36"/>
      </tp>
      <tp t="e">
        <v>#N/A</v>
        <stp/>
        <stp>BDH|14347035430024065426</stp>
        <tr r="X175" s="39"/>
      </tp>
      <tp t="e">
        <v>#N/A</v>
        <stp/>
        <stp>BDH|15335555961597463615</stp>
        <tr r="R20" s="22"/>
      </tp>
      <tp t="e">
        <v>#N/A</v>
        <stp/>
        <stp>BDH|10497329077714257712</stp>
        <tr r="W132" s="39"/>
      </tp>
      <tp t="e">
        <v>#N/A</v>
        <stp/>
        <stp>BDH|16721170615105675414</stp>
        <tr r="L35" s="38"/>
      </tp>
      <tp t="e">
        <v>#N/A</v>
        <stp/>
        <stp>BDH|17132385972712008696</stp>
        <tr r="D21" s="24"/>
      </tp>
      <tp t="e">
        <v>#N/A</v>
        <stp/>
        <stp>BDH|16703989323563130986</stp>
        <tr r="B29" s="34"/>
      </tp>
      <tp t="e">
        <v>#N/A</v>
        <stp/>
        <stp>BDH|12467281679098287827</stp>
        <tr r="G21" s="24"/>
      </tp>
      <tp t="e">
        <v>#N/A</v>
        <stp/>
        <stp>BDH|13603140956864156405</stp>
        <tr r="AA53" s="38"/>
        <tr r="AA53" s="37"/>
      </tp>
      <tp t="e">
        <v>#N/A</v>
        <stp/>
        <stp>BDH|12805624709052181174</stp>
        <tr r="I28" s="35"/>
      </tp>
      <tp t="e">
        <v>#N/A</v>
        <stp/>
        <stp>BDH|15625740509450634588</stp>
        <tr r="W28" s="32"/>
      </tp>
      <tp t="e">
        <v>#N/A</v>
        <stp/>
        <stp>BDH|12643129468800822215</stp>
        <tr r="C36" s="36"/>
      </tp>
      <tp t="e">
        <v>#N/A</v>
        <stp/>
        <stp>BDH|12047018593099243559</stp>
        <tr r="X10" s="32"/>
      </tp>
      <tp t="e">
        <v>#N/A</v>
        <stp/>
        <stp>BDH|11455336953324315421</stp>
        <tr r="S29" s="32"/>
      </tp>
      <tp t="e">
        <v>#N/A</v>
        <stp/>
        <stp>BDH|12691014146041086042</stp>
        <tr r="Q25" s="34"/>
      </tp>
      <tp t="e">
        <v>#N/A</v>
        <stp/>
        <stp>BDH|16570128832867191418</stp>
        <tr r="AB102" s="32"/>
      </tp>
      <tp t="e">
        <v>#N/A</v>
        <stp/>
        <stp>BDH|17315873788414831413</stp>
        <tr r="AK27" s="36"/>
      </tp>
      <tp t="e">
        <v>#N/A</v>
        <stp/>
        <stp>BDH|10342209924892761556</stp>
        <tr r="X25" s="36"/>
      </tp>
      <tp t="e">
        <v>#N/A</v>
        <stp/>
        <stp>BDH|11521249162106008470</stp>
        <tr r="S150" s="39"/>
      </tp>
      <tp t="e">
        <v>#N/A</v>
        <stp/>
        <stp>BDH|11291567577483602712</stp>
        <tr r="AB28" s="32"/>
      </tp>
      <tp t="e">
        <v>#N/A</v>
        <stp/>
        <stp>BDH|16061564960627225509</stp>
        <tr r="M34" s="37"/>
      </tp>
      <tp t="e">
        <v>#N/A</v>
        <stp/>
        <stp>BDH|10466186068508102818</stp>
        <tr r="Y165" s="39"/>
      </tp>
      <tp t="e">
        <v>#N/A</v>
        <stp/>
        <stp>BDH|11005399660803982044</stp>
        <tr r="B30" s="34"/>
      </tp>
      <tp t="e">
        <v>#N/A</v>
        <stp/>
        <stp>BDH|14229120324257806783</stp>
        <tr r="K36" s="36"/>
      </tp>
      <tp t="e">
        <v>#N/A</v>
        <stp/>
        <stp>BDH|15327506756976143409</stp>
        <tr r="V18" s="35"/>
      </tp>
      <tp t="e">
        <v>#N/A</v>
        <stp/>
        <stp>BDH|16425765712360658727</stp>
        <tr r="S184" s="39"/>
      </tp>
      <tp t="e">
        <v>#N/A</v>
        <stp/>
        <stp>BDH|12823284745341822291</stp>
        <tr r="E30" s="34"/>
      </tp>
      <tp t="e">
        <v>#N/A</v>
        <stp/>
        <stp>BDH|11068761759352260697</stp>
        <tr r="Q201" s="39"/>
      </tp>
      <tp t="e">
        <v>#N/A</v>
        <stp/>
        <stp>BDH|13971090137955182223</stp>
        <tr r="W140" s="39"/>
      </tp>
      <tp t="e">
        <v>#N/A</v>
        <stp/>
        <stp>BDH|17155325814130400248</stp>
        <tr r="F22" s="24"/>
      </tp>
      <tp t="e">
        <v>#N/A</v>
        <stp/>
        <stp>BDH|17805708460499802875</stp>
        <tr r="T95" s="32"/>
      </tp>
      <tp t="e">
        <v>#N/A</v>
        <stp/>
        <stp>BDH|12561828601524569945</stp>
        <tr r="J28" s="38"/>
      </tp>
      <tp t="e">
        <v>#N/A</v>
        <stp/>
        <stp>BDH|14384250853416628240</stp>
        <tr r="U46" s="32"/>
      </tp>
      <tp t="e">
        <v>#N/A</v>
        <stp/>
        <stp>BDH|13715959789841827441</stp>
        <tr r="AH29" s="36"/>
      </tp>
      <tp t="e">
        <v>#N/A</v>
        <stp/>
        <stp>BDH|12968227277990382080</stp>
        <tr r="AA164" s="39"/>
      </tp>
      <tp t="e">
        <v>#N/A</v>
        <stp/>
        <stp>BDH|15703602073537107420</stp>
        <tr r="AA191" s="39"/>
      </tp>
      <tp t="e">
        <v>#N/A</v>
        <stp/>
        <stp>BDH|11337220116202828785</stp>
        <tr r="I32" s="36"/>
      </tp>
      <tp t="e">
        <v>#N/A</v>
        <stp/>
        <stp>BDH|15816128056993831536</stp>
        <tr r="M37" s="37"/>
      </tp>
      <tp t="e">
        <v>#N/A</v>
        <stp/>
        <stp>BDH|13988189650272350253</stp>
        <tr r="T140" s="39"/>
      </tp>
      <tp t="e">
        <v>#N/A</v>
        <stp/>
        <stp>BDH|10309855494457759121</stp>
        <tr r="J21" s="34"/>
      </tp>
      <tp t="e">
        <v>#N/A</v>
        <stp/>
        <stp>BDH|13059317606674298328</stp>
        <tr r="V28" s="32"/>
      </tp>
      <tp t="e">
        <v>#N/A</v>
        <stp/>
        <stp>BDH|14414563242797517520</stp>
        <tr r="C32" s="38"/>
      </tp>
      <tp t="e">
        <v>#N/A</v>
        <stp/>
        <stp>BDH|12505939329018819611</stp>
        <tr r="Y34" s="36"/>
      </tp>
      <tp t="e">
        <v>#N/A</v>
        <stp/>
        <stp>BDH|17406209956260432700</stp>
        <tr r="AB80" s="32"/>
      </tp>
      <tp t="e">
        <v>#N/A</v>
        <stp/>
        <stp>BDH|15135633073961617210</stp>
        <tr r="W202" s="39"/>
      </tp>
      <tp t="e">
        <v>#N/A</v>
        <stp/>
        <stp>BDH|16617089706155654484</stp>
        <tr r="X118" s="39"/>
      </tp>
      <tp t="e">
        <v>#N/A</v>
        <stp/>
        <stp>BDH|10356291885869147487</stp>
        <tr r="T21" s="35"/>
      </tp>
      <tp t="e">
        <v>#N/A</v>
        <stp/>
        <stp>BDH|17060557041411127038</stp>
        <tr r="C20" s="22"/>
      </tp>
      <tp t="e">
        <v>#N/A</v>
        <stp/>
        <stp>BDH|12884470177672913471</stp>
        <tr r="S216" s="39"/>
      </tp>
      <tp t="e">
        <v>#N/A</v>
        <stp/>
        <stp>BDH|13744585376090997665</stp>
        <tr r="AC63" s="32"/>
      </tp>
      <tp t="e">
        <v>#N/A</v>
        <stp/>
        <stp>BDH|13618507023857528460</stp>
        <tr r="Y57" s="32"/>
      </tp>
      <tp t="e">
        <v>#N/A</v>
        <stp/>
        <stp>BDH|13384062822702989485</stp>
        <tr r="X91" s="32"/>
      </tp>
      <tp t="e">
        <v>#N/A</v>
        <stp/>
        <stp>BDH|13804916267063827804</stp>
        <tr r="R117" s="39"/>
      </tp>
      <tp t="e">
        <v>#N/A</v>
        <stp/>
        <stp>BDH|12752222901263156436</stp>
        <tr r="AB160" s="39"/>
        <tr r="AC160" s="39"/>
      </tp>
      <tp t="e">
        <v>#N/A</v>
        <stp/>
        <stp>BDH|14847419673860785046</stp>
        <tr r="G29" s="36"/>
      </tp>
      <tp t="e">
        <v>#N/A</v>
        <stp/>
        <stp>BDH|14327103345223981561</stp>
        <tr r="K35" s="38"/>
      </tp>
      <tp t="e">
        <v>#N/A</v>
        <stp/>
        <stp>BDH|10325857792181989742</stp>
        <tr r="AA96" s="32"/>
      </tp>
      <tp t="e">
        <v>#N/A</v>
        <stp/>
        <stp>BDH|16785640114085602385</stp>
        <tr r="U125" s="39"/>
      </tp>
      <tp t="e">
        <v>#N/A</v>
        <stp/>
        <stp>BDH|15892004165963587711</stp>
        <tr r="AB18" s="32"/>
      </tp>
      <tp t="e">
        <v>#N/A</v>
        <stp/>
        <stp>BDH|17994331764491187463</stp>
        <tr r="X204" s="39"/>
      </tp>
      <tp t="e">
        <v>#N/A</v>
        <stp/>
        <stp>BDH|10220227687289640484</stp>
        <tr r="Z67" s="32"/>
      </tp>
      <tp t="e">
        <v>#N/A</v>
        <stp/>
        <stp>BDH|11743190090109364744</stp>
        <tr r="R63" s="32"/>
      </tp>
      <tp t="e">
        <v>#N/A</v>
        <stp/>
        <stp>BDH|15700583608325834264</stp>
        <tr r="V68" s="32"/>
      </tp>
      <tp t="e">
        <v>#N/A</v>
        <stp/>
        <stp>BDH|18141602753679888522</stp>
        <tr r="M26" s="22"/>
      </tp>
      <tp t="e">
        <v>#N/A</v>
        <stp/>
        <stp>BDH|17607637758491721229</stp>
        <tr r="C20" s="34"/>
      </tp>
      <tp t="e">
        <v>#N/A</v>
        <stp/>
        <stp>BDH|10726599358186864163</stp>
        <tr r="Q174" s="39"/>
      </tp>
      <tp t="e">
        <v>#N/A</v>
        <stp/>
        <stp>BDH|11994267951140047165</stp>
        <tr r="AD14" s="32"/>
      </tp>
      <tp t="e">
        <v>#N/A</v>
        <stp/>
        <stp>BDH|11897689353623286690</stp>
        <tr r="W78" s="32"/>
      </tp>
      <tp t="e">
        <v>#N/A</v>
        <stp/>
        <stp>BDH|17735599742926078749</stp>
        <tr r="Y74" s="32"/>
      </tp>
      <tp t="e">
        <v>#N/A</v>
        <stp/>
        <stp>BDH|11562758965921971643</stp>
        <tr r="Y114" s="39"/>
      </tp>
      <tp t="e">
        <v>#N/A</v>
        <stp/>
        <stp>BDH|13010155467171903236</stp>
        <tr r="S27" s="35"/>
      </tp>
      <tp t="e">
        <v>#N/A</v>
        <stp/>
        <stp>BDH|10696195667056854688</stp>
        <tr r="V11" s="32"/>
      </tp>
      <tp t="e">
        <v>#N/A</v>
        <stp/>
        <stp>BDH|13061146344169019880</stp>
        <tr r="I22" s="24"/>
      </tp>
      <tp t="e">
        <v>#N/A</v>
        <stp/>
        <stp>BDH|14829359414955678475</stp>
        <tr r="Z154" s="39"/>
      </tp>
      <tp t="e">
        <v>#N/A</v>
        <stp/>
        <stp>BDH|17890632406533649502</stp>
        <tr r="AB172" s="39"/>
        <tr r="AC172" s="39"/>
      </tp>
      <tp t="e">
        <v>#N/A</v>
        <stp/>
        <stp>BDH|14200797836364249348</stp>
        <tr r="N26" s="38"/>
      </tp>
      <tp t="e">
        <v>#N/A</v>
        <stp/>
        <stp>BDH|11371320285469965469</stp>
        <tr r="I25" s="24"/>
      </tp>
      <tp t="e">
        <v>#N/A</v>
        <stp/>
        <stp>BDH|15156891850848679757</stp>
        <tr r="Z83" s="32"/>
      </tp>
      <tp t="e">
        <v>#N/A</v>
        <stp/>
        <stp>BDH|12518770409520840283</stp>
        <tr r="T58" s="32"/>
      </tp>
      <tp t="e">
        <v>#N/A</v>
        <stp/>
        <stp>BDH|12953435804707454612</stp>
        <tr r="V163" s="39"/>
      </tp>
      <tp t="e">
        <v>#N/A</v>
        <stp/>
        <stp>BDH|16667673044552778190</stp>
        <tr r="V25" s="36"/>
      </tp>
      <tp t="e">
        <v>#N/A</v>
        <stp/>
        <stp>BDH|11445142152044967604</stp>
        <tr r="H27" s="22"/>
      </tp>
      <tp t="e">
        <v>#N/A</v>
        <stp/>
        <stp>BDH|10744783485518119018</stp>
        <tr r="U194" s="39"/>
      </tp>
      <tp t="e">
        <v>#N/A</v>
        <stp/>
        <stp>BDH|14728157149822924485</stp>
        <tr r="Z65" s="32"/>
      </tp>
      <tp t="e">
        <v>#N/A</v>
        <stp/>
        <stp>BDH|15421447061420811039</stp>
        <tr r="Z24" s="22"/>
      </tp>
      <tp t="e">
        <v>#N/A</v>
        <stp/>
        <stp>BDH|12369526564436970065</stp>
        <tr r="H29" s="37"/>
      </tp>
      <tp t="e">
        <v>#N/A</v>
        <stp/>
        <stp>BDH|15196764038652677439</stp>
        <tr r="J28" s="35"/>
      </tp>
      <tp t="e">
        <v>#N/A</v>
        <stp/>
        <stp>BDH|10437192754180111325</stp>
        <tr r="Y192" s="39"/>
      </tp>
      <tp t="e">
        <v>#N/A</v>
        <stp/>
        <stp>BDH|15544010339694417537</stp>
        <tr r="Q20" s="34"/>
      </tp>
      <tp t="e">
        <v>#N/A</v>
        <stp/>
        <stp>BDH|17791461365786093498</stp>
        <tr r="V12" s="32"/>
      </tp>
      <tp t="e">
        <v>#N/A</v>
        <stp/>
        <stp>BDH|12544117478912575140</stp>
        <tr r="X29" s="22"/>
      </tp>
      <tp t="e">
        <v>#N/A</v>
        <stp/>
        <stp>BDH|17397988222972181953</stp>
        <tr r="E24" s="35"/>
      </tp>
      <tp t="e">
        <v>#N/A</v>
        <stp/>
        <stp>BDH|13267534454922039689</stp>
        <tr r="W33" s="32"/>
      </tp>
      <tp t="e">
        <v>#N/A</v>
        <stp/>
        <stp>BDH|15148094746363042536</stp>
        <tr r="AA142" s="39"/>
      </tp>
      <tp t="e">
        <v>#N/A</v>
        <stp/>
        <stp>BDH|16856601831434037043</stp>
        <tr r="M28" s="34"/>
      </tp>
      <tp t="e">
        <v>#N/A</v>
        <stp/>
        <stp>BDH|10054758661131990705</stp>
        <tr r="AA152" s="39"/>
      </tp>
      <tp t="e">
        <v>#N/A</v>
        <stp/>
        <stp>BDH|11163702416510854024</stp>
        <tr r="G28" s="37"/>
      </tp>
      <tp t="e">
        <v>#N/A</v>
        <stp/>
        <stp>BDH|12176857289306415345</stp>
        <tr r="Y89" s="32"/>
      </tp>
      <tp t="e">
        <v>#N/A</v>
        <stp/>
        <stp>BDH|14379516276267110699</stp>
        <tr r="E27" s="37"/>
      </tp>
      <tp t="e">
        <v>#N/A</v>
        <stp/>
        <stp>BDH|12050209928782104750</stp>
        <tr r="G20" s="34"/>
      </tp>
      <tp t="e">
        <v>#N/A</v>
        <stp/>
        <stp>BDH|10050240120984171393</stp>
        <tr r="V21" s="22"/>
      </tp>
      <tp t="e">
        <v>#N/A</v>
        <stp/>
        <stp>BDH|17763148347694951113</stp>
        <tr r="AD64" s="32"/>
      </tp>
      <tp t="e">
        <v>#N/A</v>
        <stp/>
        <stp>BDH|12468481032873529173</stp>
        <tr r="W213" s="39"/>
      </tp>
      <tp t="e">
        <v>#N/A</v>
        <stp/>
        <stp>BDH|17642550103404559198</stp>
        <tr r="Z118" s="39"/>
      </tp>
      <tp t="e">
        <v>#N/A</v>
        <stp/>
        <stp>BDH|11794928253998804224</stp>
        <tr r="O31" s="36"/>
      </tp>
      <tp t="e">
        <v>#N/A</v>
        <stp/>
        <stp>BDH|16355676988576188912</stp>
        <tr r="X170" s="39"/>
      </tp>
      <tp t="e">
        <v>#N/A</v>
        <stp/>
        <stp>BDH|12440002169711749266</stp>
        <tr r="X144" s="39"/>
      </tp>
      <tp t="e">
        <v>#N/A</v>
        <stp/>
        <stp>BDH|17393681421644084061</stp>
        <tr r="S24" s="22"/>
      </tp>
      <tp t="e">
        <v>#N/A</v>
        <stp/>
        <stp>BDH|12011021264726321593</stp>
        <tr r="AB4" s="32"/>
      </tp>
      <tp t="e">
        <v>#N/A</v>
        <stp/>
        <stp>BDH|10986601524323106038</stp>
        <tr r="C18" s="22"/>
      </tp>
      <tp t="e">
        <v>#N/A</v>
        <stp/>
        <stp>BDH|12265552423455237792</stp>
        <tr r="Y91" s="32"/>
      </tp>
      <tp t="e">
        <v>#N/A</v>
        <stp/>
        <stp>BDH|16083524256990340181</stp>
        <tr r="W127" s="39"/>
      </tp>
      <tp t="e">
        <v>#N/A</v>
        <stp/>
        <stp>BDH|16984522616055685044</stp>
        <tr r="H24" s="24"/>
      </tp>
      <tp t="e">
        <v>#N/A</v>
        <stp/>
        <stp>BDH|10717763684218835026</stp>
        <tr r="X190" s="39"/>
      </tp>
      <tp t="e">
        <v>#N/A</v>
        <stp/>
        <stp>BDH|16597096196010636838</stp>
        <tr r="E27" s="35"/>
      </tp>
      <tp t="e">
        <v>#N/A</v>
        <stp/>
        <stp>BDH|14428348279280530724</stp>
        <tr r="X60" s="32"/>
      </tp>
      <tp t="e">
        <v>#N/A</v>
        <stp/>
        <stp>BDH|16363210068725664026</stp>
        <tr r="AD72" s="32"/>
      </tp>
      <tp t="e">
        <v>#N/A</v>
        <stp/>
        <stp>BDH|16719139468721110739</stp>
        <tr r="D22" s="35"/>
      </tp>
      <tp t="e">
        <v>#N/A</v>
        <stp/>
        <stp>BDH|18259399624929477754</stp>
        <tr r="T91" s="32"/>
      </tp>
      <tp t="e">
        <v>#N/A</v>
        <stp/>
        <stp>BDH|14645890898287810511</stp>
        <tr r="U212" s="39"/>
      </tp>
      <tp t="e">
        <v>#N/A</v>
        <stp/>
        <stp>BDH|10796163761405624588</stp>
        <tr r="Q138" s="39"/>
      </tp>
      <tp t="e">
        <v>#N/A</v>
        <stp/>
        <stp>BDH|13856450733631412246</stp>
        <tr r="L37" s="36"/>
      </tp>
    </main>
    <main first="bofaddin.rtdserver">
      <tp t="e">
        <v>#N/A</v>
        <stp/>
        <stp>BDH|12730657741146591273</stp>
        <tr r="AB95" s="32"/>
      </tp>
      <tp t="e">
        <v>#N/A</v>
        <stp/>
        <stp>BDH|13564256040793181202</stp>
        <tr r="AC83" s="32"/>
      </tp>
      <tp t="e">
        <v>#N/A</v>
        <stp/>
        <stp>BDH|14200362692842559822</stp>
        <tr r="X30" s="36"/>
      </tp>
      <tp t="e">
        <v>#N/A</v>
        <stp/>
        <stp>BDH|11406166460070292212</stp>
        <tr r="Y43" s="32"/>
      </tp>
      <tp t="e">
        <v>#N/A</v>
        <stp/>
        <stp>BDH|13040150350306425509</stp>
        <tr r="D34" s="38"/>
      </tp>
      <tp t="e">
        <v>#N/A</v>
        <stp/>
        <stp>BDH|11944563589791359947</stp>
        <tr r="R32" s="36"/>
      </tp>
      <tp t="e">
        <v>#N/A</v>
        <stp/>
        <stp>BDH|13157556333178422922</stp>
        <tr r="AA110" s="32"/>
      </tp>
      <tp t="e">
        <v>#N/A</v>
        <stp/>
        <stp>BDH|16296610034341270648</stp>
        <tr r="J37" s="36"/>
      </tp>
      <tp t="e">
        <v>#N/A</v>
        <stp/>
        <stp>BDH|14325137168490911704</stp>
        <tr r="V119" s="39"/>
      </tp>
      <tp t="e">
        <v>#N/A</v>
        <stp/>
        <stp>BDH|10139666966565418145</stp>
        <tr r="AD21" s="32"/>
      </tp>
      <tp t="e">
        <v>#N/A</v>
        <stp/>
        <stp>BDH|15079914733262787952</stp>
        <tr r="N20" s="35"/>
      </tp>
      <tp t="e">
        <v>#N/A</v>
        <stp/>
        <stp>BDH|12493843956282046967</stp>
        <tr r="C25" s="34"/>
      </tp>
      <tp t="e">
        <v>#N/A</v>
        <stp/>
        <stp>BDH|14194204193932161939</stp>
        <tr r="Q136" s="39"/>
      </tp>
      <tp t="e">
        <v>#N/A</v>
        <stp/>
        <stp>BDH|14855434876841887259</stp>
        <tr r="Q28" s="34"/>
      </tp>
      <tp t="e">
        <v>#N/A</v>
        <stp/>
        <stp>BDH|11193673450601009763</stp>
        <tr r="AA60" s="32"/>
      </tp>
      <tp t="e">
        <v>#N/A</v>
        <stp/>
        <stp>BDH|13442520842803557514</stp>
        <tr r="AA90" s="32"/>
      </tp>
      <tp t="e">
        <v>#N/A</v>
        <stp/>
        <stp>BDH|17397101683539745374</stp>
        <tr r="R182" s="39"/>
      </tp>
      <tp t="e">
        <v>#N/A</v>
        <stp/>
        <stp>BDH|11512075244656380756</stp>
        <tr r="I23" s="34"/>
      </tp>
      <tp t="e">
        <v>#N/A</v>
        <stp/>
        <stp>BDH|15189050436852118032</stp>
        <tr r="T29" s="32"/>
      </tp>
      <tp t="e">
        <v>#N/A</v>
        <stp/>
        <stp>BDH|13038814487452567537</stp>
        <tr r="F33" s="37"/>
      </tp>
      <tp t="e">
        <v>#N/A</v>
        <stp/>
        <stp>BDH|12726966314436010851</stp>
        <tr r="AB202" s="39"/>
        <tr r="AC202" s="39"/>
      </tp>
      <tp t="e">
        <v>#N/A</v>
        <stp/>
        <stp>BDH|11166935000059295532</stp>
        <tr r="X85" s="32"/>
      </tp>
      <tp t="e">
        <v>#N/A</v>
        <stp/>
        <stp>BDH|12922533127323851269</stp>
        <tr r="V86" s="32"/>
      </tp>
      <tp t="e">
        <v>#N/A</v>
        <stp/>
        <stp>BDH|10717363309361260699</stp>
        <tr r="AA21" s="35"/>
      </tp>
      <tp t="e">
        <v>#N/A</v>
        <stp/>
        <stp>BDH|16070180822849021890</stp>
        <tr r="W30" s="22"/>
      </tp>
      <tp t="e">
        <v>#N/A</v>
        <stp/>
        <stp>BDH|10064104872837969581</stp>
        <tr r="S194" s="39"/>
      </tp>
      <tp t="e">
        <v>#N/A</v>
        <stp/>
        <stp>BDH|18130760957117489977</stp>
        <tr r="X8" s="32"/>
      </tp>
      <tp t="e">
        <v>#N/A</v>
        <stp/>
        <stp>BDH|13686878774739336157</stp>
        <tr r="AH30" s="36"/>
      </tp>
      <tp t="e">
        <v>#N/A</v>
        <stp/>
        <stp>BDH|13656314027564111227</stp>
        <tr r="U3" s="32"/>
      </tp>
      <tp t="e">
        <v>#N/A</v>
        <stp/>
        <stp>BDH|15426395093253847857</stp>
        <tr r="K37" s="37"/>
      </tp>
      <tp t="e">
        <v>#N/A</v>
        <stp/>
        <stp>BDH|12444321221170311773</stp>
        <tr r="U184" s="39"/>
      </tp>
      <tp t="e">
        <v>#N/A</v>
        <stp/>
        <stp>BDH|12850834119498767766</stp>
        <tr r="D23" s="24"/>
      </tp>
      <tp t="e">
        <v>#N/A</v>
        <stp/>
        <stp>BDH|18311878012934245171</stp>
        <tr r="T23" s="22"/>
      </tp>
      <tp t="e">
        <v>#N/A</v>
        <stp/>
        <stp>BDH|10254930164128304350</stp>
        <tr r="X22" s="35"/>
      </tp>
      <tp t="e">
        <v>#N/A</v>
        <stp/>
        <stp>BDH|17281917299346979510</stp>
        <tr r="AI23" s="36"/>
      </tp>
      <tp t="e">
        <v>#N/A</v>
        <stp/>
        <stp>BDH|15016670510246486015</stp>
        <tr r="R82" s="32"/>
      </tp>
      <tp t="e">
        <v>#N/A</v>
        <stp/>
        <stp>BDH|18001144022388797744</stp>
        <tr r="R148" s="39"/>
      </tp>
      <tp t="e">
        <v>#N/A</v>
        <stp/>
        <stp>BDH|15346535445050000008</stp>
        <tr r="W83" s="32"/>
      </tp>
      <tp t="e">
        <v>#N/A</v>
        <stp/>
        <stp>BDH|17430092257026958069</stp>
        <tr r="W36" s="36"/>
      </tp>
      <tp t="e">
        <v>#N/A</v>
        <stp/>
        <stp>BDH|13017306308966499294</stp>
        <tr r="AA163" s="39"/>
      </tp>
      <tp t="e">
        <v>#N/A</v>
        <stp/>
        <stp>BDH|15332464420294966392</stp>
        <tr r="AA68" s="32"/>
      </tp>
      <tp t="e">
        <v>#N/A</v>
        <stp/>
        <stp>BDH|10918694915192216125</stp>
        <tr r="S23" s="22"/>
      </tp>
      <tp t="e">
        <v>#N/A</v>
        <stp/>
        <stp>BDH|18073036284361724557</stp>
        <tr r="U22" s="35"/>
      </tp>
      <tp t="e">
        <v>#N/A</v>
        <stp/>
        <stp>BDH|17325877830718424055</stp>
        <tr r="Y117" s="39"/>
      </tp>
      <tp t="e">
        <v>#N/A</v>
        <stp/>
        <stp>BDH|13064709934140233338</stp>
        <tr r="X201" s="39"/>
      </tp>
      <tp t="e">
        <v>#N/A</v>
        <stp/>
        <stp>BDH|11265732214270958389</stp>
        <tr r="X28" s="22"/>
      </tp>
      <tp t="e">
        <v>#N/A</v>
        <stp/>
        <stp>BDH|10267739498598401292</stp>
        <tr r="R26" s="22"/>
      </tp>
      <tp t="e">
        <v>#N/A</v>
        <stp/>
        <stp>BDH|12904089213662013566</stp>
        <tr r="Y49" s="32"/>
      </tp>
      <tp t="e">
        <v>#N/A</v>
        <stp/>
        <stp>BDH|17983925205359348398</stp>
        <tr r="C26" s="35"/>
      </tp>
      <tp t="e">
        <v>#N/A</v>
        <stp/>
        <stp>BDH|10722836561618163204</stp>
        <tr r="AB191" s="39"/>
        <tr r="AC191" s="39"/>
      </tp>
      <tp t="e">
        <v>#N/A</v>
        <stp/>
        <stp>BDH|12363076873136013736</stp>
        <tr r="AC19" s="32"/>
      </tp>
      <tp t="e">
        <v>#N/A</v>
        <stp/>
        <stp>BDH|17800346131153848017</stp>
        <tr r="I33" s="36"/>
      </tp>
      <tp t="e">
        <v>#N/A</v>
        <stp/>
        <stp>BDH|10486558346765261028</stp>
        <tr r="D20" s="34"/>
      </tp>
      <tp t="e">
        <v>#N/A</v>
        <stp/>
        <stp>BDH|18059637220279118159</stp>
        <tr r="AB27" s="35"/>
      </tp>
      <tp t="e">
        <v>#N/A</v>
        <stp/>
        <stp>BDH|16598697809213028723</stp>
        <tr r="M24" s="35"/>
      </tp>
      <tp t="e">
        <v>#N/A</v>
        <stp/>
        <stp>BDH|14900121601843986243</stp>
        <tr r="S64" s="32"/>
      </tp>
      <tp t="e">
        <v>#N/A</v>
        <stp/>
        <stp>BDH|16548462756757217401</stp>
        <tr r="AA20" s="35"/>
      </tp>
      <tp t="e">
        <v>#N/A</v>
        <stp/>
        <stp>BDH|11335503824001672366</stp>
        <tr r="D35" s="36"/>
      </tp>
      <tp t="e">
        <v>#N/A</v>
        <stp/>
        <stp>BDH|13892634623347794480</stp>
        <tr r="J26" s="24"/>
      </tp>
      <tp t="e">
        <v>#N/A</v>
        <stp/>
        <stp>BDH|15132103445931799546</stp>
        <tr r="T176" s="39"/>
      </tp>
      <tp t="e">
        <v>#N/A</v>
        <stp/>
        <stp>BDH|14676851895618130905</stp>
        <tr r="Q182" s="39"/>
      </tp>
      <tp t="e">
        <v>#N/A</v>
        <stp/>
        <stp>BDH|16040224930337741422</stp>
        <tr r="AB205" s="39"/>
        <tr r="AC205" s="39"/>
      </tp>
      <tp t="e">
        <v>#N/A</v>
        <stp/>
        <stp>BDH|15496916426629221373</stp>
        <tr r="C19" s="35"/>
      </tp>
      <tp t="e">
        <v>#N/A</v>
        <stp/>
        <stp>BDH|10188403855694740154</stp>
        <tr r="Y174" s="39"/>
      </tp>
      <tp t="e">
        <v>#N/A</v>
        <stp/>
        <stp>BDH|17916691442688158950</stp>
        <tr r="V51" s="32"/>
      </tp>
      <tp t="e">
        <v>#N/A</v>
        <stp/>
        <stp>BDH|17460228816645425528</stp>
        <tr r="R95" s="32"/>
      </tp>
      <tp t="e">
        <v>#N/A</v>
        <stp/>
        <stp>BDH|14196090628411192376</stp>
        <tr r="E22" s="24"/>
      </tp>
      <tp t="e">
        <v>#N/A</v>
        <stp/>
        <stp>BDH|16539503572438842890</stp>
        <tr r="Z158" s="39"/>
      </tp>
      <tp t="e">
        <v>#N/A</v>
        <stp/>
        <stp>BDH|18269352173579755154</stp>
        <tr r="T10" s="32"/>
      </tp>
      <tp t="e">
        <v>#N/A</v>
        <stp/>
        <stp>BDH|17133921438660526981</stp>
        <tr r="W190" s="39"/>
      </tp>
      <tp t="e">
        <v>#N/A</v>
        <stp/>
        <stp>BDH|16043355907304058540</stp>
        <tr r="I19" s="34"/>
      </tp>
      <tp t="e">
        <v>#N/A</v>
        <stp/>
        <stp>BDH|15610676556690152201</stp>
        <tr r="C29" s="34"/>
      </tp>
      <tp t="e">
        <v>#N/A</v>
        <stp/>
        <stp>BDH|16893242005720620067</stp>
        <tr r="AC62" s="32"/>
      </tp>
      <tp t="e">
        <v>#N/A</v>
        <stp/>
        <stp>BDH|16565082392993535836</stp>
        <tr r="T181" s="39"/>
      </tp>
      <tp t="e">
        <v>#N/A</v>
        <stp/>
        <stp>BDH|17399950353169906656</stp>
        <tr r="W181" s="39"/>
      </tp>
      <tp t="e">
        <v>#N/A</v>
        <stp/>
        <stp>BDH|13201610109050211112</stp>
        <tr r="J26" s="37"/>
      </tp>
      <tp t="e">
        <v>#N/A</v>
        <stp/>
        <stp>BDH|16688315516847978711</stp>
        <tr r="Z37" s="36"/>
      </tp>
      <tp t="e">
        <v>#N/A</v>
        <stp/>
        <stp>BDH|15812333225574170461</stp>
        <tr r="M27" s="38"/>
      </tp>
      <tp t="e">
        <v>#N/A</v>
        <stp/>
        <stp>BDH|17189653432240681697</stp>
        <tr r="W26" s="32"/>
      </tp>
      <tp t="e">
        <v>#N/A</v>
        <stp/>
        <stp>BDH|18369518135858618281</stp>
        <tr r="T160" s="39"/>
      </tp>
      <tp t="e">
        <v>#N/A</v>
        <stp/>
        <stp>BDH|12800364634492098423</stp>
        <tr r="U27" s="22"/>
      </tp>
      <tp t="e">
        <v>#N/A</v>
        <stp/>
        <stp>BDH|11650021839290678638</stp>
        <tr r="Y201" s="39"/>
      </tp>
      <tp t="e">
        <v>#N/A</v>
        <stp/>
        <stp>BDH|11122674191808723284</stp>
        <tr r="AL25" s="36"/>
      </tp>
      <tp t="e">
        <v>#N/A</v>
        <stp/>
        <stp>BDH|15266240509400697317</stp>
        <tr r="AB77" s="32"/>
      </tp>
      <tp t="e">
        <v>#N/A</v>
        <stp/>
        <stp>BDH|15064592966023314147</stp>
        <tr r="W210" s="39"/>
      </tp>
      <tp t="e">
        <v>#N/A</v>
        <stp/>
        <stp>BDH|18174522567389472683</stp>
        <tr r="V21" s="35"/>
      </tp>
      <tp t="e">
        <v>#N/A</v>
        <stp/>
        <stp>BDH|17275445846744861703</stp>
        <tr r="K25" s="35"/>
      </tp>
      <tp t="e">
        <v>#N/A</v>
        <stp/>
        <stp>BDH|15064822710969389193</stp>
        <tr r="Y118" s="39"/>
      </tp>
      <tp t="e">
        <v>#N/A</v>
        <stp/>
        <stp>BDH|16596522404712988520</stp>
        <tr r="AD26" s="36"/>
      </tp>
      <tp t="e">
        <v>#N/A</v>
        <stp/>
        <stp>BDH|10430706371656611289</stp>
        <tr r="Q119" s="39"/>
      </tp>
      <tp t="e">
        <v>#N/A</v>
        <stp/>
        <stp>BDH|16924557971621688106</stp>
        <tr r="AD98" s="32"/>
      </tp>
      <tp t="e">
        <v>#N/A</v>
        <stp/>
        <stp>BDH|18245818218701925495</stp>
        <tr r="F27" s="34"/>
      </tp>
      <tp t="e">
        <v>#N/A</v>
        <stp/>
        <stp>BDH|14405934595351059197</stp>
        <tr r="U178" s="39"/>
      </tp>
      <tp t="e">
        <v>#N/A</v>
        <stp/>
        <stp>BDH|12211003734763927642</stp>
        <tr r="L22" s="22"/>
      </tp>
      <tp t="e">
        <v>#N/A</v>
        <stp/>
        <stp>BDH|16872070027667742741</stp>
        <tr r="Z204" s="39"/>
      </tp>
      <tp t="e">
        <v>#N/A</v>
        <stp/>
        <stp>BDH|10110416468712737447</stp>
        <tr r="AC47" s="32"/>
      </tp>
      <tp t="e">
        <v>#N/A</v>
        <stp/>
        <stp>BDH|16196905382286028592</stp>
        <tr r="J24" s="22"/>
      </tp>
      <tp t="e">
        <v>#N/A</v>
        <stp/>
        <stp>BDH|17181299031826439477</stp>
        <tr r="AD65" s="32"/>
      </tp>
      <tp t="e">
        <v>#N/A</v>
        <stp/>
        <stp>BDH|15494093416926096617</stp>
        <tr r="E19" s="35"/>
      </tp>
      <tp t="e">
        <v>#N/A</v>
        <stp/>
        <stp>BDH|16815405787377115944</stp>
        <tr r="L33" s="36"/>
      </tp>
      <tp t="e">
        <v>#N/A</v>
        <stp/>
        <stp>BDH|18077163215645071993</stp>
        <tr r="AA45" s="22"/>
        <tr r="AA45" s="35"/>
      </tp>
      <tp t="e">
        <v>#N/A</v>
        <stp/>
        <stp>BDH|10612838835176942946</stp>
        <tr r="T42" s="32"/>
      </tp>
      <tp t="e">
        <v>#N/A</v>
        <stp/>
        <stp>BDH|12466311460770896301</stp>
        <tr r="Y37" s="32"/>
      </tp>
      <tp t="e">
        <v>#N/A</v>
        <stp/>
        <stp>BDH|11458275749904667711</stp>
        <tr r="Z28" s="36"/>
      </tp>
      <tp t="e">
        <v>#N/A</v>
        <stp/>
        <stp>BDH|12726244639650482734</stp>
        <tr r="AB31" s="32"/>
      </tp>
      <tp t="e">
        <v>#N/A</v>
        <stp/>
        <stp>BDH|13981227288678883563</stp>
        <tr r="U38" s="32"/>
      </tp>
      <tp t="e">
        <v>#N/A</v>
        <stp/>
        <stp>BDH|18110822408280129472</stp>
        <tr r="U167" s="39"/>
      </tp>
      <tp t="e">
        <v>#N/A</v>
        <stp/>
        <stp>BDH|13609854786835032288</stp>
        <tr r="R147" s="39"/>
      </tp>
      <tp t="e">
        <v>#N/A</v>
        <stp/>
        <stp>BDH|13019188374015276438</stp>
        <tr r="Y9" s="32"/>
      </tp>
      <tp t="e">
        <v>#N/A</v>
        <stp/>
        <stp>BDH|13998169473530355125</stp>
        <tr r="AB37" s="36"/>
      </tp>
      <tp t="e">
        <v>#N/A</v>
        <stp/>
        <stp>BDH|12142129218885694308</stp>
        <tr r="C28" s="35"/>
      </tp>
      <tp t="e">
        <v>#N/A</v>
        <stp/>
        <stp>BDH|12047226995714244985</stp>
        <tr r="J29" s="38"/>
      </tp>
      <tp t="e">
        <v>#N/A</v>
        <stp/>
        <stp>BDH|12636028616126635181</stp>
        <tr r="E23" s="24"/>
      </tp>
      <tp t="e">
        <v>#N/A</v>
        <stp/>
        <stp>BDH|17226237105666161796</stp>
        <tr r="AC104" s="32"/>
      </tp>
      <tp t="e">
        <v>#N/A</v>
        <stp/>
        <stp>BDH|13210908398252485520</stp>
        <tr r="V181" s="39"/>
      </tp>
      <tp t="e">
        <v>#N/A</v>
        <stp/>
        <stp>BDH|17034198733865277447</stp>
        <tr r="S33" s="36"/>
      </tp>
      <tp t="e">
        <v>#N/A</v>
        <stp/>
        <stp>BDH|15055392824773032313</stp>
        <tr r="W89" s="32"/>
      </tp>
      <tp t="e">
        <v>#N/A</v>
        <stp/>
        <stp>BDH|13885719529533563196</stp>
        <tr r="H36" s="36"/>
      </tp>
      <tp t="e">
        <v>#N/A</v>
        <stp/>
        <stp>BDH|15233443719236104219</stp>
        <tr r="M28" s="38"/>
      </tp>
      <tp t="e">
        <v>#N/A</v>
        <stp/>
        <stp>BDH|10734386252785296701</stp>
        <tr r="C30" s="24"/>
      </tp>
      <tp t="e">
        <v>#N/A</v>
        <stp/>
        <stp>BDH|17150713400925827177</stp>
        <tr r="U87" s="32"/>
      </tp>
      <tp t="e">
        <v>#N/A</v>
        <stp/>
        <stp>BDH|15124405926557030088</stp>
        <tr r="Z153" s="39"/>
      </tp>
      <tp t="e">
        <v>#N/A</v>
        <stp/>
        <stp>BDH|10513579747236265384</stp>
        <tr r="AC32" s="36"/>
      </tp>
      <tp t="e">
        <v>#N/A</v>
        <stp/>
        <stp>BDH|16761860008349098362</stp>
        <tr r="Z36" s="32"/>
      </tp>
      <tp t="e">
        <v>#N/A</v>
        <stp/>
        <stp>BDH|11009280811694086263</stp>
        <tr r="N30" s="37"/>
      </tp>
      <tp t="e">
        <v>#N/A</v>
        <stp/>
        <stp>BDH|16884153005345770602</stp>
        <tr r="X113" s="39"/>
      </tp>
      <tp t="e">
        <v>#N/A</v>
        <stp/>
        <stp>BDH|13410188798999398685</stp>
        <tr r="AC61" s="32"/>
      </tp>
      <tp t="e">
        <v>#N/A</v>
        <stp/>
        <stp>BDH|12053100974771990128</stp>
        <tr r="T70" s="32"/>
      </tp>
      <tp t="e">
        <v>#N/A</v>
        <stp/>
        <stp>BDH|18289999297594762841</stp>
        <tr r="S72" s="32"/>
      </tp>
      <tp t="e">
        <v>#N/A</v>
        <stp/>
        <stp>BDH|13236613275140115682</stp>
        <tr r="J31" s="38"/>
      </tp>
      <tp t="e">
        <v>#N/A</v>
        <stp/>
        <stp>BDH|12872201337573390438</stp>
        <tr r="L27" s="22"/>
      </tp>
      <tp t="e">
        <v>#N/A</v>
        <stp/>
        <stp>BDH|15541486765403205054</stp>
        <tr r="D33" s="37"/>
      </tp>
      <tp t="e">
        <v>#N/A</v>
        <stp/>
        <stp>BDH|15848426784065850897</stp>
        <tr r="X27" s="22"/>
      </tp>
      <tp t="e">
        <v>#N/A</v>
        <stp/>
        <stp>BDH|18104197722607570806</stp>
        <tr r="R20" s="32"/>
      </tp>
      <tp t="e">
        <v>#N/A</v>
        <stp/>
        <stp>BDH|17450316760002201487</stp>
        <tr r="F25" s="36"/>
      </tp>
      <tp t="e">
        <v>#N/A</v>
        <stp/>
        <stp>BDH|10192949005884936971</stp>
        <tr r="X70" s="32"/>
      </tp>
      <tp t="e">
        <v>#N/A</v>
        <stp/>
        <stp>BDH|17974358824740169277</stp>
        <tr r="Z4" s="32"/>
      </tp>
      <tp t="e">
        <v>#N/A</v>
        <stp/>
        <stp>BDH|15308897865437789863</stp>
        <tr r="K18" s="35"/>
      </tp>
      <tp t="e">
        <v>#N/A</v>
        <stp/>
        <stp>BDH|15394495630826484002</stp>
        <tr r="T75" s="32"/>
      </tp>
      <tp t="e">
        <v>#N/A</v>
        <stp/>
        <stp>BDH|16445094335654243543</stp>
        <tr r="R29" s="36"/>
      </tp>
    </main>
    <main first="bofaddin.rtdserver">
      <tp t="e">
        <v>#N/A</v>
        <stp/>
        <stp>BDH|16982753956798870930</stp>
        <tr r="Z151" s="39"/>
      </tp>
      <tp t="e">
        <v>#N/A</v>
        <stp/>
        <stp>BDH|13169117944404259779</stp>
        <tr r="U18" s="32"/>
      </tp>
      <tp t="e">
        <v>#N/A</v>
        <stp/>
        <stp>BDH|14581344885742572804</stp>
        <tr r="Y30" s="36"/>
      </tp>
      <tp t="e">
        <v>#N/A</v>
        <stp/>
        <stp>BDH|12186184198409825682</stp>
        <tr r="Y125" s="39"/>
      </tp>
      <tp t="e">
        <v>#N/A</v>
        <stp/>
        <stp>BDH|16878464621036788396</stp>
        <tr r="G30" s="36"/>
      </tp>
      <tp t="e">
        <v>#N/A</v>
        <stp/>
        <stp>BDH|10128584700366948610</stp>
        <tr r="I25" s="35"/>
      </tp>
      <tp t="e">
        <v>#N/A</v>
        <stp/>
        <stp>BDH|16560370483379765168</stp>
        <tr r="AA213" s="39"/>
      </tp>
      <tp t="e">
        <v>#N/A</v>
        <stp/>
        <stp>BDH|10441047761211486253</stp>
        <tr r="I38" s="38"/>
      </tp>
      <tp t="e">
        <v>#N/A</v>
        <stp/>
        <stp>BDH|15709435734342363539</stp>
        <tr r="U137" s="39"/>
      </tp>
      <tp t="e">
        <v>#N/A</v>
        <stp/>
        <stp>BDH|18258756574059236411</stp>
        <tr r="AN36" s="36"/>
      </tp>
      <tp t="e">
        <v>#N/A</v>
        <stp/>
        <stp>BDH|18427378884032692412</stp>
        <tr r="AA55" s="38"/>
        <tr r="AA55" s="37"/>
      </tp>
      <tp t="e">
        <v>#N/A</v>
        <stp/>
        <stp>BDH|14031415142164357502</stp>
        <tr r="Y45" s="32"/>
      </tp>
      <tp t="e">
        <v>#N/A</v>
        <stp/>
        <stp>BDH|13639636415069159815</stp>
        <tr r="V94" s="32"/>
      </tp>
      <tp t="e">
        <v>#N/A</v>
        <stp/>
        <stp>BDH|13567179348976868524</stp>
        <tr r="R217" s="39"/>
      </tp>
      <tp t="e">
        <v>#N/A</v>
        <stp/>
        <stp>BDH|12058348361483728112</stp>
        <tr r="V175" s="39"/>
      </tp>
      <tp t="e">
        <v>#N/A</v>
        <stp/>
        <stp>BDH|16733451801794509358</stp>
        <tr r="Q149" s="39"/>
      </tp>
      <tp t="e">
        <v>#N/A</v>
        <stp/>
        <stp>BDH|13921667402925902571</stp>
        <tr r="T60" s="32"/>
      </tp>
      <tp t="e">
        <v>#N/A</v>
        <stp/>
        <stp>BDH|15278708264789346861</stp>
        <tr r="R19" s="32"/>
      </tp>
      <tp t="e">
        <v>#N/A</v>
        <stp/>
        <stp>BDH|13975289123290018611</stp>
        <tr r="AB88" s="32"/>
      </tp>
      <tp t="e">
        <v>#N/A</v>
        <stp/>
        <stp>BDH|12129607150043627746</stp>
        <tr r="W39" s="32"/>
      </tp>
      <tp t="e">
        <v>#N/A</v>
        <stp/>
        <stp>BDH|10093996534869661686</stp>
        <tr r="R157" s="39"/>
      </tp>
      <tp t="e">
        <v>#N/A</v>
        <stp/>
        <stp>BDH|10811398917293283475</stp>
        <tr r="J24" s="36"/>
      </tp>
      <tp t="e">
        <v>#N/A</v>
        <stp/>
        <stp>BDH|17876128820216158792</stp>
        <tr r="W18" s="35"/>
      </tp>
      <tp t="e">
        <v>#N/A</v>
        <stp/>
        <stp>BDH|16550209558423681798</stp>
        <tr r="AB49" s="32"/>
      </tp>
      <tp t="e">
        <v>#N/A</v>
        <stp/>
        <stp>BDH|15053213839912886328</stp>
        <tr r="AB180" s="39"/>
        <tr r="AC180" s="39"/>
      </tp>
      <tp t="e">
        <v>#N/A</v>
        <stp/>
        <stp>BDH|16558233940304702138</stp>
        <tr r="K26" s="38"/>
      </tp>
      <tp t="e">
        <v>#N/A</v>
        <stp/>
        <stp>BDH|10961601283643109892</stp>
        <tr r="C33" s="37"/>
      </tp>
      <tp t="e">
        <v>#N/A</v>
        <stp/>
        <stp>BDH|10209248271930311063</stp>
        <tr r="X127" s="39"/>
      </tp>
      <tp t="e">
        <v>#N/A</v>
        <stp/>
        <stp>BDH|16773002567657010220</stp>
        <tr r="AB81" s="32"/>
      </tp>
      <tp t="e">
        <v>#N/A</v>
        <stp/>
        <stp>BDH|14324140452993340648</stp>
        <tr r="Z161" s="39"/>
      </tp>
      <tp t="e">
        <v>#N/A</v>
        <stp/>
        <stp>BDH|11485009054584549574</stp>
        <tr r="AB94" s="32"/>
      </tp>
      <tp t="e">
        <v>#N/A</v>
        <stp/>
        <stp>BDH|17779248854173732629</stp>
        <tr r="V115" s="39"/>
      </tp>
      <tp t="e">
        <v>#N/A</v>
        <stp/>
        <stp>BDH|12273093547172836162</stp>
        <tr r="F27" s="37"/>
      </tp>
      <tp t="e">
        <v>#N/A</v>
        <stp/>
        <stp>BDH|14720052956021019565</stp>
        <tr r="Y105" s="32"/>
      </tp>
      <tp t="e">
        <v>#N/A</v>
        <stp/>
        <stp>BDH|16509828095204427631</stp>
        <tr r="AA29" s="22"/>
      </tp>
      <tp t="e">
        <v>#N/A</v>
        <stp/>
        <stp>BDH|14848731589848249651</stp>
        <tr r="Y58" s="32"/>
      </tp>
      <tp t="e">
        <v>#N/A</v>
        <stp/>
        <stp>BDH|18318801756597196712</stp>
        <tr r="Q30" s="22"/>
      </tp>
      <tp t="e">
        <v>#N/A</v>
        <stp/>
        <stp>BDH|11138429902223517314</stp>
        <tr r="M26" s="38"/>
      </tp>
      <tp t="e">
        <v>#N/A</v>
        <stp/>
        <stp>BDH|14293551733653409452</stp>
        <tr r="W28" s="36"/>
      </tp>
      <tp t="e">
        <v>#N/A</v>
        <stp/>
        <stp>BDH|12495889868091565846</stp>
        <tr r="L24" s="35"/>
      </tp>
      <tp t="e">
        <v>#N/A</v>
        <stp/>
        <stp>BDH|16278813253469073750</stp>
        <tr r="S170" s="39"/>
      </tp>
      <tp t="e">
        <v>#N/A</v>
        <stp/>
        <stp>BDH|17479847139698478187</stp>
        <tr r="W121" s="39"/>
      </tp>
      <tp t="e">
        <v>#N/A</v>
        <stp/>
        <stp>BDH|11479679832929631822</stp>
        <tr r="AA21" s="32"/>
      </tp>
      <tp t="e">
        <v>#N/A</v>
        <stp/>
        <stp>BDH|17312145065894612118</stp>
        <tr r="G23" s="24"/>
      </tp>
      <tp t="e">
        <v>#N/A</v>
        <stp/>
        <stp>BDH|15926717514395162385</stp>
        <tr r="Q219" s="39"/>
      </tp>
      <tp t="e">
        <v>#N/A</v>
        <stp/>
        <stp>BDH|10007656947920320749</stp>
        <tr r="U26" s="32"/>
      </tp>
      <tp t="e">
        <v>#N/A</v>
        <stp/>
        <stp>BDH|13430092902724831221</stp>
        <tr r="AB23" s="22"/>
      </tp>
      <tp t="e">
        <v>#N/A</v>
        <stp/>
        <stp>BDH|18401179731748624707</stp>
        <tr r="U191" s="39"/>
      </tp>
      <tp t="e">
        <v>#N/A</v>
        <stp/>
        <stp>BDH|17876110625214080581</stp>
        <tr r="Y212" s="39"/>
      </tp>
      <tp t="e">
        <v>#N/A</v>
        <stp/>
        <stp>BDH|16124259456980413423</stp>
        <tr r="W30" s="35"/>
      </tp>
      <tp t="e">
        <v>#N/A</v>
        <stp/>
        <stp>BDH|10466745076677115234</stp>
        <tr r="AD24" s="36"/>
      </tp>
      <tp t="e">
        <v>#N/A</v>
        <stp/>
        <stp>BDH|18429551955138374532</stp>
        <tr r="V176" s="39"/>
      </tp>
      <tp t="e">
        <v>#N/A</v>
        <stp/>
        <stp>BDH|10827967272449935214</stp>
        <tr r="AD88" s="32"/>
      </tp>
      <tp t="e">
        <v>#N/A</v>
        <stp/>
        <stp>BDH|14673445965105305607</stp>
        <tr r="T168" s="39"/>
      </tp>
      <tp t="e">
        <v>#N/A</v>
        <stp/>
        <stp>BDH|17624671260003073150</stp>
        <tr r="Y200" s="39"/>
      </tp>
      <tp t="e">
        <v>#N/A</v>
        <stp/>
        <stp>BDH|11945254239964580145</stp>
        <tr r="J29" s="34"/>
      </tp>
      <tp t="e">
        <v>#N/A</v>
        <stp/>
        <stp>BDH|16695266916343252333</stp>
        <tr r="AB19" s="22"/>
      </tp>
      <tp t="e">
        <v>#N/A</v>
        <stp/>
        <stp>BDH|14263432310300743419</stp>
        <tr r="AD59" s="32"/>
      </tp>
      <tp t="e">
        <v>#N/A</v>
        <stp/>
        <stp>BDH|10017358074364345553</stp>
        <tr r="W197" s="39"/>
      </tp>
      <tp t="e">
        <v>#N/A</v>
        <stp/>
        <stp>BDH|12488038904206292167</stp>
        <tr r="C20" s="35"/>
      </tp>
      <tp t="e">
        <v>#N/A</v>
        <stp/>
        <stp>BDH|12875725369794761231</stp>
        <tr r="U36" s="32"/>
      </tp>
      <tp t="e">
        <v>#N/A</v>
        <stp/>
        <stp>BDH|16303609615386307228</stp>
        <tr r="M30" s="38"/>
      </tp>
      <tp t="e">
        <v>#N/A</v>
        <stp/>
        <stp>BDH|17434445406475023312</stp>
        <tr r="F24" s="24"/>
      </tp>
      <tp t="e">
        <v>#N/A</v>
        <stp/>
        <stp>BDH|13386824599747935069</stp>
        <tr r="W23" s="22"/>
      </tp>
      <tp t="e">
        <v>#N/A</v>
        <stp/>
        <stp>BDH|11471975184692122716</stp>
        <tr r="Y66" s="32"/>
      </tp>
      <tp t="e">
        <v>#N/A</v>
        <stp/>
        <stp>BDH|14609795167843977373</stp>
        <tr r="Z51" s="32"/>
      </tp>
      <tp t="e">
        <v>#N/A</v>
        <stp/>
        <stp>BDH|10502669422856412738</stp>
        <tr r="X45" s="32"/>
      </tp>
      <tp t="e">
        <v>#N/A</v>
        <stp/>
        <stp>BDH|12280219178624595681</stp>
        <tr r="U33" s="32"/>
      </tp>
      <tp t="e">
        <v>#N/A</v>
        <stp/>
        <stp>BDH|16661398761425143390</stp>
        <tr r="Z73" s="32"/>
      </tp>
      <tp t="e">
        <v>#N/A</v>
        <stp/>
        <stp>BDH|12503120261251586154</stp>
        <tr r="AG35" s="36"/>
      </tp>
      <tp t="e">
        <v>#N/A</v>
        <stp/>
        <stp>BDH|11092628681139752329</stp>
        <tr r="X79" s="32"/>
      </tp>
      <tp t="e">
        <v>#N/A</v>
        <stp/>
        <stp>BDH|13541664852126218352</stp>
        <tr r="X15" s="32"/>
      </tp>
      <tp t="e">
        <v>#N/A</v>
        <stp/>
        <stp>BDH|11774756905504364723</stp>
        <tr r="AA24" s="22"/>
      </tp>
      <tp t="e">
        <v>#N/A</v>
        <stp/>
        <stp>BDH|15567546450359731900</stp>
        <tr r="V183" s="39"/>
      </tp>
      <tp t="e">
        <v>#N/A</v>
        <stp/>
        <stp>BDH|16030439217662553482</stp>
        <tr r="W53" s="32"/>
      </tp>
      <tp t="e">
        <v>#N/A</v>
        <stp/>
        <stp>BDH|15022803035928461386</stp>
        <tr r="Z115" s="39"/>
      </tp>
      <tp t="e">
        <v>#N/A</v>
        <stp/>
        <stp>BDH|12245139649231939383</stp>
        <tr r="Z34" s="36"/>
      </tp>
      <tp t="e">
        <v>#N/A</v>
        <stp/>
        <stp>BDH|15554048347261748584</stp>
        <tr r="S199" s="39"/>
      </tp>
      <tp t="e">
        <v>#N/A</v>
        <stp/>
        <stp>BDH|17282921799337207524</stp>
        <tr r="Q218" s="39"/>
      </tp>
      <tp t="e">
        <v>#N/A</v>
        <stp/>
        <stp>BDH|11041705610833928109</stp>
        <tr r="L38" s="38"/>
      </tp>
      <tp t="e">
        <v>#N/A</v>
        <stp/>
        <stp>BDH|12732256942638914902</stp>
        <tr r="W28" s="35"/>
      </tp>
      <tp t="e">
        <v>#N/A</v>
        <stp/>
        <stp>BDH|17666879309693689977</stp>
        <tr r="W212" s="39"/>
      </tp>
      <tp t="e">
        <v>#N/A</v>
        <stp/>
        <stp>BDH|17825052541431711723</stp>
        <tr r="R202" s="39"/>
      </tp>
      <tp t="e">
        <v>#N/A</v>
        <stp/>
        <stp>BDH|18374443983993819259</stp>
        <tr r="D38" s="37"/>
      </tp>
      <tp t="e">
        <v>#N/A</v>
        <stp/>
        <stp>BDH|15468266632481179086</stp>
        <tr r="J20" s="35"/>
      </tp>
      <tp t="e">
        <v>#N/A</v>
        <stp/>
        <stp>BDH|16701261668491584659</stp>
        <tr r="AI29" s="36"/>
      </tp>
      <tp t="e">
        <v>#N/A</v>
        <stp/>
        <stp>BDH|13282082227297533300</stp>
        <tr r="T33" s="36"/>
      </tp>
      <tp t="e">
        <v>#N/A</v>
        <stp/>
        <stp>BDH|13893139212030812698</stp>
        <tr r="I18" s="24"/>
      </tp>
      <tp t="e">
        <v>#N/A</v>
        <stp/>
        <stp>BDH|12542388326650567665</stp>
        <tr r="L31" s="36"/>
      </tp>
      <tp t="e">
        <v>#N/A</v>
        <stp/>
        <stp>BDH|17366209468957566168</stp>
        <tr r="H26" s="38"/>
      </tp>
      <tp t="e">
        <v>#N/A</v>
        <stp/>
        <stp>BDH|15552819119761679833</stp>
        <tr r="I18" s="22"/>
      </tp>
      <tp t="e">
        <v>#N/A</v>
        <stp/>
        <stp>BDH|10817692901020058389</stp>
        <tr r="AB153" s="39"/>
        <tr r="AC153" s="39"/>
      </tp>
      <tp t="e">
        <v>#N/A</v>
        <stp/>
        <stp>BDH|13486791318437569785</stp>
        <tr r="W93" s="32"/>
      </tp>
      <tp t="e">
        <v>#N/A</v>
        <stp/>
        <stp>BDH|16989954457256104922</stp>
        <tr r="AD54" s="32"/>
      </tp>
      <tp t="e">
        <v>#N/A</v>
        <stp/>
        <stp>BDH|10705450894111676986</stp>
        <tr r="AA219" s="39"/>
      </tp>
      <tp t="e">
        <v>#N/A</v>
        <stp/>
        <stp>BDH|14605775959083574052</stp>
        <tr r="AD90" s="32"/>
      </tp>
      <tp t="e">
        <v>#N/A</v>
        <stp/>
        <stp>BDH|16289276827972234182</stp>
        <tr r="V116" s="39"/>
      </tp>
      <tp t="e">
        <v>#N/A</v>
        <stp/>
        <stp>BDH|14783810148085280845</stp>
        <tr r="Y116" s="39"/>
      </tp>
      <tp t="e">
        <v>#N/A</v>
        <stp/>
        <stp>BDH|11138893497335178061</stp>
        <tr r="W136" s="39"/>
      </tp>
      <tp t="e">
        <v>#N/A</v>
        <stp/>
        <stp>BDH|17192382492490879881</stp>
        <tr r="X154" s="39"/>
      </tp>
      <tp t="e">
        <v>#N/A</v>
        <stp/>
        <stp>BDH|11427599177675813395</stp>
        <tr r="Y193" s="39"/>
      </tp>
      <tp t="e">
        <v>#N/A</v>
        <stp/>
        <stp>BDH|11248462449754292046</stp>
        <tr r="X18" s="22"/>
      </tp>
      <tp t="e">
        <v>#N/A</v>
        <stp/>
        <stp>BDH|11232109532455901320</stp>
        <tr r="AK29" s="36"/>
      </tp>
      <tp t="e">
        <v>#N/A</v>
        <stp/>
        <stp>BDH|10213699135377560701</stp>
        <tr r="AA5" s="32"/>
      </tp>
      <tp t="e">
        <v>#N/A</v>
        <stp/>
        <stp>BDH|11224912725778503785</stp>
        <tr r="AA131" s="39"/>
      </tp>
      <tp t="e">
        <v>#N/A</v>
        <stp/>
        <stp>BDH|14267774885437809937</stp>
        <tr r="W130" s="39"/>
      </tp>
      <tp t="e">
        <v>#N/A</v>
        <stp/>
        <stp>BDH|12824532210044093708</stp>
        <tr r="T29" s="36"/>
      </tp>
      <tp t="e">
        <v>#N/A</v>
        <stp/>
        <stp>BDH|13580985956763992993</stp>
        <tr r="V120" s="39"/>
      </tp>
      <tp t="e">
        <v>#N/A</v>
        <stp/>
        <stp>BDH|14829381675355648082</stp>
        <tr r="V6" s="32"/>
      </tp>
      <tp t="e">
        <v>#N/A</v>
        <stp/>
        <stp>BDH|13200093925651032552</stp>
        <tr r="S13" s="32"/>
      </tp>
      <tp t="e">
        <v>#N/A</v>
        <stp/>
        <stp>BDH|14164681622393786666</stp>
        <tr r="W18" s="22"/>
      </tp>
      <tp t="e">
        <v>#N/A</v>
        <stp/>
        <stp>BDH|16728986663318587437</stp>
        <tr r="G30" s="35"/>
      </tp>
      <tp t="e">
        <v>#N/A</v>
        <stp/>
        <stp>BDH|13832748009486703781</stp>
        <tr r="V217" s="39"/>
      </tp>
      <tp t="e">
        <v>#N/A</v>
        <stp/>
        <stp>BDH|10986356521606373243</stp>
        <tr r="R73" s="32"/>
      </tp>
      <tp t="e">
        <v>#N/A</v>
        <stp/>
        <stp>BDH|10606164265350768282</stp>
        <tr r="AC30" s="32"/>
      </tp>
      <tp t="e">
        <v>#N/A</v>
        <stp/>
        <stp>BDH|16846865343248748706</stp>
        <tr r="W177" s="39"/>
      </tp>
      <tp t="e">
        <v>#N/A</v>
        <stp/>
        <stp>BDH|10157607200913237098</stp>
        <tr r="AC17" s="32"/>
      </tp>
      <tp t="e">
        <v>#N/A</v>
        <stp/>
        <stp>BDH|13244786653861085535</stp>
        <tr r="J26" s="35"/>
      </tp>
      <tp t="e">
        <v>#N/A</v>
        <stp/>
        <stp>BDH|16000673572476142499</stp>
        <tr r="H22" s="24"/>
      </tp>
      <tp t="e">
        <v>#N/A</v>
        <stp/>
        <stp>BDH|13769755476275045398</stp>
        <tr r="L37" s="37"/>
      </tp>
      <tp t="e">
        <v>#N/A</v>
        <stp/>
        <stp>BDH|10514114528983204530</stp>
        <tr r="T172" s="39"/>
      </tp>
      <tp t="e">
        <v>#N/A</v>
        <stp/>
        <stp>BDH|14715088188620979934</stp>
        <tr r="AC60" s="32"/>
      </tp>
      <tp t="e">
        <v>#N/A</v>
        <stp/>
        <stp>BDH|13028633654823259680</stp>
        <tr r="X9" s="32"/>
      </tp>
      <tp t="e">
        <v>#N/A</v>
        <stp/>
        <stp>BDH|13265018112750882742</stp>
        <tr r="W80" s="32"/>
      </tp>
      <tp t="e">
        <v>#N/A</v>
        <stp/>
        <stp>BDH|12786849289066532123</stp>
        <tr r="AA31" s="32"/>
      </tp>
      <tp t="e">
        <v>#N/A</v>
        <stp/>
        <stp>BDH|15334814440978877478</stp>
        <tr r="AA162" s="39"/>
      </tp>
      <tp t="e">
        <v>#N/A</v>
        <stp/>
        <stp>BDH|10498412251635930109</stp>
        <tr r="C29" s="22"/>
      </tp>
      <tp t="e">
        <v>#N/A</v>
        <stp/>
        <stp>BDH|13923107776475730555</stp>
        <tr r="AA52" s="32"/>
      </tp>
      <tp t="e">
        <v>#N/A</v>
        <stp/>
        <stp>BDH|10376495602330231174</stp>
        <tr r="M27" s="36"/>
      </tp>
      <tp t="e">
        <v>#N/A</v>
        <stp/>
        <stp>BDH|10167981284040319433</stp>
        <tr r="X145" s="39"/>
      </tp>
      <tp t="e">
        <v>#N/A</v>
        <stp/>
        <stp>BDH|17322200268511671705</stp>
        <tr r="S97" s="32"/>
      </tp>
      <tp t="e">
        <v>#N/A</v>
        <stp/>
        <stp>BDH|17834090887883820923</stp>
        <tr r="N28" s="35"/>
      </tp>
      <tp t="e">
        <v>#N/A</v>
        <stp/>
        <stp>BDH|13240370109685398031</stp>
        <tr r="W204" s="39"/>
      </tp>
      <tp t="e">
        <v>#N/A</v>
        <stp/>
        <stp>BDH|16271103586413089985</stp>
        <tr r="M32" s="37"/>
      </tp>
      <tp t="e">
        <v>#N/A</v>
        <stp/>
        <stp>BDH|11007724283699935241</stp>
        <tr r="Z109" s="32"/>
      </tp>
      <tp t="e">
        <v>#N/A</v>
        <stp/>
        <stp>BDH|10166746903211914334</stp>
        <tr r="Y178" s="39"/>
      </tp>
      <tp t="e">
        <v>#N/A</v>
        <stp/>
        <stp>BDH|13735734627370701382</stp>
        <tr r="Y12" s="32"/>
      </tp>
      <tp t="e">
        <v>#N/A</v>
        <stp/>
        <stp>BDH|13503097502413524577</stp>
        <tr r="R27" s="32"/>
      </tp>
      <tp t="e">
        <v>#N/A</v>
        <stp/>
        <stp>BDH|15138097451830488511</stp>
        <tr r="W23" s="36"/>
      </tp>
      <tp t="e">
        <v>#N/A</v>
        <stp/>
        <stp>BDH|17454156061472843747</stp>
        <tr r="I32" s="38"/>
      </tp>
      <tp t="e">
        <v>#N/A</v>
        <stp/>
        <stp>BDH|13026498866163133715</stp>
        <tr r="T24" s="34"/>
      </tp>
      <tp t="e">
        <v>#N/A</v>
        <stp/>
        <stp>BDH|12953863660621251828</stp>
        <tr r="U198" s="39"/>
      </tp>
      <tp t="e">
        <v>#N/A</v>
        <stp/>
        <stp>BDH|15261103132861792388</stp>
        <tr r="E25" s="24"/>
      </tp>
      <tp t="e">
        <v>#N/A</v>
        <stp/>
        <stp>BDH|15674690793437790855</stp>
        <tr r="Y167" s="39"/>
      </tp>
      <tp t="e">
        <v>#N/A</v>
        <stp/>
        <stp>BDH|11733008325523509592</stp>
        <tr r="T107" s="32"/>
      </tp>
      <tp t="e">
        <v>#N/A</v>
        <stp/>
        <stp>BDH|18174577223708864230</stp>
        <tr r="R24" s="22"/>
      </tp>
      <tp t="e">
        <v>#N/A</v>
        <stp/>
        <stp>BDH|15302171040234836125</stp>
        <tr r="S205" s="39"/>
      </tp>
      <tp t="e">
        <v>#N/A</v>
        <stp/>
        <stp>BDH|11541851706025933912</stp>
        <tr r="R27" s="35"/>
      </tp>
    </main>
    <main first="bofaddin.rtdserver">
      <tp t="e">
        <v>#N/A</v>
        <stp/>
        <stp>BDH|7817931716945442</stp>
        <tr r="R26" s="36"/>
      </tp>
    </main>
    <main first="bofaddin.rtdserver">
      <tp t="e">
        <v>#N/A</v>
        <stp/>
        <stp>BDH|1590493675903724</stp>
        <tr r="T145" s="39"/>
      </tp>
    </main>
    <main first="bofaddin.rtdserver">
      <tp t="e">
        <v>#N/A</v>
        <stp/>
        <stp>BDH|7778404988507323</stp>
        <tr r="Y103" s="32"/>
      </tp>
    </main>
    <main first="bofaddin.rtdserver">
      <tp t="e">
        <v>#N/A</v>
        <stp/>
        <stp>BDH|2534123848934978</stp>
        <tr r="AD23" s="32"/>
      </tp>
    </main>
    <main first="bofaddin.rtdserver">
      <tp t="e">
        <v>#N/A</v>
        <stp/>
        <stp>BDH|9694044948387580657</stp>
        <tr r="E21" s="22"/>
      </tp>
      <tp t="e">
        <v>#N/A</v>
        <stp/>
        <stp>BDH|3651953263379335997</stp>
        <tr r="AA66" s="32"/>
      </tp>
      <tp t="e">
        <v>#N/A</v>
        <stp/>
        <stp>BDH|3959595238219734051</stp>
        <tr r="Z202" s="39"/>
      </tp>
      <tp t="e">
        <v>#N/A</v>
        <stp/>
        <stp>BDH|5958400847351213864</stp>
        <tr r="V66" s="32"/>
      </tp>
      <tp t="e">
        <v>#N/A</v>
        <stp/>
        <stp>BDH|4089810832344127783</stp>
        <tr r="T20" s="22"/>
      </tp>
      <tp t="e">
        <v>#N/A</v>
        <stp/>
        <stp>BDH|9220701391289198287</stp>
        <tr r="F26" s="35"/>
      </tp>
      <tp t="e">
        <v>#N/A</v>
        <stp/>
        <stp>BDH|3649602385183162290</stp>
        <tr r="AB82" s="32"/>
      </tp>
      <tp t="e">
        <v>#N/A</v>
        <stp/>
        <stp>BDH|8979221445583308162</stp>
        <tr r="U185" s="39"/>
      </tp>
      <tp t="e">
        <v>#N/A</v>
        <stp/>
        <stp>BDH|8235631968037655346</stp>
        <tr r="S26" s="22"/>
      </tp>
      <tp t="e">
        <v>#N/A</v>
        <stp/>
        <stp>BDH|5820011008261857827</stp>
        <tr r="AC69" s="32"/>
      </tp>
      <tp t="e">
        <v>#N/A</v>
        <stp/>
        <stp>BDH|9463618435030840038</stp>
        <tr r="N26" s="37"/>
      </tp>
      <tp t="e">
        <v>#N/A</v>
        <stp/>
        <stp>BDH|7956820130769164916</stp>
        <tr r="U116" s="39"/>
      </tp>
      <tp t="e">
        <v>#N/A</v>
        <stp/>
        <stp>BDH|4101924907337823677</stp>
        <tr r="V213" s="39"/>
      </tp>
      <tp t="e">
        <v>#N/A</v>
        <stp/>
        <stp>BDH|1053121998355047016</stp>
        <tr r="Y16" s="32"/>
      </tp>
      <tp t="e">
        <v>#N/A</v>
        <stp/>
        <stp>BDH|7455437880124842343</stp>
        <tr r="M26" s="34"/>
      </tp>
      <tp t="e">
        <v>#N/A</v>
        <stp/>
        <stp>BDH|7932951596178669372</stp>
        <tr r="AN35" s="36"/>
      </tp>
      <tp t="e">
        <v>#N/A</v>
        <stp/>
        <stp>BDH|1531750888751526361</stp>
        <tr r="V212" s="39"/>
      </tp>
      <tp t="e">
        <v>#N/A</v>
        <stp/>
        <stp>BDH|9357752273646619388</stp>
        <tr r="I21" s="24"/>
      </tp>
      <tp t="e">
        <v>#N/A</v>
        <stp/>
        <stp>BDH|2482478284715948758</stp>
        <tr r="C18" s="35"/>
      </tp>
      <tp t="e">
        <v>#N/A</v>
        <stp/>
        <stp>BDH|6289185180676705561</stp>
        <tr r="N31" s="36"/>
      </tp>
      <tp t="e">
        <v>#N/A</v>
        <stp/>
        <stp>BDH|4347580860283835888</stp>
        <tr r="T13" s="32"/>
      </tp>
      <tp t="e">
        <v>#N/A</v>
        <stp/>
        <stp>BDH|8659055741254067498</stp>
        <tr r="W155" s="39"/>
      </tp>
      <tp t="e">
        <v>#N/A</v>
        <stp/>
        <stp>BDH|5240256109569570234</stp>
        <tr r="C7" s="29"/>
      </tp>
      <tp t="e">
        <v>#N/A</v>
        <stp/>
        <stp>BDH|5692947339211121225</stp>
        <tr r="E26" s="34"/>
      </tp>
      <tp t="e">
        <v>#N/A</v>
        <stp/>
        <stp>BDH|7839352885326056612</stp>
        <tr r="X157" s="39"/>
      </tp>
      <tp t="e">
        <v>#N/A</v>
        <stp/>
        <stp>BDH|9354600790312823821</stp>
        <tr r="K31" s="36"/>
      </tp>
      <tp t="e">
        <v>#N/A</v>
        <stp/>
        <stp>BDH|1958809120236821189</stp>
        <tr r="X19" s="35"/>
      </tp>
      <tp t="e">
        <v>#N/A</v>
        <stp/>
        <stp>BDH|1815424496714737425</stp>
        <tr r="Q123" s="39"/>
      </tp>
      <tp t="e">
        <v>#N/A</v>
        <stp/>
        <stp>BDH|1777441795806645693</stp>
        <tr r="AA15" s="32"/>
      </tp>
      <tp t="e">
        <v>#N/A</v>
        <stp/>
        <stp>BDH|8812258132306536331</stp>
        <tr r="U84" s="32"/>
      </tp>
      <tp t="e">
        <v>#N/A</v>
        <stp/>
        <stp>BDH|3226919401153990528</stp>
        <tr r="X69" s="32"/>
      </tp>
      <tp t="e">
        <v>#N/A</v>
        <stp/>
        <stp>BDH|5743348557646588989</stp>
        <tr r="V142" s="39"/>
      </tp>
      <tp t="e">
        <v>#N/A</v>
        <stp/>
        <stp>BDH|5475340715812464984</stp>
        <tr r="AD15" s="32"/>
      </tp>
      <tp t="e">
        <v>#N/A</v>
        <stp/>
        <stp>BDH|2111098481543052504</stp>
        <tr r="R135" s="39"/>
      </tp>
      <tp t="e">
        <v>#N/A</v>
        <stp/>
        <stp>BDH|3344882222364533121</stp>
        <tr r="F32" s="38"/>
      </tp>
      <tp t="e">
        <v>#N/A</v>
        <stp/>
        <stp>BDH|1242064081822374789</stp>
        <tr r="I27" s="37"/>
      </tp>
      <tp t="e">
        <v>#N/A</v>
        <stp/>
        <stp>BDH|4437939679713116514</stp>
        <tr r="AA45" s="32"/>
      </tp>
      <tp t="e">
        <v>#N/A</v>
        <stp/>
        <stp>BDH|2571507632429805107</stp>
        <tr r="AN31" s="36"/>
      </tp>
      <tp t="e">
        <v>#N/A</v>
        <stp/>
        <stp>BDH|8738126615334641091</stp>
        <tr r="AB29" s="36"/>
      </tp>
      <tp t="e">
        <v>#N/A</v>
        <stp/>
        <stp>BDH|8079098964782132039</stp>
        <tr r="U30" s="22"/>
      </tp>
      <tp t="e">
        <v>#N/A</v>
        <stp/>
        <stp>BDH|9939726775243930686</stp>
        <tr r="AA88" s="32"/>
      </tp>
      <tp t="e">
        <v>#N/A</v>
        <stp/>
        <stp>BDH|7933637933797141973</stp>
        <tr r="L20" s="22"/>
      </tp>
      <tp t="e">
        <v>#N/A</v>
        <stp/>
        <stp>BDH|1574391270369476075</stp>
        <tr r="V172" s="39"/>
      </tp>
      <tp t="e">
        <v>#N/A</v>
        <stp/>
        <stp>BDH|5941386558758077764</stp>
        <tr r="Y88" s="32"/>
      </tp>
      <tp t="e">
        <v>#N/A</v>
        <stp/>
        <stp>BDH|4993852315304131574</stp>
        <tr r="AA43" s="22"/>
        <tr r="AA43" s="35"/>
      </tp>
      <tp t="e">
        <v>#N/A</v>
        <stp/>
        <stp>BDH|9563035770256165489</stp>
        <tr r="AE31" s="36"/>
      </tp>
      <tp t="e">
        <v>#N/A</v>
        <stp/>
        <stp>BDH|5822064278116971831</stp>
        <tr r="W70" s="32"/>
      </tp>
      <tp t="e">
        <v>#N/A</v>
        <stp/>
        <stp>BDH|4914864502341070111</stp>
        <tr r="AB124" s="39"/>
        <tr r="AC124" s="39"/>
      </tp>
      <tp t="e">
        <v>#N/A</v>
        <stp/>
        <stp>BDH|7607282849254325980</stp>
        <tr r="AD76" s="32"/>
      </tp>
      <tp t="e">
        <v>#N/A</v>
        <stp/>
        <stp>BDH|1746683270279764546</stp>
        <tr r="D29" s="37"/>
      </tp>
      <tp t="e">
        <v>#N/A</v>
        <stp/>
        <stp>BDH|9251759431994331591</stp>
        <tr r="J28" s="22"/>
      </tp>
      <tp t="e">
        <v>#N/A</v>
        <stp/>
        <stp>BDH|2298964726597688286</stp>
        <tr r="AJ23" s="36"/>
      </tp>
      <tp t="e">
        <v>#N/A</v>
        <stp/>
        <stp>BDH|4150855088529109118</stp>
        <tr r="R209" s="39"/>
      </tp>
      <tp t="e">
        <v>#N/A</v>
        <stp/>
        <stp>BDH|8186361087539477687</stp>
        <tr r="W50" s="32"/>
      </tp>
      <tp t="e">
        <v>#N/A</v>
        <stp/>
        <stp>BDH|1250750351209258692</stp>
        <tr r="U105" s="32"/>
      </tp>
      <tp t="e">
        <v>#N/A</v>
        <stp/>
        <stp>BDH|1072826030765907365</stp>
        <tr r="S83" s="32"/>
      </tp>
      <tp t="e">
        <v>#N/A</v>
        <stp/>
        <stp>BDH|5067247997073903174</stp>
        <tr r="AA57" s="32"/>
      </tp>
      <tp t="e">
        <v>#N/A</v>
        <stp/>
        <stp>BDH|7751907230458973936</stp>
        <tr r="X166" s="39"/>
      </tp>
      <tp t="e">
        <v>#N/A</v>
        <stp/>
        <stp>BDH|8307640838473080227</stp>
        <tr r="V35" s="36"/>
      </tp>
      <tp t="e">
        <v>#N/A</v>
        <stp/>
        <stp>BDH|9203397797117791863</stp>
        <tr r="V99" s="32"/>
      </tp>
      <tp t="e">
        <v>#N/A</v>
        <stp/>
        <stp>BDH|9242095963552409118</stp>
        <tr r="R4" s="32"/>
      </tp>
      <tp t="e">
        <v>#N/A</v>
        <stp/>
        <stp>BDH|1363837345983581223</stp>
        <tr r="V107" s="32"/>
      </tp>
      <tp t="e">
        <v>#N/A</v>
        <stp/>
        <stp>BDH|7169538911837151807</stp>
        <tr r="E38" s="37"/>
      </tp>
      <tp t="e">
        <v>#N/A</v>
        <stp/>
        <stp>BDH|4442509583250281571</stp>
        <tr r="T196" s="39"/>
      </tp>
      <tp t="e">
        <v>#N/A</v>
        <stp/>
        <stp>BDH|4594560782942381701</stp>
        <tr r="V145" s="39"/>
      </tp>
      <tp t="e">
        <v>#N/A</v>
        <stp/>
        <stp>BDH|9299553032692368141</stp>
        <tr r="Z49" s="32"/>
      </tp>
      <tp t="e">
        <v>#N/A</v>
        <stp/>
        <stp>BDH|8876305875646690696</stp>
        <tr r="AB182" s="39"/>
        <tr r="AC182" s="39"/>
      </tp>
      <tp t="e">
        <v>#N/A</v>
        <stp/>
        <stp>BDH|7386053419003833952</stp>
        <tr r="T200" s="39"/>
      </tp>
      <tp t="e">
        <v>#N/A</v>
        <stp/>
        <stp>BDH|7080651058159808175</stp>
        <tr r="AB12" s="32"/>
      </tp>
      <tp t="e">
        <v>#N/A</v>
        <stp/>
        <stp>BDH|9940885259858808026</stp>
        <tr r="S29" s="22"/>
      </tp>
      <tp t="e">
        <v>#N/A</v>
        <stp/>
        <stp>BDH|6193256767607333924</stp>
        <tr r="Z135" s="39"/>
      </tp>
      <tp t="e">
        <v>#N/A</v>
        <stp/>
        <stp>BDH|5063664152972301849</stp>
        <tr r="T150" s="39"/>
      </tp>
      <tp t="e">
        <v>#N/A</v>
        <stp/>
        <stp>BDH|9192063135654967288</stp>
        <tr r="AB198" s="39"/>
        <tr r="AC198" s="39"/>
      </tp>
      <tp t="e">
        <v>#N/A</v>
        <stp/>
        <stp>BDH|3496013790123373559</stp>
        <tr r="T163" s="39"/>
      </tp>
      <tp t="e">
        <v>#N/A</v>
        <stp/>
        <stp>BDH|8850791562151426440</stp>
        <tr r="Q170" s="39"/>
      </tp>
      <tp t="e">
        <v>#N/A</v>
        <stp/>
        <stp>BDH|1420924749198924852</stp>
        <tr r="W122" s="39"/>
      </tp>
      <tp t="e">
        <v>#N/A</v>
        <stp/>
        <stp>BDH|4542828021010530209</stp>
        <tr r="U172" s="39"/>
      </tp>
      <tp t="e">
        <v>#N/A</v>
        <stp/>
        <stp>BDH|2732200549400495897</stp>
        <tr r="F29" s="38"/>
      </tp>
      <tp t="e">
        <v>#N/A</v>
        <stp/>
        <stp>BDH|5522615454703094933</stp>
        <tr r="AA158" s="39"/>
      </tp>
      <tp t="e">
        <v>#N/A</v>
        <stp/>
        <stp>BDH|2847492017399331269</stp>
        <tr r="AC14" s="32"/>
      </tp>
      <tp t="e">
        <v>#N/A</v>
        <stp/>
        <stp>BDH|3997790995599446819</stp>
        <tr r="AA21" s="22"/>
      </tp>
      <tp t="e">
        <v>#N/A</v>
        <stp/>
        <stp>BDH|6604155342237007816</stp>
        <tr r="K36" s="37"/>
      </tp>
      <tp t="e">
        <v>#N/A</v>
        <stp/>
        <stp>BDH|8734589201858705991</stp>
        <tr r="G30" s="37"/>
      </tp>
      <tp t="e">
        <v>#N/A</v>
        <stp/>
        <stp>BDH|9648709866203800788</stp>
        <tr r="W87" s="32"/>
      </tp>
      <tp t="e">
        <v>#N/A</v>
        <stp/>
        <stp>BDH|5349473570123557918</stp>
        <tr r="K30" s="36"/>
      </tp>
      <tp t="e">
        <v>#N/A</v>
        <stp/>
        <stp>BDH|1387983352898141988</stp>
        <tr r="S90" s="32"/>
      </tp>
      <tp t="e">
        <v>#N/A</v>
        <stp/>
        <stp>BDH|9537789752243918466</stp>
        <tr r="X27" s="35"/>
      </tp>
      <tp t="e">
        <v>#N/A</v>
        <stp/>
        <stp>BDH|5947891790889767175</stp>
        <tr r="S181" s="39"/>
      </tp>
      <tp t="e">
        <v>#N/A</v>
        <stp/>
        <stp>BDH|5142747577040067934</stp>
        <tr r="Z68" s="32"/>
      </tp>
      <tp t="e">
        <v>#N/A</v>
        <stp/>
        <stp>BDH|2644501850889346748</stp>
        <tr r="M25" s="34"/>
      </tp>
      <tp t="e">
        <v>#N/A</v>
        <stp/>
        <stp>BDH|9317355604493005530</stp>
        <tr r="U5" s="32"/>
      </tp>
      <tp t="e">
        <v>#N/A</v>
        <stp/>
        <stp>BDH|1655212781454086379</stp>
        <tr r="AA11" s="32"/>
      </tp>
      <tp t="e">
        <v>#N/A</v>
        <stp/>
        <stp>BDH|1946991391484901994</stp>
        <tr r="Q20" s="35"/>
      </tp>
      <tp t="e">
        <v>#N/A</v>
        <stp/>
        <stp>BDH|7057935634569138872</stp>
        <tr r="U128" s="39"/>
      </tp>
      <tp t="e">
        <v>#N/A</v>
        <stp/>
        <stp>BDH|8216861192970391547</stp>
        <tr r="AF36" s="36"/>
      </tp>
      <tp t="e">
        <v>#N/A</v>
        <stp/>
        <stp>BDH|2659433691671025255</stp>
        <tr r="Z15" s="32"/>
      </tp>
      <tp t="e">
        <v>#N/A</v>
        <stp/>
        <stp>BDH|3270862805173370435</stp>
        <tr r="H21" s="22"/>
      </tp>
      <tp t="e">
        <v>#N/A</v>
        <stp/>
        <stp>BDH|4244105992891112101</stp>
        <tr r="Q125" s="39"/>
      </tp>
      <tp t="e">
        <v>#N/A</v>
        <stp/>
        <stp>BDH|4308967906949616844</stp>
        <tr r="AA145" s="39"/>
      </tp>
      <tp t="e">
        <v>#N/A</v>
        <stp/>
        <stp>BDH|8694111080248065561</stp>
        <tr r="AA26" s="36"/>
      </tp>
      <tp t="e">
        <v>#N/A</v>
        <stp/>
        <stp>BDH|6589928584059598274</stp>
        <tr r="F34" s="38"/>
      </tp>
      <tp t="e">
        <v>#N/A</v>
        <stp/>
        <stp>BDH|3285812350955370719</stp>
        <tr r="X33" s="32"/>
      </tp>
      <tp t="e">
        <v>#N/A</v>
        <stp/>
        <stp>BDH|6762815817237683465</stp>
        <tr r="J38" s="37"/>
      </tp>
      <tp t="e">
        <v>#N/A</v>
        <stp/>
        <stp>BDH|3843399892766448361</stp>
        <tr r="U159" s="39"/>
      </tp>
      <tp t="e">
        <v>#N/A</v>
        <stp/>
        <stp>BDH|2147108896357180178</stp>
        <tr r="AA115" s="39"/>
      </tp>
      <tp t="e">
        <v>#N/A</v>
        <stp/>
        <stp>BDH|4919301092304887625</stp>
        <tr r="AA38" s="32"/>
      </tp>
      <tp t="e">
        <v>#N/A</v>
        <stp/>
        <stp>BDH|1685363075639597065</stp>
        <tr r="R80" s="32"/>
      </tp>
      <tp t="e">
        <v>#N/A</v>
        <stp/>
        <stp>BDH|9644375726230269434</stp>
        <tr r="Z216" s="39"/>
      </tp>
      <tp t="e">
        <v>#N/A</v>
        <stp/>
        <stp>BDH|5951211083785818657</stp>
        <tr r="S153" s="39"/>
      </tp>
      <tp t="e">
        <v>#N/A</v>
        <stp/>
        <stp>BDH|4928914434530370293</stp>
        <tr r="Z19" s="35"/>
      </tp>
      <tp t="e">
        <v>#N/A</v>
        <stp/>
        <stp>BDH|8205979242310830992</stp>
        <tr r="T44" s="32"/>
      </tp>
      <tp t="e">
        <v>#N/A</v>
        <stp/>
        <stp>BDH|3496346900425364956</stp>
        <tr r="AC100" s="32"/>
      </tp>
      <tp t="e">
        <v>#N/A</v>
        <stp/>
        <stp>BDH|8280052862465746746</stp>
        <tr r="Y195" s="39"/>
      </tp>
      <tp t="e">
        <v>#N/A</v>
        <stp/>
        <stp>BDH|1831924457713868226</stp>
        <tr r="AD23" s="36"/>
      </tp>
      <tp t="e">
        <v>#N/A</v>
        <stp/>
        <stp>BDH|1415553866709804785</stp>
        <tr r="U115" s="39"/>
      </tp>
      <tp t="e">
        <v>#N/A</v>
        <stp/>
        <stp>BDH|3330329117539346428</stp>
        <tr r="U29" s="32"/>
      </tp>
      <tp t="e">
        <v>#N/A</v>
        <stp/>
        <stp>BDH|2252129162771205878</stp>
        <tr r="U197" s="39"/>
      </tp>
      <tp t="e">
        <v>#N/A</v>
        <stp/>
        <stp>BDH|2705802340634962690</stp>
        <tr r="U41" s="32"/>
      </tp>
      <tp t="e">
        <v>#N/A</v>
        <stp/>
        <stp>BDH|9619371925253316705</stp>
        <tr r="E21" s="24"/>
      </tp>
      <tp t="e">
        <v>#N/A</v>
        <stp/>
        <stp>BDH|4022784560031697897</stp>
        <tr r="Z209" s="39"/>
      </tp>
      <tp t="e">
        <v>#N/A</v>
        <stp/>
        <stp>BDH|3112863066126338758</stp>
        <tr r="AA35" s="22"/>
        <tr r="AA35" s="35"/>
      </tp>
      <tp t="e">
        <v>#N/A</v>
        <stp/>
        <stp>BDH|1407365096011383606</stp>
        <tr r="AI31" s="36"/>
      </tp>
      <tp t="e">
        <v>#N/A</v>
        <stp/>
        <stp>BDH|8557262572781228049</stp>
        <tr r="V37" s="36"/>
      </tp>
      <tp t="e">
        <v>#N/A</v>
        <stp/>
        <stp>BDH|4695898477604881370</stp>
        <tr r="C29" s="36"/>
      </tp>
      <tp t="e">
        <v>#N/A</v>
        <stp/>
        <stp>BDH|6803117208072734924</stp>
        <tr r="Y63" s="32"/>
      </tp>
      <tp t="e">
        <v>#N/A</v>
        <stp/>
        <stp>BDH|8337825093062235746</stp>
        <tr r="AL37" s="36"/>
      </tp>
      <tp t="e">
        <v>#N/A</v>
        <stp/>
        <stp>BDH|2680898492628835711</stp>
        <tr r="U34" s="36"/>
      </tp>
      <tp t="e">
        <v>#N/A</v>
        <stp/>
        <stp>BDH|1130200498033445590</stp>
        <tr r="V122" s="39"/>
      </tp>
      <tp t="e">
        <v>#N/A</v>
        <stp/>
        <stp>BDH|4231881518191053060</stp>
        <tr r="X179" s="39"/>
      </tp>
      <tp t="e">
        <v>#N/A</v>
        <stp/>
        <stp>BDH|8838893783600240444</stp>
        <tr r="F25" s="24"/>
      </tp>
      <tp t="e">
        <v>#N/A</v>
        <stp/>
        <stp>BDH|2549737891846130621</stp>
        <tr r="L33" s="38"/>
      </tp>
      <tp t="e">
        <v>#N/A</v>
        <stp/>
        <stp>BDH|6191777993513752764</stp>
        <tr r="U66" s="32"/>
      </tp>
      <tp t="e">
        <v>#N/A</v>
        <stp/>
        <stp>BDH|1361147435509388652</stp>
        <tr r="W12" s="32"/>
      </tp>
      <tp t="e">
        <v>#N/A</v>
        <stp/>
        <stp>BDH|8497143385305200828</stp>
        <tr r="E21" s="34"/>
      </tp>
      <tp t="e">
        <v>#N/A</v>
        <stp/>
        <stp>BDH|7221106357496267927</stp>
        <tr r="AA218" s="39"/>
      </tp>
      <tp t="e">
        <v>#N/A</v>
        <stp/>
        <stp>BDH|9421136805564278055</stp>
        <tr r="U211" s="39"/>
      </tp>
      <tp t="e">
        <v>#N/A</v>
        <stp/>
        <stp>BDH|9455941267079509371</stp>
        <tr r="AD29" s="36"/>
      </tp>
      <tp t="e">
        <v>#N/A</v>
        <stp/>
        <stp>BDH|8011132534501500770</stp>
        <tr r="AB39" s="32"/>
      </tp>
      <tp t="e">
        <v>#N/A</v>
        <stp/>
        <stp>BDH|4586129780763069228</stp>
        <tr r="L19" s="35"/>
      </tp>
      <tp t="e">
        <v>#N/A</v>
        <stp/>
        <stp>BDH|8976956975178535298</stp>
        <tr r="AB61" s="32"/>
      </tp>
      <tp t="e">
        <v>#N/A</v>
        <stp/>
        <stp>BDH|3046026932534353869</stp>
        <tr r="S20" s="34"/>
      </tp>
      <tp t="e">
        <v>#N/A</v>
        <stp/>
        <stp>BDH|12260649270433711</stp>
        <tr r="T16" s="32"/>
      </tp>
      <tp t="e">
        <v>#N/A</v>
        <stp/>
        <stp>BDH|3210895400220374620</stp>
        <tr r="Z96" s="32"/>
      </tp>
      <tp t="e">
        <v>#N/A</v>
        <stp/>
        <stp>BDH|8976627541484602366</stp>
        <tr r="V29" s="32"/>
      </tp>
      <tp t="e">
        <v>#N/A</v>
        <stp/>
        <stp>BDH|8530507295081900830</stp>
        <tr r="K23" s="22"/>
      </tp>
      <tp t="e">
        <v>#N/A</v>
        <stp/>
        <stp>BDH|8915808813318111413</stp>
        <tr r="AA150" s="39"/>
      </tp>
      <tp t="e">
        <v>#N/A</v>
        <stp/>
        <stp>BDH|9935367845143069008</stp>
        <tr r="R152" s="39"/>
      </tp>
      <tp t="e">
        <v>#N/A</v>
        <stp/>
        <stp>BDH|8609474648251598462</stp>
        <tr r="U65" s="32"/>
      </tp>
      <tp t="e">
        <v>#N/A</v>
        <stp/>
        <stp>BDH|5955597652029961118</stp>
        <tr r="Y40" s="32"/>
      </tp>
      <tp t="e">
        <v>#N/A</v>
        <stp/>
        <stp>BDH|4630227897495916714</stp>
        <tr r="X51" s="32"/>
      </tp>
      <tp t="e">
        <v>#N/A</v>
        <stp/>
        <stp>BDH|6862831018470924217</stp>
        <tr r="X146" s="39"/>
      </tp>
      <tp t="e">
        <v>#N/A</v>
        <stp/>
        <stp>BDH|8441666408177743461</stp>
        <tr r="U157" s="39"/>
      </tp>
      <tp t="e">
        <v>#N/A</v>
        <stp/>
        <stp>BDH|3013908624427731287</stp>
        <tr r="U47" s="32"/>
      </tp>
      <tp t="e">
        <v>#N/A</v>
        <stp/>
        <stp>BDH|3448956546832942156</stp>
        <tr r="S121" s="39"/>
      </tp>
      <tp t="e">
        <v>#N/A</v>
        <stp/>
        <stp>BDH|8617743903882959033</stp>
        <tr r="J36" s="38"/>
      </tp>
      <tp t="e">
        <v>#N/A</v>
        <stp/>
        <stp>BDH|7866124412762283812</stp>
        <tr r="X141" s="39"/>
      </tp>
      <tp t="e">
        <v>#N/A</v>
        <stp/>
        <stp>BDH|4410038376016379891</stp>
        <tr r="Z12" s="32"/>
      </tp>
      <tp t="e">
        <v>#N/A</v>
        <stp/>
        <stp>BDH|9143453729075671730</stp>
        <tr r="AE36" s="36"/>
      </tp>
      <tp t="e">
        <v>#N/A</v>
        <stp/>
        <stp>BDH|4828387440909961719</stp>
        <tr r="AH28" s="36"/>
      </tp>
      <tp t="e">
        <v>#N/A</v>
        <stp/>
        <stp>BDH|7220955365390270586</stp>
        <tr r="AC44" s="32"/>
      </tp>
      <tp t="e">
        <v>#N/A</v>
        <stp/>
        <stp>BDH|6376690847291133840</stp>
        <tr r="H37" s="37"/>
      </tp>
      <tp t="e">
        <v>#N/A</v>
        <stp/>
        <stp>BDH|2408280466349215204</stp>
        <tr r="U106" s="32"/>
      </tp>
      <tp t="e">
        <v>#N/A</v>
        <stp/>
        <stp>BDH|3885851020767496318</stp>
        <tr r="V67" s="32"/>
      </tp>
      <tp t="e">
        <v>#N/A</v>
        <stp/>
        <stp>BDH|3402431038959435034</stp>
        <tr r="Q177" s="39"/>
      </tp>
      <tp t="e">
        <v>#N/A</v>
        <stp/>
        <stp>BDH|1678152430157934937</stp>
        <tr r="AB37" s="32"/>
      </tp>
      <tp t="e">
        <v>#N/A</v>
        <stp/>
        <stp>BDH|5969814207298432821</stp>
        <tr r="I32" s="37"/>
      </tp>
      <tp t="e">
        <v>#N/A</v>
        <stp/>
        <stp>BDH|1123549793083798387</stp>
        <tr r="R178" s="39"/>
      </tp>
      <tp t="e">
        <v>#N/A</v>
        <stp/>
        <stp>BDH|5419494919775868851</stp>
        <tr r="X148" s="39"/>
      </tp>
      <tp t="e">
        <v>#N/A</v>
        <stp/>
        <stp>BDH|8272205479422338212</stp>
        <tr r="T52" s="32"/>
      </tp>
      <tp t="e">
        <v>#N/A</v>
        <stp/>
        <stp>BDH|5465838213670896159</stp>
        <tr r="W27" s="32"/>
      </tp>
      <tp t="e">
        <v>#N/A</v>
        <stp/>
        <stp>BDH|3076812596837606886</stp>
        <tr r="W185" s="39"/>
      </tp>
      <tp t="e">
        <v>#N/A</v>
        <stp/>
        <stp>BDH|4086888030611696373</stp>
        <tr r="Q145" s="39"/>
      </tp>
      <tp t="e">
        <v>#N/A</v>
        <stp/>
        <stp>BDH|3664937258430575263</stp>
        <tr r="G26" s="22"/>
      </tp>
      <tp t="e">
        <v>#N/A</v>
        <stp/>
        <stp>BDH|2478626499653403356</stp>
        <tr r="Q18" s="35"/>
      </tp>
      <tp t="e">
        <v>#N/A</v>
        <stp/>
        <stp>BDH|5141689980337799103</stp>
        <tr r="C35" s="38"/>
      </tp>
      <tp t="e">
        <v>#N/A</v>
        <stp/>
        <stp>BDH|3712097586761009765</stp>
        <tr r="U218" s="39"/>
      </tp>
      <tp t="e">
        <v>#N/A</v>
        <stp/>
        <stp>BDH|9488374800565566282</stp>
        <tr r="N20" s="34"/>
      </tp>
      <tp t="e">
        <v>#N/A</v>
        <stp/>
        <stp>BDH|6072391568959867777</stp>
        <tr r="C32" s="37"/>
      </tp>
      <tp t="e">
        <v>#N/A</v>
        <stp/>
        <stp>BDH|1889028737448472767</stp>
        <tr r="S54" s="32"/>
      </tp>
      <tp t="e">
        <v>#N/A</v>
        <stp/>
        <stp>BDH|9672166309775416020</stp>
        <tr r="AD78" s="32"/>
      </tp>
      <tp t="e">
        <v>#N/A</v>
        <stp/>
        <stp>BDH|6034117003043919942</stp>
        <tr r="T133" s="39"/>
      </tp>
      <tp t="e">
        <v>#N/A</v>
        <stp/>
        <stp>BDH|9668025915162721798</stp>
        <tr r="F18" s="34"/>
      </tp>
      <tp t="e">
        <v>#N/A</v>
        <stp/>
        <stp>BDH|3737865739671245459</stp>
        <tr r="R11" s="32"/>
      </tp>
      <tp t="e">
        <v>#N/A</v>
        <stp/>
        <stp>BDH|1557288889387375185</stp>
        <tr r="AA6" s="32"/>
      </tp>
      <tp t="e">
        <v>#N/A</v>
        <stp/>
        <stp>BDH|1877554085150559116</stp>
        <tr r="U60" s="32"/>
      </tp>
      <tp t="e">
        <v>#N/A</v>
        <stp/>
        <stp>BDH|6545182521428573055</stp>
        <tr r="AA64" s="32"/>
      </tp>
      <tp t="e">
        <v>#N/A</v>
        <stp/>
        <stp>BDH|4243887338752906071</stp>
        <tr r="D23" s="34"/>
      </tp>
      <tp t="e">
        <v>#N/A</v>
        <stp/>
        <stp>BDH|8735287906505275273</stp>
        <tr r="T189" s="39"/>
      </tp>
      <tp t="e">
        <v>#N/A</v>
        <stp/>
        <stp>BDH|4443581875452224979</stp>
        <tr r="X44" s="32"/>
      </tp>
      <tp t="e">
        <v>#N/A</v>
        <stp/>
        <stp>BDH|1541244549472122840</stp>
        <tr r="Y214" s="39"/>
      </tp>
      <tp t="e">
        <v>#N/A</v>
        <stp/>
        <stp>BDH|2277333644008060089</stp>
        <tr r="AA143" s="39"/>
      </tp>
      <tp t="e">
        <v>#N/A</v>
        <stp/>
        <stp>BDH|8226125917511524401</stp>
        <tr r="J25" s="22"/>
      </tp>
      <tp t="e">
        <v>#N/A</v>
        <stp/>
        <stp>BDH|8287143011264789121</stp>
        <tr r="S33" s="32"/>
      </tp>
      <tp t="e">
        <v>#N/A</v>
        <stp/>
        <stp>BDH|8261534654574064172</stp>
        <tr r="AB135" s="39"/>
        <tr r="AC135" s="39"/>
      </tp>
      <tp t="e">
        <v>#N/A</v>
        <stp/>
        <stp>BDH|8242573302410222075</stp>
        <tr r="Y84" s="32"/>
      </tp>
      <tp t="e">
        <v>#N/A</v>
        <stp/>
        <stp>BDH|8019343980978336653</stp>
        <tr r="I34" s="37"/>
      </tp>
      <tp t="e">
        <v>#N/A</v>
        <stp/>
        <stp>BDH|6587517726935458948</stp>
        <tr r="M24" s="36"/>
      </tp>
      <tp t="e">
        <v>#N/A</v>
        <stp/>
        <stp>BDH|2659118236965308809</stp>
        <tr r="AA26" s="22"/>
      </tp>
      <tp t="e">
        <v>#N/A</v>
        <stp/>
        <stp>BDH|4641559416295663815</stp>
        <tr r="E26" s="22"/>
      </tp>
      <tp t="e">
        <v>#N/A</v>
        <stp/>
        <stp>BDH|8682028067933665071</stp>
        <tr r="S22" s="34"/>
      </tp>
      <tp t="e">
        <v>#N/A</v>
        <stp/>
        <stp>BDH|4240364391894319747</stp>
        <tr r="AD96" s="32"/>
      </tp>
      <tp t="e">
        <v>#N/A</v>
        <stp/>
        <stp>BDH|8630643194849598303</stp>
        <tr r="W37" s="32"/>
      </tp>
      <tp t="e">
        <v>#N/A</v>
        <stp/>
        <stp>BDH|7183931050652024418</stp>
        <tr r="AA41" s="22"/>
        <tr r="AA41" s="35"/>
      </tp>
      <tp t="e">
        <v>#N/A</v>
        <stp/>
        <stp>BDH|8820224743113883026</stp>
        <tr r="W153" s="39"/>
      </tp>
      <tp t="e">
        <v>#N/A</v>
        <stp/>
        <stp>BDH|3411945815532153478</stp>
        <tr r="R30" s="35"/>
      </tp>
      <tp t="e">
        <v>#N/A</v>
        <stp/>
        <stp>BDH|2655582522821949964</stp>
        <tr r="Z42" s="32"/>
      </tp>
      <tp t="e">
        <v>#N/A</v>
        <stp/>
        <stp>BDH|8822756215793942029</stp>
        <tr r="W23" s="35"/>
      </tp>
      <tp t="e">
        <v>#N/A</v>
        <stp/>
        <stp>BDH|7667850427136732634</stp>
        <tr r="W123" s="39"/>
      </tp>
      <tp t="e">
        <v>#N/A</v>
        <stp/>
        <stp>BDH|1822910928337057014</stp>
        <tr r="Q169" s="39"/>
      </tp>
      <tp t="e">
        <v>#N/A</v>
        <stp/>
        <stp>BDH|6657835465976730379</stp>
        <tr r="V19" s="35"/>
      </tp>
      <tp t="e">
        <v>#N/A</v>
        <stp/>
        <stp>BDH|8259701783343943986</stp>
        <tr r="R91" s="32"/>
      </tp>
      <tp t="e">
        <v>#N/A</v>
        <stp/>
        <stp>BDH|3632324226636015926</stp>
        <tr r="AB161" s="39"/>
        <tr r="AC161" s="39"/>
      </tp>
      <tp t="e">
        <v>#N/A</v>
        <stp/>
        <stp>BDH|8679557957944054145</stp>
        <tr r="C22" s="34"/>
      </tp>
      <tp t="e">
        <v>#N/A</v>
        <stp/>
        <stp>BDH|4475974276475652220</stp>
        <tr r="X136" s="39"/>
      </tp>
      <tp t="e">
        <v>#N/A</v>
        <stp/>
        <stp>BDH|3962816904557419192</stp>
        <tr r="R189" s="39"/>
      </tp>
      <tp t="e">
        <v>#N/A</v>
        <stp/>
        <stp>BDH|3020730396108592810</stp>
        <tr r="X82" s="32"/>
      </tp>
      <tp t="e">
        <v>#N/A</v>
        <stp/>
        <stp>BDH|1088481899335627466</stp>
        <tr r="K29" s="37"/>
      </tp>
      <tp t="e">
        <v>#N/A</v>
        <stp/>
        <stp>BDH|6483523299280894710</stp>
        <tr r="AB168" s="39"/>
        <tr r="AC168" s="39"/>
      </tp>
      <tp t="e">
        <v>#N/A</v>
        <stp/>
        <stp>BDH|2183643560959242614</stp>
        <tr r="V34" s="32"/>
      </tp>
      <tp t="e">
        <v>#N/A</v>
        <stp/>
        <stp>BDH|8033132824350349623</stp>
        <tr r="AA36" s="22"/>
        <tr r="AA36" s="35"/>
      </tp>
      <tp t="e">
        <v>#N/A</v>
        <stp/>
        <stp>BDH|5867881365090739643</stp>
        <tr r="Z208" s="39"/>
      </tp>
      <tp t="e">
        <v>#N/A</v>
        <stp/>
        <stp>BDH|7403667290013227663</stp>
        <tr r="AA48" s="38"/>
        <tr r="AA48" s="37"/>
      </tp>
      <tp t="e">
        <v>#N/A</v>
        <stp/>
        <stp>BDH|4299804036680319213</stp>
        <tr r="Z187" s="39"/>
      </tp>
      <tp t="e">
        <v>#N/A</v>
        <stp/>
        <stp>BDH|1545921730254490256</stp>
        <tr r="AD81" s="32"/>
      </tp>
      <tp t="e">
        <v>#N/A</v>
        <stp/>
        <stp>BDH|4481666427918377508</stp>
        <tr r="R52" s="32"/>
      </tp>
      <tp t="e">
        <v>#N/A</v>
        <stp/>
        <stp>BDH|1034052407654680825</stp>
        <tr r="AB200" s="39"/>
        <tr r="AC200" s="39"/>
      </tp>
      <tp t="e">
        <v>#N/A</v>
        <stp/>
        <stp>BDH|1245108831557128947</stp>
        <tr r="K30" s="37"/>
      </tp>
      <tp t="e">
        <v>#N/A</v>
        <stp/>
        <stp>BDH|7260360793432684274</stp>
        <tr r="X116" s="39"/>
      </tp>
      <tp t="e">
        <v>#N/A</v>
        <stp/>
        <stp>BDH|3668782811738816002</stp>
        <tr r="R210" s="39"/>
      </tp>
      <tp t="e">
        <v>#N/A</v>
        <stp/>
        <stp>BDH|9870383331360511434</stp>
        <tr r="Z46" s="32"/>
      </tp>
      <tp t="e">
        <v>#N/A</v>
        <stp/>
        <stp>BDH|8246715234544130515</stp>
        <tr r="X23" s="22"/>
      </tp>
      <tp t="e">
        <v>#N/A</v>
        <stp/>
        <stp>BDH|2105992499549227641</stp>
        <tr r="V46" s="32"/>
      </tp>
      <tp t="e">
        <v>#N/A</v>
        <stp/>
        <stp>BDH|5684829907111602124</stp>
        <tr r="AL23" s="36"/>
      </tp>
      <tp t="e">
        <v>#N/A</v>
        <stp/>
        <stp>BDH|9914817388662240653</stp>
        <tr r="Z91" s="32"/>
      </tp>
      <tp t="e">
        <v>#N/A</v>
        <stp/>
        <stp>BDH|7558940084733136837</stp>
        <tr r="Z122" s="39"/>
      </tp>
      <tp t="e">
        <v>#N/A</v>
        <stp/>
        <stp>BDH|9857056419537687257</stp>
        <tr r="S88" s="32"/>
      </tp>
      <tp t="e">
        <v>#N/A</v>
        <stp/>
        <stp>BDH|8999454159055257101</stp>
        <tr r="Z75" s="32"/>
      </tp>
      <tp t="e">
        <v>#N/A</v>
        <stp/>
        <stp>BDH|4683957574695634261</stp>
        <tr r="AB43" s="32"/>
      </tp>
      <tp t="e">
        <v>#N/A</v>
        <stp/>
        <stp>BDH|3412344610948117460</stp>
        <tr r="U93" s="32"/>
      </tp>
      <tp t="e">
        <v>#N/A</v>
        <stp/>
        <stp>BDH|1977585764998209707</stp>
        <tr r="Y156" s="39"/>
      </tp>
      <tp t="e">
        <v>#N/A</v>
        <stp/>
        <stp>BDH|3788348295331148537</stp>
        <tr r="T71" s="32"/>
      </tp>
      <tp t="e">
        <v>#N/A</v>
        <stp/>
        <stp>BDH|2153145637335633803</stp>
        <tr r="S28" s="22"/>
      </tp>
      <tp t="e">
        <v>#N/A</v>
        <stp/>
        <stp>BDH|6929555896780734794</stp>
        <tr r="AC82" s="32"/>
      </tp>
      <tp t="e">
        <v>#N/A</v>
        <stp/>
        <stp>BDH|8883528510475945479</stp>
        <tr r="U45" s="32"/>
      </tp>
      <tp t="e">
        <v>#N/A</v>
        <stp/>
        <stp>BDH|1529888306587852372</stp>
        <tr r="U100" s="32"/>
      </tp>
      <tp t="e">
        <v>#N/A</v>
        <stp/>
        <stp>BDH|5087806603953427338</stp>
        <tr r="Q190" s="39"/>
      </tp>
      <tp t="e">
        <v>#N/A</v>
        <stp/>
        <stp>BDH|8138383492726685993</stp>
        <tr r="N31" s="37"/>
      </tp>
      <tp t="e">
        <v>#N/A</v>
        <stp/>
        <stp>BDH|2488912073504222503</stp>
        <tr r="Z117" s="39"/>
      </tp>
      <tp t="e">
        <v>#N/A</v>
        <stp/>
        <stp>BDH|5280309086056219531</stp>
        <tr r="Z60" s="32"/>
      </tp>
      <tp t="e">
        <v>#N/A</v>
        <stp/>
        <stp>BDH|3785819176168127942</stp>
        <tr r="T25" s="36"/>
      </tp>
      <tp t="e">
        <v>#N/A</v>
        <stp/>
        <stp>BDH|9380119159075602583</stp>
        <tr r="R45" s="32"/>
      </tp>
      <tp t="e">
        <v>#N/A</v>
        <stp/>
        <stp>BDH|4113410137978189632</stp>
        <tr r="Z139" s="39"/>
      </tp>
      <tp t="e">
        <v>#N/A</v>
        <stp/>
        <stp>BDH|1738642521419025175</stp>
        <tr r="F21" s="34"/>
      </tp>
      <tp t="e">
        <v>#N/A</v>
        <stp/>
        <stp>BDH|9838880364638614271</stp>
        <tr r="AB67" s="32"/>
      </tp>
      <tp t="e">
        <v>#N/A</v>
        <stp/>
        <stp>BDH|6870293224443038806</stp>
        <tr r="I18" s="35"/>
      </tp>
      <tp t="e">
        <v>#N/A</v>
        <stp/>
        <stp>BDH|7742597008448435773</stp>
        <tr r="AC79" s="32"/>
      </tp>
      <tp t="e">
        <v>#N/A</v>
        <stp/>
        <stp>BDH|7103248391863545242</stp>
        <tr r="Q184" s="39"/>
      </tp>
      <tp t="e">
        <v>#N/A</v>
        <stp/>
        <stp>BDH|2677843740706390541</stp>
        <tr r="W131" s="39"/>
      </tp>
      <tp t="e">
        <v>#N/A</v>
        <stp/>
        <stp>BDH|9733330935893629723</stp>
        <tr r="X132" s="39"/>
      </tp>
      <tp t="e">
        <v>#N/A</v>
        <stp/>
        <stp>BDH|18435784805985901</stp>
        <tr r="W26" s="22"/>
      </tp>
      <tp t="e">
        <v>#N/A</v>
        <stp/>
        <stp>BDH|37320628038316901</stp>
        <tr r="R43" s="32"/>
      </tp>
      <tp t="e">
        <v>#N/A</v>
        <stp/>
        <stp>BDH|7524852144403841661</stp>
        <tr r="AD85" s="32"/>
      </tp>
      <tp t="e">
        <v>#N/A</v>
        <stp/>
        <stp>BDH|4162911136085516590</stp>
        <tr r="F18" s="35"/>
      </tp>
      <tp t="e">
        <v>#N/A</v>
        <stp/>
        <stp>BDH|9694283596348627440</stp>
        <tr r="AC29" s="32"/>
      </tp>
      <tp t="e">
        <v>#N/A</v>
        <stp/>
        <stp>BDH|2688900002902787792</stp>
        <tr r="O29" s="36"/>
      </tp>
      <tp t="e">
        <v>#N/A</v>
        <stp/>
        <stp>BDH|2419888147577555744</stp>
        <tr r="E31" s="36"/>
      </tp>
      <tp t="e">
        <v>#N/A</v>
        <stp/>
        <stp>BDH|8626796147823097630</stp>
        <tr r="W30" s="32"/>
      </tp>
      <tp t="e">
        <v>#N/A</v>
        <stp/>
        <stp>BDH|4557605878299271242</stp>
        <tr r="AA127" s="39"/>
      </tp>
      <tp t="e">
        <v>#N/A</v>
        <stp/>
        <stp>BDH|4544673603385866925</stp>
        <tr r="U161" s="39"/>
      </tp>
      <tp t="e">
        <v>#N/A</v>
        <stp/>
        <stp>BDH|1712585825131057917</stp>
        <tr r="W144" s="39"/>
      </tp>
      <tp t="e">
        <v>#N/A</v>
        <stp/>
        <stp>BDH|8822318331360076637</stp>
        <tr r="AA25" s="36"/>
      </tp>
      <tp t="e">
        <v>#N/A</v>
        <stp/>
        <stp>BDH|6212848551273936655</stp>
        <tr r="V73" s="32"/>
      </tp>
      <tp t="e">
        <v>#N/A</v>
        <stp/>
        <stp>BDH|9143258582248543586</stp>
        <tr r="R160" s="39"/>
      </tp>
      <tp t="e">
        <v>#N/A</v>
        <stp/>
        <stp>BDH|5334337146155756994</stp>
        <tr r="I25" s="34"/>
      </tp>
      <tp t="e">
        <v>#N/A</v>
        <stp/>
        <stp>BDH|2314236981147861118</stp>
        <tr r="E28" s="35"/>
      </tp>
      <tp t="e">
        <v>#N/A</v>
        <stp/>
        <stp>BDH|1054433580400885331</stp>
        <tr r="M31" s="38"/>
      </tp>
      <tp t="e">
        <v>#N/A</v>
        <stp/>
        <stp>BDH|7010886301827145606</stp>
        <tr r="AB175" s="39"/>
        <tr r="AC175" s="39"/>
      </tp>
      <tp t="e">
        <v>#N/A</v>
        <stp/>
        <stp>BDH|4669066089344559656</stp>
        <tr r="Y5" s="32"/>
      </tp>
      <tp t="e">
        <v>#N/A</v>
        <stp/>
        <stp>BDH|9473912602516976875</stp>
        <tr r="Z57" s="32"/>
      </tp>
      <tp t="e">
        <v>#N/A</v>
        <stp/>
        <stp>BDH|8769065659287679474</stp>
        <tr r="D28" s="35"/>
      </tp>
      <tp t="e">
        <v>#N/A</v>
        <stp/>
        <stp>BDH|9028509668582062610</stp>
        <tr r="I27" s="35"/>
      </tp>
      <tp t="e">
        <v>#N/A</v>
        <stp/>
        <stp>BDH|6948602245558606238</stp>
        <tr r="AG31" s="36"/>
      </tp>
      <tp t="e">
        <v>#N/A</v>
        <stp/>
        <stp>BDH|9575362536230459788</stp>
        <tr r="P26" s="34"/>
      </tp>
      <tp t="e">
        <v>#N/A</v>
        <stp/>
        <stp>BDH|5116525228579011552</stp>
        <tr r="X63" s="32"/>
      </tp>
      <tp t="e">
        <v>#N/A</v>
        <stp/>
        <stp>BDH|8604243628025543312</stp>
        <tr r="Z20" s="32"/>
      </tp>
      <tp t="e">
        <v>#N/A</v>
        <stp/>
        <stp>BDH|5528633559461799968</stp>
        <tr r="R144" s="39"/>
      </tp>
      <tp t="e">
        <v>#N/A</v>
        <stp/>
        <stp>BDH|7600268015959361380</stp>
        <tr r="W211" s="39"/>
      </tp>
      <tp t="e">
        <v>#N/A</v>
        <stp/>
        <stp>BDH|4860834702855349746</stp>
        <tr r="I28" s="36"/>
      </tp>
      <tp t="e">
        <v>#N/A</v>
        <stp/>
        <stp>BDH|7572913156767409288</stp>
        <tr r="C23" s="22"/>
      </tp>
      <tp t="e">
        <v>#N/A</v>
        <stp/>
        <stp>BDH|5635988959761970600</stp>
        <tr r="I30" s="36"/>
      </tp>
      <tp t="e">
        <v>#N/A</v>
        <stp/>
        <stp>BDH|6401959601193855266</stp>
        <tr r="R70" s="32"/>
      </tp>
      <tp t="e">
        <v>#N/A</v>
        <stp/>
        <stp>BDH|9922762204664691435</stp>
        <tr r="R30" s="32"/>
      </tp>
      <tp t="e">
        <v>#N/A</v>
        <stp/>
        <stp>BDH|7497003948489154437</stp>
        <tr r="S132" s="39"/>
      </tp>
      <tp t="e">
        <v>#N/A</v>
        <stp/>
        <stp>BDH|8701607918410762177</stp>
        <tr r="X48" s="32"/>
      </tp>
      <tp t="e">
        <v>#N/A</v>
        <stp/>
        <stp>BDH|9947311340028056876</stp>
        <tr r="V18" s="22"/>
      </tp>
      <tp t="e">
        <v>#N/A</v>
        <stp/>
        <stp>BDH|8500470158990635733</stp>
        <tr r="Q22" s="22"/>
      </tp>
      <tp t="e">
        <v>#N/A</v>
        <stp/>
        <stp>BDH|2321505628972213967</stp>
        <tr r="X134" s="39"/>
      </tp>
      <tp t="e">
        <v>#N/A</v>
        <stp/>
        <stp>BDH|6490955172786786083</stp>
        <tr r="C23" s="24"/>
      </tp>
      <tp t="e">
        <v>#N/A</v>
        <stp/>
        <stp>BDH|9059576861107306396</stp>
        <tr r="S141" s="39"/>
      </tp>
      <tp t="e">
        <v>#N/A</v>
        <stp/>
        <stp>BDH|4855935343603109452</stp>
        <tr r="S167" s="39"/>
      </tp>
      <tp t="e">
        <v>#N/A</v>
        <stp/>
        <stp>BDH|9661414748207458073</stp>
        <tr r="W168" s="39"/>
      </tp>
      <tp t="e">
        <v>#N/A</v>
        <stp/>
        <stp>BDH|3991936644086164633</stp>
        <tr r="H23" s="35"/>
      </tp>
      <tp t="e">
        <v>#N/A</v>
        <stp/>
        <stp>BDH|4098596316277494979</stp>
        <tr r="S134" s="39"/>
      </tp>
      <tp t="e">
        <v>#N/A</v>
        <stp/>
        <stp>BDH|6958869719797943630</stp>
        <tr r="AA32" s="32"/>
      </tp>
      <tp t="e">
        <v>#N/A</v>
        <stp/>
        <stp>BDH|5723238883113828236</stp>
        <tr r="L28" s="37"/>
      </tp>
      <tp t="e">
        <v>#N/A</v>
        <stp/>
        <stp>BDH|8722469832000819175</stp>
        <tr r="R20" s="35"/>
      </tp>
      <tp t="e">
        <v>#N/A</v>
        <stp/>
        <stp>BDH|8784786448813342693</stp>
        <tr r="X164" s="39"/>
      </tp>
      <tp t="e">
        <v>#N/A</v>
        <stp/>
        <stp>BDH|7570853747071370491</stp>
        <tr r="X128" s="39"/>
      </tp>
      <tp t="e">
        <v>#N/A</v>
        <stp/>
        <stp>BDH|6620902362487868010</stp>
        <tr r="S35" s="36"/>
      </tp>
      <tp t="e">
        <v>#N/A</v>
        <stp/>
        <stp>BDH|1981908914490848785</stp>
        <tr r="G29" s="38"/>
      </tp>
      <tp t="e">
        <v>#N/A</v>
        <stp/>
        <stp>BDH|8739762764866885109</stp>
        <tr r="AE37" s="36"/>
      </tp>
      <tp t="e">
        <v>#N/A</v>
        <stp/>
        <stp>BDH|8501716348536793367</stp>
        <tr r="Y77" s="32"/>
      </tp>
      <tp t="e">
        <v>#N/A</v>
        <stp/>
        <stp>BDH|7290161360918095697</stp>
        <tr r="R169" s="39"/>
      </tp>
      <tp t="e">
        <v>#N/A</v>
        <stp/>
        <stp>BDH|4207332174167053989</stp>
        <tr r="Y24" s="35"/>
      </tp>
      <tp t="e">
        <v>#N/A</v>
        <stp/>
        <stp>BDH|7252417083536516376</stp>
        <tr r="AB208" s="39"/>
        <tr r="AC208" s="39"/>
      </tp>
      <tp t="e">
        <v>#N/A</v>
        <stp/>
        <stp>BDH|1120805772429545942</stp>
        <tr r="K25" s="22"/>
      </tp>
      <tp t="e">
        <v>#N/A</v>
        <stp/>
        <stp>BDH|7219926925270228252</stp>
        <tr r="G31" s="38"/>
      </tp>
      <tp t="e">
        <v>#N/A</v>
        <stp/>
        <stp>BDH|3933488363557419849</stp>
        <tr r="Y142" s="39"/>
      </tp>
      <tp t="e">
        <v>#N/A</v>
        <stp/>
        <stp>BDH|6326350155868275634</stp>
        <tr r="X137" s="39"/>
      </tp>
      <tp t="e">
        <v>#N/A</v>
        <stp/>
        <stp>BDH|6090759624244040939</stp>
        <tr r="Z192" s="39"/>
      </tp>
      <tp t="e">
        <v>#N/A</v>
        <stp/>
        <stp>BDH|2423827185595976988</stp>
        <tr r="AA47" s="32"/>
      </tp>
      <tp t="e">
        <v>#N/A</v>
        <stp/>
        <stp>BDH|3925119866439442385</stp>
        <tr r="V152" s="39"/>
      </tp>
      <tp t="e">
        <v>#N/A</v>
        <stp/>
        <stp>BDH|4352202772528244705</stp>
        <tr r="C27" s="38"/>
      </tp>
      <tp t="e">
        <v>#N/A</v>
        <stp/>
        <stp>BDH|4313829564307791317</stp>
        <tr r="AA49" s="38"/>
        <tr r="AA49" s="37"/>
      </tp>
      <tp t="e">
        <v>#N/A</v>
        <stp/>
        <stp>BDH|5853965509312130054</stp>
        <tr r="AD25" s="36"/>
      </tp>
      <tp t="e">
        <v>#N/A</v>
        <stp/>
        <stp>BDH|7015842344355201014</stp>
        <tr r="T36" s="36"/>
      </tp>
      <tp t="e">
        <v>#N/A</v>
        <stp/>
        <stp>BDH|4425398929909110264</stp>
        <tr r="AB65" s="32"/>
      </tp>
      <tp t="e">
        <v>#N/A</v>
        <stp/>
        <stp>BDH|4755827620660454028</stp>
        <tr r="Y46" s="32"/>
      </tp>
      <tp t="e">
        <v>#N/A</v>
        <stp/>
        <stp>BDH|8289078367646264639</stp>
        <tr r="J30" s="38"/>
      </tp>
      <tp t="e">
        <v>#N/A</v>
        <stp/>
        <stp>BDH|4425595446828851300</stp>
        <tr r="D36" s="37"/>
      </tp>
      <tp t="e">
        <v>#N/A</v>
        <stp/>
        <stp>BDH|4666908431793573314</stp>
        <tr r="W174" s="39"/>
      </tp>
      <tp t="e">
        <v>#N/A</v>
        <stp/>
        <stp>BDH|3986407374428846663</stp>
        <tr r="R196" s="39"/>
      </tp>
      <tp t="e">
        <v>#N/A</v>
        <stp/>
        <stp>BDH|5319955462552785639</stp>
        <tr r="Z134" s="39"/>
      </tp>
      <tp t="e">
        <v>#N/A</v>
        <stp/>
        <stp>BDH|1211449513532072859</stp>
        <tr r="Z53" s="32"/>
      </tp>
      <tp t="e">
        <v>#N/A</v>
        <stp/>
        <stp>BDH|7742095151344990869</stp>
        <tr r="X156" s="39"/>
      </tp>
      <tp t="e">
        <v>#N/A</v>
        <stp/>
        <stp>BDH|1822210108584827997</stp>
        <tr r="S78" s="32"/>
      </tp>
      <tp t="e">
        <v>#N/A</v>
        <stp/>
        <stp>BDH|5634368637959359240</stp>
        <tr r="T171" s="39"/>
      </tp>
      <tp t="e">
        <v>#N/A</v>
        <stp/>
        <stp>BDH|4459802038051400081</stp>
        <tr r="I35" s="36"/>
      </tp>
      <tp t="e">
        <v>#N/A</v>
        <stp/>
        <stp>BDH|3184502860788023616</stp>
        <tr r="Y208" s="39"/>
      </tp>
      <tp t="e">
        <v>#N/A</v>
        <stp/>
        <stp>BDH|9885358321385883340</stp>
        <tr r="T51" s="32"/>
      </tp>
      <tp t="e">
        <v>#N/A</v>
        <stp/>
        <stp>BDH|4147545604868139701</stp>
        <tr r="M35" s="37"/>
      </tp>
      <tp t="e">
        <v>#N/A</v>
        <stp/>
        <stp>BDH|8288794363662848501</stp>
        <tr r="U30" s="36"/>
      </tp>
      <tp t="e">
        <v>#N/A</v>
        <stp/>
        <stp>BDH|5510321798217699688</stp>
        <tr r="X153" s="39"/>
      </tp>
      <tp t="e">
        <v>#N/A</v>
        <stp/>
        <stp>BDH|5211311496448047942</stp>
        <tr r="R27" s="34"/>
      </tp>
      <tp t="e">
        <v>#N/A</v>
        <stp/>
        <stp>BDH|7878726445492968877</stp>
        <tr r="S82" s="32"/>
      </tp>
      <tp t="e">
        <v>#N/A</v>
        <stp/>
        <stp>BDH|8020674503911742122</stp>
        <tr r="X56" s="32"/>
      </tp>
      <tp t="e">
        <v>#N/A</v>
        <stp/>
        <stp>BDH|8093187069734598559</stp>
        <tr r="W60" s="32"/>
      </tp>
      <tp t="e">
        <v>#N/A</v>
        <stp/>
        <stp>BDH|3753738989573915151</stp>
        <tr r="AM31" s="36"/>
      </tp>
      <tp t="e">
        <v>#N/A</v>
        <stp/>
        <stp>BDH|3591438096055794563</stp>
        <tr r="X211" s="39"/>
      </tp>
      <tp t="e">
        <v>#N/A</v>
        <stp/>
        <stp>BDH|1361003883794899397</stp>
        <tr r="Y80" s="32"/>
      </tp>
      <tp t="e">
        <v>#N/A</v>
        <stp/>
        <stp>BDH|7436983508736479660</stp>
        <tr r="W40" s="32"/>
      </tp>
      <tp t="e">
        <v>#N/A</v>
        <stp/>
        <stp>BDH|5113115885262310002</stp>
        <tr r="F28" s="24"/>
      </tp>
      <tp t="e">
        <v>#N/A</v>
        <stp/>
        <stp>BDH|9599878120668533511</stp>
        <tr r="E35" s="38"/>
      </tp>
      <tp t="e">
        <v>#N/A</v>
        <stp/>
        <stp>BDH|2968683801519738316</stp>
        <tr r="U71" s="32"/>
      </tp>
      <tp t="e">
        <v>#N/A</v>
        <stp/>
        <stp>BDH|9644655060625465217</stp>
        <tr r="AA113" s="39"/>
      </tp>
      <tp t="e">
        <v>#N/A</v>
        <stp/>
        <stp>BDH|3338847053428621849</stp>
        <tr r="J30" s="24"/>
      </tp>
      <tp t="e">
        <v>#N/A</v>
        <stp/>
        <stp>BDH|1627292206469911468</stp>
        <tr r="Z101" s="32"/>
      </tp>
      <tp t="e">
        <v>#N/A</v>
        <stp/>
        <stp>BDH|8997310999145355941</stp>
        <tr r="J28" s="37"/>
      </tp>
      <tp t="e">
        <v>#N/A</v>
        <stp/>
        <stp>BDH|3817539278767121858</stp>
        <tr r="L28" s="35"/>
      </tp>
      <tp t="e">
        <v>#N/A</v>
        <stp/>
        <stp>BDH|3973774521338919014</stp>
        <tr r="G33" s="38"/>
      </tp>
      <tp t="e">
        <v>#N/A</v>
        <stp/>
        <stp>BDH|6945496197295867082</stp>
        <tr r="U29" s="22"/>
      </tp>
      <tp t="e">
        <v>#N/A</v>
        <stp/>
        <stp>BDH|3899142454038954169</stp>
        <tr r="G18" s="34"/>
      </tp>
      <tp t="e">
        <v>#N/A</v>
        <stp/>
        <stp>BDH|2140690376134053996</stp>
        <tr r="AC27" s="36"/>
      </tp>
      <tp t="e">
        <v>#N/A</v>
        <stp/>
        <stp>BDH|7733906217696542721</stp>
        <tr r="U4" s="32"/>
      </tp>
      <tp t="e">
        <v>#N/A</v>
        <stp/>
        <stp>BDH|5580366249344551887</stp>
        <tr r="AM32" s="36"/>
      </tp>
      <tp t="e">
        <v>#N/A</v>
        <stp/>
        <stp>BDH|6031849732614947787</stp>
        <tr r="E24" s="36"/>
      </tp>
      <tp t="e">
        <v>#N/A</v>
        <stp/>
        <stp>BDH|8330364472293444170</stp>
        <tr r="T188" s="39"/>
      </tp>
      <tp t="e">
        <v>#N/A</v>
        <stp/>
        <stp>BDH|6033317801519264267</stp>
        <tr r="Z5" s="32"/>
      </tp>
      <tp t="e">
        <v>#N/A</v>
        <stp/>
        <stp>BDH|7134378385262137061</stp>
        <tr r="AH32" s="36"/>
      </tp>
      <tp t="e">
        <v>#N/A</v>
        <stp/>
        <stp>BDH|1009101492272297544</stp>
        <tr r="S23" s="32"/>
      </tp>
      <tp t="e">
        <v>#N/A</v>
        <stp/>
        <stp>BDH|9198931128959877568</stp>
        <tr r="Y55" s="32"/>
      </tp>
      <tp t="e">
        <v>#N/A</v>
        <stp/>
        <stp>BDH|8220023911096185158</stp>
        <tr r="Z172" s="39"/>
      </tp>
      <tp t="e">
        <v>#N/A</v>
        <stp/>
        <stp>BDH|7268142300098525067</stp>
        <tr r="J24" s="24"/>
      </tp>
      <tp t="e">
        <v>#N/A</v>
        <stp/>
        <stp>BDH|2326046807404032853</stp>
        <tr r="AC86" s="32"/>
      </tp>
      <tp t="e">
        <v>#N/A</v>
        <stp/>
        <stp>BDH|2418913487214225952</stp>
        <tr r="W114" s="39"/>
      </tp>
      <tp t="e">
        <v>#N/A</v>
        <stp/>
        <stp>BDH|1827994818002879543</stp>
        <tr r="AG34" s="36"/>
      </tp>
      <tp t="e">
        <v>#N/A</v>
        <stp/>
        <stp>BDH|4768831482372269810</stp>
        <tr r="S42" s="32"/>
      </tp>
      <tp t="e">
        <v>#N/A</v>
        <stp/>
        <stp>BDH|3703136021517732975</stp>
        <tr r="X3" s="32"/>
      </tp>
      <tp t="e">
        <v>#N/A</v>
        <stp/>
        <stp>BDH|3953194923009778713</stp>
        <tr r="T28" s="22"/>
      </tp>
      <tp t="e">
        <v>#N/A</v>
        <stp/>
        <stp>BDH|6768493767463810944</stp>
        <tr r="U129" s="39"/>
      </tp>
      <tp t="e">
        <v>#N/A</v>
        <stp/>
        <stp>BDH|9139802694953645560</stp>
        <tr r="W182" s="39"/>
      </tp>
      <tp t="e">
        <v>#N/A</v>
        <stp/>
        <stp>BDH|65816932120108858</stp>
        <tr r="T161" s="39"/>
      </tp>
      <tp t="e">
        <v>#N/A</v>
        <stp/>
        <stp>BDH|46411034051081565</stp>
        <tr r="N33" s="38"/>
      </tp>
      <tp t="e">
        <v>#N/A</v>
        <stp/>
        <stp>BDH|33590556396968576</stp>
        <tr r="H34" s="37"/>
      </tp>
      <tp t="e">
        <v>#N/A</v>
        <stp/>
        <stp>BDH|7382945034135164789</stp>
        <tr r="V150" s="39"/>
      </tp>
      <tp t="e">
        <v>#N/A</v>
        <stp/>
        <stp>BDH|2151587987195372576</stp>
        <tr r="M34" s="38"/>
      </tp>
      <tp t="e">
        <v>#N/A</v>
        <stp/>
        <stp>BDH|3875833944192671235</stp>
        <tr r="AB25" s="36"/>
      </tp>
      <tp t="e">
        <v>#N/A</v>
        <stp/>
        <stp>BDH|2252800050765832508</stp>
        <tr r="Y135" s="39"/>
      </tp>
      <tp t="e">
        <v>#N/A</v>
        <stp/>
        <stp>BDH|6364154183210683091</stp>
        <tr r="S37" s="32"/>
      </tp>
      <tp t="e">
        <v>#N/A</v>
        <stp/>
        <stp>BDH|7703173328769207216</stp>
        <tr r="G31" s="37"/>
      </tp>
      <tp t="e">
        <v>#N/A</v>
        <stp/>
        <stp>BDH|2623417885471939007</stp>
        <tr r="AA82" s="32"/>
      </tp>
      <tp t="e">
        <v>#N/A</v>
        <stp/>
        <stp>BDH|6103155585239880925</stp>
        <tr r="AA204" s="39"/>
      </tp>
      <tp t="e">
        <v>#N/A</v>
        <stp/>
        <stp>BDH|9287092914756001140</stp>
        <tr r="AB219" s="39"/>
        <tr r="AC219" s="39"/>
      </tp>
      <tp t="e">
        <v>#N/A</v>
        <stp/>
        <stp>BDH|6302828644632780799</stp>
        <tr r="W42" s="32"/>
      </tp>
      <tp t="e">
        <v>#N/A</v>
        <stp/>
        <stp>BDH|7639687390316334155</stp>
        <tr r="C25" s="22"/>
      </tp>
      <tp t="e">
        <v>#N/A</v>
        <stp/>
        <stp>BDH|9974311842652148334</stp>
        <tr r="N24" s="36"/>
      </tp>
      <tp t="e">
        <v>#N/A</v>
        <stp/>
        <stp>BDH|8817857824518255535</stp>
        <tr r="U86" s="32"/>
      </tp>
      <tp t="e">
        <v>#N/A</v>
        <stp/>
        <stp>BDH|3991347193704383255</stp>
        <tr r="AA129" s="39"/>
      </tp>
      <tp t="e">
        <v>#N/A</v>
        <stp/>
        <stp>BDH|7677096995830682145</stp>
        <tr r="X34" s="36"/>
      </tp>
      <tp t="e">
        <v>#N/A</v>
        <stp/>
        <stp>BDH|9688618365894296287</stp>
        <tr r="S71" s="32"/>
      </tp>
      <tp t="e">
        <v>#N/A</v>
        <stp/>
        <stp>BDH|8252070748365281677</stp>
        <tr r="B19" s="34"/>
      </tp>
      <tp t="e">
        <v>#N/A</v>
        <stp/>
        <stp>BDH|1937363777179004309</stp>
        <tr r="T129" s="39"/>
      </tp>
      <tp t="e">
        <v>#N/A</v>
        <stp/>
        <stp>BDH|1921973524582281704</stp>
        <tr r="U188" s="39"/>
      </tp>
      <tp t="e">
        <v>#N/A</v>
        <stp/>
        <stp>BDH|4661579298515339222</stp>
        <tr r="S28" s="32"/>
      </tp>
      <tp t="e">
        <v>#N/A</v>
        <stp/>
        <stp>BDH|6482327186942115086</stp>
        <tr r="AA72" s="32"/>
      </tp>
      <tp t="e">
        <v>#N/A</v>
        <stp/>
        <stp>BDH|9011212618074541155</stp>
        <tr r="Q121" s="39"/>
      </tp>
      <tp t="e">
        <v>#N/A</v>
        <stp/>
        <stp>BDH|8906796938060514343</stp>
        <tr r="AA48" s="32"/>
      </tp>
      <tp t="e">
        <v>#N/A</v>
        <stp/>
        <stp>BDH|4064073257787860913</stp>
        <tr r="X77" s="32"/>
      </tp>
      <tp t="e">
        <v>#N/A</v>
        <stp/>
        <stp>BDH|5332336495368942859</stp>
        <tr r="U182" s="39"/>
      </tp>
      <tp t="e">
        <v>#N/A</v>
        <stp/>
        <stp>BDH|4039921266956914241</stp>
        <tr r="K37" s="38"/>
      </tp>
      <tp t="e">
        <v>#N/A</v>
        <stp/>
        <stp>BDH|6448002724893856816</stp>
        <tr r="W31" s="32"/>
      </tp>
      <tp t="e">
        <v>#N/A</v>
        <stp/>
        <stp>BDH|9105406165683554788</stp>
        <tr r="AD91" s="32"/>
      </tp>
      <tp t="e">
        <v>#N/A</v>
        <stp/>
        <stp>BDH|9090826709368071624</stp>
        <tr r="W29" s="32"/>
      </tp>
      <tp t="e">
        <v>#N/A</v>
        <stp/>
        <stp>BDH|9953668631714016774</stp>
        <tr r="R119" s="39"/>
      </tp>
      <tp t="e">
        <v>#N/A</v>
        <stp/>
        <stp>BDH|1304015363028923067</stp>
        <tr r="T18" s="22"/>
      </tp>
      <tp t="e">
        <v>#N/A</v>
        <stp/>
        <stp>BDH|6702773279320154966</stp>
        <tr r="D26" s="35"/>
      </tp>
      <tp t="e">
        <v>#N/A</v>
        <stp/>
        <stp>BDH|8178645142693068690</stp>
        <tr r="J34" s="36"/>
      </tp>
      <tp t="e">
        <v>#N/A</v>
        <stp/>
        <stp>BDH|8428966983193824572</stp>
        <tr r="T25" s="34"/>
      </tp>
      <tp t="e">
        <v>#N/A</v>
        <stp/>
        <stp>BDH|8324306219061044444</stp>
        <tr r="V147" s="39"/>
      </tp>
      <tp t="e">
        <v>#N/A</v>
        <stp/>
        <stp>BDH|2867582257288861514</stp>
        <tr r="AB18" s="22"/>
      </tp>
      <tp t="e">
        <v>#N/A</v>
        <stp/>
        <stp>BDH|4154312484492346293</stp>
        <tr r="M18" s="34"/>
      </tp>
      <tp t="e">
        <v>#N/A</v>
        <stp/>
        <stp>BDH|7755593090192418641</stp>
        <tr r="C6" s="29"/>
      </tp>
      <tp t="e">
        <v>#N/A</v>
        <stp/>
        <stp>BDH|7597460799263459608</stp>
        <tr r="L25" s="35"/>
      </tp>
      <tp t="e">
        <v>#N/A</v>
        <stp/>
        <stp>BDH|1210990821865175058</stp>
        <tr r="W99" s="32"/>
      </tp>
      <tp t="e">
        <v>#N/A</v>
        <stp/>
        <stp>BDH|9704955598523191550</stp>
        <tr r="AA27" s="32"/>
      </tp>
      <tp t="e">
        <v>#N/A</v>
        <stp/>
        <stp>BDH|8867579007993289143</stp>
        <tr r="W68" s="32"/>
      </tp>
      <tp t="e">
        <v>#N/A</v>
        <stp/>
        <stp>BDH|3507075750721973859</stp>
        <tr r="T217" s="39"/>
      </tp>
      <tp t="e">
        <v>#N/A</v>
        <stp/>
        <stp>BDH|6395953808288639864</stp>
        <tr r="V42" s="32"/>
      </tp>
      <tp t="e">
        <v>#N/A</v>
        <stp/>
        <stp>BDH|6906021411581563903</stp>
        <tr r="T28" s="36"/>
      </tp>
      <tp t="e">
        <v>#N/A</v>
        <stp/>
        <stp>BDH|5125332929528043341</stp>
        <tr r="R168" s="39"/>
      </tp>
      <tp t="e">
        <v>#N/A</v>
        <stp/>
        <stp>BDH|3816695803828893255</stp>
        <tr r="T78" s="32"/>
      </tp>
      <tp t="e">
        <v>#N/A</v>
        <stp/>
        <stp>BDH|4422062979304151855</stp>
        <tr r="W158" s="39"/>
      </tp>
      <tp t="e">
        <v>#N/A</v>
        <stp/>
        <stp>BDH|1872068605689487703</stp>
        <tr r="C34" s="38"/>
      </tp>
      <tp t="e">
        <v>#N/A</v>
        <stp/>
        <stp>BDH|9905985298475669302</stp>
        <tr r="T22" s="22"/>
      </tp>
      <tp t="e">
        <v>#N/A</v>
        <stp/>
        <stp>BDH|9660814990546079184</stp>
        <tr r="G28" s="22"/>
      </tp>
      <tp t="e">
        <v>#N/A</v>
        <stp/>
        <stp>BDH|2511528003811337986</stp>
        <tr r="AL29" s="36"/>
      </tp>
      <tp t="e">
        <v>#N/A</v>
        <stp/>
        <stp>BDH|5690569789414002362</stp>
        <tr r="X24" s="32"/>
      </tp>
      <tp t="e">
        <v>#N/A</v>
        <stp/>
        <stp>BDH|3161323168661495802</stp>
        <tr r="X38" s="32"/>
      </tp>
      <tp t="e">
        <v>#N/A</v>
        <stp/>
        <stp>BDH|4876633624547933899</stp>
        <tr r="Z76" s="32"/>
      </tp>
      <tp t="e">
        <v>#N/A</v>
        <stp/>
        <stp>BDH|5642401143388356299</stp>
        <tr r="AA176" s="39"/>
      </tp>
      <tp t="e">
        <v>#N/A</v>
        <stp/>
        <stp>BDH|3748438832142091999</stp>
        <tr r="P28" s="34"/>
      </tp>
      <tp t="e">
        <v>#N/A</v>
        <stp/>
        <stp>BDH|9023629566337262190</stp>
        <tr r="D35" s="38"/>
      </tp>
      <tp t="e">
        <v>#N/A</v>
        <stp/>
        <stp>BDH|5925453880392829486</stp>
        <tr r="D32" s="38"/>
      </tp>
      <tp t="e">
        <v>#N/A</v>
        <stp/>
        <stp>BDH|5495169442689583697</stp>
        <tr r="X99" s="32"/>
      </tp>
      <tp t="e">
        <v>#N/A</v>
        <stp/>
        <stp>BDH|6009737738355536837</stp>
        <tr r="Z107" s="32"/>
      </tp>
      <tp t="e">
        <v>#N/A</v>
        <stp/>
        <stp>BDH|9205192855043064134</stp>
        <tr r="X76" s="32"/>
      </tp>
      <tp t="e">
        <v>#N/A</v>
        <stp/>
        <stp>BDH|6828426467099560251</stp>
        <tr r="E25" s="36"/>
      </tp>
      <tp t="e">
        <v>#N/A</v>
        <stp/>
        <stp>BDH|7772846541924884073</stp>
        <tr r="U195" s="39"/>
      </tp>
      <tp t="e">
        <v>#N/A</v>
        <stp/>
        <stp>BDH|2884127496242198706</stp>
        <tr r="D28" s="38"/>
      </tp>
      <tp t="e">
        <v>#N/A</v>
        <stp/>
        <stp>BDH|8040829693875513390</stp>
        <tr r="W106" s="32"/>
      </tp>
      <tp t="e">
        <v>#N/A</v>
        <stp/>
        <stp>BDH|6583976792888455195</stp>
        <tr r="Y32" s="32"/>
      </tp>
      <tp t="e">
        <v>#N/A</v>
        <stp/>
        <stp>BDH|8224888044052448976</stp>
        <tr r="R126" s="39"/>
      </tp>
      <tp t="e">
        <v>#N/A</v>
        <stp/>
        <stp>BDH|8960494100980538385</stp>
        <tr r="V23" s="22"/>
      </tp>
      <tp t="e">
        <v>#N/A</v>
        <stp/>
        <stp>BDH|7153323049696946915</stp>
        <tr r="U18" s="22"/>
      </tp>
      <tp t="e">
        <v>#N/A</v>
        <stp/>
        <stp>BDH|1946580369545218880</stp>
        <tr r="O23" s="34"/>
      </tp>
      <tp t="e">
        <v>#N/A</v>
        <stp/>
        <stp>BDH|2441755827750647822</stp>
        <tr r="R46" s="32"/>
      </tp>
      <tp t="e">
        <v>#N/A</v>
        <stp/>
        <stp>BDH|7182236101478212238</stp>
        <tr r="Z31" s="36"/>
      </tp>
      <tp t="e">
        <v>#N/A</v>
        <stp/>
        <stp>BDH|3675584285074867517</stp>
        <tr r="N25" s="22"/>
      </tp>
      <tp t="e">
        <v>#N/A</v>
        <stp/>
        <stp>BDH|9322363272726225471</stp>
        <tr r="M25" s="36"/>
      </tp>
      <tp t="e">
        <v>#N/A</v>
        <stp/>
        <stp>BDH|4448730102204018871</stp>
        <tr r="R149" s="39"/>
      </tp>
      <tp t="e">
        <v>#N/A</v>
        <stp/>
        <stp>BDH|9388626534237745400</stp>
        <tr r="AB47" s="32"/>
      </tp>
      <tp t="e">
        <v>#N/A</v>
        <stp/>
        <stp>BDH|1426954897786224869</stp>
        <tr r="S206" s="39"/>
      </tp>
      <tp t="e">
        <v>#N/A</v>
        <stp/>
        <stp>BDH|2323416923813128823</stp>
        <tr r="H20" s="35"/>
      </tp>
      <tp t="e">
        <v>#N/A</v>
        <stp/>
        <stp>BDH|5664955507935654600</stp>
        <tr r="K23" s="24"/>
      </tp>
      <tp t="e">
        <v>#N/A</v>
        <stp/>
        <stp>BDH|6395252888585832643</stp>
        <tr r="U118" s="39"/>
      </tp>
      <tp t="e">
        <v>#N/A</v>
        <stp/>
        <stp>BDH|5972997056481221768</stp>
        <tr r="AB6" s="32"/>
      </tp>
      <tp t="e">
        <v>#N/A</v>
        <stp/>
        <stp>BDH|2567690298392548021</stp>
        <tr r="AN26" s="36"/>
      </tp>
      <tp t="e">
        <v>#N/A</v>
        <stp/>
        <stp>BDH|9019644147775706172</stp>
        <tr r="L29" s="36"/>
      </tp>
      <tp t="e">
        <v>#N/A</v>
        <stp/>
        <stp>BDH|1430767243039626441</stp>
        <tr r="T102" s="32"/>
      </tp>
      <tp t="e">
        <v>#N/A</v>
        <stp/>
        <stp>BDH|5483405533058326579</stp>
        <tr r="R199" s="39"/>
      </tp>
      <tp t="e">
        <v>#N/A</v>
        <stp/>
        <stp>BDH|9756273739641217687</stp>
        <tr r="AC32" s="32"/>
      </tp>
      <tp t="e">
        <v>#N/A</v>
        <stp/>
        <stp>BDH|4641921439889639886</stp>
        <tr r="S29" s="36"/>
      </tp>
      <tp t="e">
        <v>#N/A</v>
        <stp/>
        <stp>BDH|7963508347079909046</stp>
        <tr r="Z199" s="39"/>
      </tp>
      <tp t="e">
        <v>#N/A</v>
        <stp/>
        <stp>BDH|2512452095460294041</stp>
        <tr r="F20" s="35"/>
      </tp>
      <tp t="e">
        <v>#N/A</v>
        <stp/>
        <stp>BDH|5475826204487832599</stp>
        <tr r="AE30" s="36"/>
      </tp>
      <tp t="e">
        <v>#N/A</v>
        <stp/>
        <stp>BDH|3405952956231198168</stp>
        <tr r="Y197" s="39"/>
      </tp>
      <tp t="e">
        <v>#N/A</v>
        <stp/>
        <stp>BDH|8375311806087000345</stp>
        <tr r="Q143" s="39"/>
      </tp>
      <tp t="e">
        <v>#N/A</v>
        <stp/>
        <stp>BDH|8214944133558206574</stp>
        <tr r="H30" s="35"/>
      </tp>
      <tp t="e">
        <v>#N/A</v>
        <stp/>
        <stp>BDH|9480386299829251574</stp>
        <tr r="Q126" s="39"/>
      </tp>
      <tp t="e">
        <v>#N/A</v>
        <stp/>
        <stp>BDH|2098874321836772115</stp>
        <tr r="AE23" s="36"/>
      </tp>
      <tp t="e">
        <v>#N/A</v>
        <stp/>
        <stp>BDH|3818293581261840783</stp>
        <tr r="F22" s="22"/>
      </tp>
      <tp t="e">
        <v>#N/A</v>
        <stp/>
        <stp>BDH|7985386988063906008</stp>
        <tr r="W165" s="39"/>
      </tp>
      <tp t="e">
        <v>#N/A</v>
        <stp/>
        <stp>BDH|2596626330058632016</stp>
        <tr r="I27" s="38"/>
      </tp>
      <tp t="e">
        <v>#N/A</v>
        <stp/>
        <stp>BDH|1028920653824135604</stp>
        <tr r="I25" s="22"/>
      </tp>
      <tp t="e">
        <v>#N/A</v>
        <stp/>
        <stp>BDH|5900562324045324891</stp>
        <tr r="W214" s="39"/>
      </tp>
      <tp t="e">
        <v>#N/A</v>
        <stp/>
        <stp>BDH|1559952760603956287</stp>
        <tr r="L32" s="36"/>
      </tp>
      <tp t="e">
        <v>#N/A</v>
        <stp/>
        <stp>BDH|3235061316199676457</stp>
        <tr r="U79" s="32"/>
      </tp>
      <tp t="e">
        <v>#N/A</v>
        <stp/>
        <stp>BDH|6286672185996685179</stp>
        <tr r="X29" s="36"/>
      </tp>
      <tp t="e">
        <v>#N/A</v>
        <stp/>
        <stp>BDH|4511888146610889720</stp>
        <tr r="Q139" s="39"/>
      </tp>
      <tp t="e">
        <v>#N/A</v>
        <stp/>
        <stp>BDH|5308006182392542058</stp>
        <tr r="R164" s="39"/>
      </tp>
      <tp t="e">
        <v>#N/A</v>
        <stp/>
        <stp>BDH|6948471177902815804</stp>
        <tr r="R163" s="39"/>
      </tp>
      <tp t="e">
        <v>#N/A</v>
        <stp/>
        <stp>BDH|4948846414263042189</stp>
        <tr r="N27" s="34"/>
      </tp>
      <tp t="e">
        <v>#N/A</v>
        <stp/>
        <stp>BDH|5814774719528885488</stp>
        <tr r="AM37" s="36"/>
      </tp>
      <tp t="e">
        <v>#N/A</v>
        <stp/>
        <stp>BDH|5708382507480932975</stp>
        <tr r="X16" s="32"/>
      </tp>
      <tp t="e">
        <v>#N/A</v>
        <stp/>
        <stp>BDH|5012265379408056797</stp>
        <tr r="R21" s="34"/>
      </tp>
      <tp t="e">
        <v>#N/A</v>
        <stp/>
        <stp>BDH|5759836528191363191</stp>
        <tr r="O24" s="36"/>
      </tp>
      <tp t="e">
        <v>#N/A</v>
        <stp/>
        <stp>BDH|6204525686206967295</stp>
        <tr r="T216" s="39"/>
      </tp>
      <tp t="e">
        <v>#N/A</v>
        <stp/>
        <stp>BDH|1614702372827376918</stp>
        <tr r="Q133" s="39"/>
      </tp>
      <tp t="e">
        <v>#N/A</v>
        <stp/>
        <stp>BDH|7319821875434057328</stp>
        <tr r="X171" s="39"/>
      </tp>
      <tp t="e">
        <v>#N/A</v>
        <stp/>
        <stp>BDH|2812287640822615906</stp>
        <tr r="AC57" s="32"/>
      </tp>
      <tp t="e">
        <v>#N/A</v>
        <stp/>
        <stp>BDH|5237302094914078406</stp>
        <tr r="Z19" s="32"/>
      </tp>
      <tp t="e">
        <v>#N/A</v>
        <stp/>
        <stp>BDH|6363550585317251378</stp>
        <tr r="Z27" s="36"/>
      </tp>
      <tp t="e">
        <v>#N/A</v>
        <stp/>
        <stp>BDH|4941581035028499564</stp>
        <tr r="AB27" s="36"/>
      </tp>
      <tp t="e">
        <v>#N/A</v>
        <stp/>
        <stp>BDH|5654864832348181957</stp>
        <tr r="U139" s="39"/>
      </tp>
      <tp t="e">
        <v>#N/A</v>
        <stp/>
        <stp>BDH|6702930113570740170</stp>
        <tr r="H35" s="36"/>
      </tp>
      <tp t="e">
        <v>#N/A</v>
        <stp/>
        <stp>BDH|6990776877221917879</stp>
        <tr r="AI34" s="36"/>
      </tp>
      <tp t="e">
        <v>#N/A</v>
        <stp/>
        <stp>BDH|2548506513209811095</stp>
        <tr r="AD70" s="32"/>
      </tp>
      <tp t="e">
        <v>#N/A</v>
        <stp/>
        <stp>BDH|6814851618021231105</stp>
        <tr r="Y19" s="35"/>
      </tp>
      <tp t="e">
        <v>#N/A</v>
        <stp/>
        <stp>BDH|3339158378978138289</stp>
        <tr r="G18" s="22"/>
      </tp>
      <tp t="e">
        <v>#N/A</v>
        <stp/>
        <stp>BDH|9789754275000482649</stp>
        <tr r="AN30" s="36"/>
      </tp>
      <tp t="e">
        <v>#N/A</v>
        <stp/>
        <stp>BDH|4355198796017964424</stp>
        <tr r="L36" s="36"/>
      </tp>
      <tp t="e">
        <v>#N/A</v>
        <stp/>
        <stp>BDH|9359809575488007117</stp>
        <tr r="G21" s="34"/>
      </tp>
      <tp t="e">
        <v>#N/A</v>
        <stp/>
        <stp>BDH|6985482691236376241</stp>
        <tr r="Z21" s="35"/>
      </tp>
      <tp t="e">
        <v>#N/A</v>
        <stp/>
        <stp>BDH|7185767499331923700</stp>
        <tr r="Y44" s="32"/>
      </tp>
      <tp t="e">
        <v>#N/A</v>
        <stp/>
        <stp>BDH|5222796164919296295</stp>
        <tr r="F27" s="22"/>
      </tp>
      <tp t="e">
        <v>#N/A</v>
        <stp/>
        <stp>BDH|5545579584856240100</stp>
        <tr r="Y95" s="32"/>
      </tp>
      <tp t="e">
        <v>#N/A</v>
        <stp/>
        <stp>BDH|3689719593903885180</stp>
        <tr r="S100" s="32"/>
      </tp>
      <tp t="e">
        <v>#N/A</v>
        <stp/>
        <stp>BDH|1385712606881320830</stp>
        <tr r="AB14" s="32"/>
      </tp>
      <tp t="e">
        <v>#N/A</v>
        <stp/>
        <stp>BDH|6216272241216340936</stp>
        <tr r="Q35" s="36"/>
      </tp>
      <tp t="e">
        <v>#N/A</v>
        <stp/>
        <stp>BDH|6496722591910017730</stp>
        <tr r="M33" s="36"/>
      </tp>
      <tp t="e">
        <v>#N/A</v>
        <stp/>
        <stp>BDH|8019155822955395103</stp>
        <tr r="Y79" s="32"/>
      </tp>
      <tp t="e">
        <v>#N/A</v>
        <stp/>
        <stp>BDH|2947930609333702701</stp>
        <tr r="U145" s="39"/>
      </tp>
      <tp t="e">
        <v>#N/A</v>
        <stp/>
        <stp>BDH|4751087510169207399</stp>
        <tr r="V62" s="32"/>
      </tp>
      <tp t="e">
        <v>#N/A</v>
        <stp/>
        <stp>BDH|7820256096930745383</stp>
        <tr r="W51" s="32"/>
      </tp>
      <tp t="e">
        <v>#N/A</v>
        <stp/>
        <stp>BDH|9941256968191307339</stp>
        <tr r="C26" s="36"/>
      </tp>
      <tp t="e">
        <v>#N/A</v>
        <stp/>
        <stp>BDH|4368567206857646917</stp>
        <tr r="AD11" s="32"/>
      </tp>
      <tp t="e">
        <v>#N/A</v>
        <stp/>
        <stp>BDH|1485080287106951060</stp>
        <tr r="T198" s="39"/>
      </tp>
      <tp t="e">
        <v>#N/A</v>
        <stp/>
        <stp>BDH|4500993773981825437</stp>
        <tr r="X43" s="32"/>
      </tp>
      <tp t="e">
        <v>#N/A</v>
        <stp/>
        <stp>BDH|4040845512396638451</stp>
        <tr r="I36" s="38"/>
      </tp>
      <tp t="e">
        <v>#N/A</v>
        <stp/>
        <stp>BDH|4613860763124501133</stp>
        <tr r="Q28" s="35"/>
      </tp>
      <tp t="e">
        <v>#N/A</v>
        <stp/>
        <stp>BDH|8448869766948024113</stp>
        <tr r="AB201" s="39"/>
        <tr r="AC201" s="39"/>
      </tp>
      <tp t="e">
        <v>#N/A</v>
        <stp/>
        <stp>BDH|2169156273439211200</stp>
        <tr r="U134" s="39"/>
      </tp>
      <tp t="e">
        <v>#N/A</v>
        <stp/>
        <stp>BDH|9503408240035468344</stp>
        <tr r="Z168" s="39"/>
      </tp>
      <tp t="e">
        <v>#N/A</v>
        <stp/>
        <stp>BDH|2557215721869512454</stp>
        <tr r="R71" s="32"/>
      </tp>
      <tp t="e">
        <v>#N/A</v>
        <stp/>
        <stp>BDH|8112779813372673360</stp>
        <tr r="W217" s="39"/>
      </tp>
      <tp t="e">
        <v>#N/A</v>
        <stp/>
        <stp>BDH|6494832622494704773</stp>
        <tr r="AM25" s="36"/>
      </tp>
      <tp t="e">
        <v>#N/A</v>
        <stp/>
        <stp>BDH|9202213986145284926</stp>
        <tr r="K25" s="24"/>
      </tp>
    </main>
    <main first="bofaddin.rtdserver">
      <tp t="e">
        <v>#N/A</v>
        <stp/>
        <stp>BDH|14272476894810305</stp>
        <tr r="W22" s="22"/>
      </tp>
      <tp t="e">
        <v>#N/A</v>
        <stp/>
        <stp>BDH|6839748283046204778</stp>
        <tr r="F35" s="37"/>
      </tp>
      <tp t="e">
        <v>#N/A</v>
        <stp/>
        <stp>BDH|2846552286117493056</stp>
        <tr r="N34" s="36"/>
      </tp>
      <tp t="e">
        <v>#N/A</v>
        <stp/>
        <stp>BDH|9600587830802621525</stp>
        <tr r="AL30" s="36"/>
      </tp>
      <tp t="e">
        <v>#N/A</v>
        <stp/>
        <stp>BDH|3786995333420053177</stp>
        <tr r="Y67" s="32"/>
      </tp>
      <tp t="e">
        <v>#N/A</v>
        <stp/>
        <stp>BDH|1833880408233681244</stp>
        <tr r="R24" s="36"/>
      </tp>
      <tp t="e">
        <v>#N/A</v>
        <stp/>
        <stp>BDH|7890837743534227718</stp>
        <tr r="Q159" s="39"/>
      </tp>
      <tp t="e">
        <v>#N/A</v>
        <stp/>
        <stp>BDH|9860742510093065476</stp>
        <tr r="AB108" s="32"/>
      </tp>
      <tp t="e">
        <v>#N/A</v>
        <stp/>
        <stp>BDH|5494485987613156217</stp>
        <tr r="AA194" s="39"/>
      </tp>
      <tp t="e">
        <v>#N/A</v>
        <stp/>
        <stp>BDH|5585986580505427924</stp>
        <tr r="AB193" s="39"/>
        <tr r="AC193" s="39"/>
      </tp>
      <tp t="e">
        <v>#N/A</v>
        <stp/>
        <stp>BDH|7510116719537153878</stp>
        <tr r="X187" s="39"/>
      </tp>
      <tp t="e">
        <v>#N/A</v>
        <stp/>
        <stp>BDH|2011215349069226519</stp>
        <tr r="W11" s="32"/>
      </tp>
      <tp t="e">
        <v>#N/A</v>
        <stp/>
        <stp>BDH|8532228909895087755</stp>
        <tr r="C28" s="24"/>
      </tp>
      <tp t="e">
        <v>#N/A</v>
        <stp/>
        <stp>BDH|8930018996968657106</stp>
        <tr r="Z142" s="39"/>
      </tp>
      <tp t="e">
        <v>#N/A</v>
        <stp/>
        <stp>BDH|3825865535908547869</stp>
        <tr r="AD93" s="32"/>
      </tp>
      <tp t="e">
        <v>#N/A</v>
        <stp/>
        <stp>BDH|2884608142041319912</stp>
        <tr r="R198" s="39"/>
      </tp>
      <tp t="e">
        <v>#N/A</v>
        <stp/>
        <stp>BDH|9175111128333115116</stp>
        <tr r="F27" s="24"/>
      </tp>
      <tp t="e">
        <v>#N/A</v>
        <stp/>
        <stp>BDH|5920210971601347922</stp>
        <tr r="T148" s="39"/>
      </tp>
      <tp t="e">
        <v>#N/A</v>
        <stp/>
        <stp>BDH|4149716148596727970</stp>
        <tr r="R19" s="35"/>
      </tp>
      <tp t="e">
        <v>#N/A</v>
        <stp/>
        <stp>BDH|8662083040233332751</stp>
        <tr r="S189" s="39"/>
      </tp>
      <tp t="e">
        <v>#N/A</v>
        <stp/>
        <stp>BDH|3898236195067131778</stp>
        <tr r="U63" s="32"/>
      </tp>
      <tp t="e">
        <v>#N/A</v>
        <stp/>
        <stp>BDH|5871959127805223303</stp>
        <tr r="W22" s="35"/>
      </tp>
      <tp t="e">
        <v>#N/A</v>
        <stp/>
        <stp>BDH|8974049025120198202</stp>
        <tr r="AD73" s="32"/>
      </tp>
      <tp t="e">
        <v>#N/A</v>
        <stp/>
        <stp>BDH|8268094823510918282</stp>
        <tr r="Q36" s="36"/>
      </tp>
      <tp t="e">
        <v>#N/A</v>
        <stp/>
        <stp>BDH|7078650060308572797</stp>
        <tr r="T37" s="32"/>
      </tp>
      <tp t="e">
        <v>#N/A</v>
        <stp/>
        <stp>BDH|8053199070397258127</stp>
        <tr r="V8" s="32"/>
      </tp>
      <tp t="e">
        <v>#N/A</v>
        <stp/>
        <stp>BDH|9480830544618858524</stp>
        <tr r="AD103" s="32"/>
      </tp>
      <tp t="e">
        <v>#N/A</v>
        <stp/>
        <stp>BDH|1814236463184475920</stp>
        <tr r="R124" s="39"/>
      </tp>
      <tp t="e">
        <v>#N/A</v>
        <stp/>
        <stp>BDH|8526595912075302137</stp>
        <tr r="AB190" s="39"/>
        <tr r="AC190" s="39"/>
      </tp>
      <tp t="e">
        <v>#N/A</v>
        <stp/>
        <stp>BDH|8595254171843705686</stp>
        <tr r="D33" s="36"/>
      </tp>
      <tp t="e">
        <v>#N/A</v>
        <stp/>
        <stp>BDH|4877572021183102817</stp>
        <tr r="V22" s="22"/>
      </tp>
      <tp t="e">
        <v>#N/A</v>
        <stp/>
        <stp>BDH|8751706533727202381</stp>
        <tr r="C27" s="37"/>
      </tp>
      <tp t="e">
        <v>#N/A</v>
        <stp/>
        <stp>BDH|5055083789350927563</stp>
        <tr r="C32" s="36"/>
      </tp>
      <tp t="e">
        <v>#N/A</v>
        <stp/>
        <stp>BDH|6578981826700539505</stp>
        <tr r="Q147" s="39"/>
      </tp>
      <tp t="e">
        <v>#N/A</v>
        <stp/>
        <stp>BDH|9945021225276532552</stp>
        <tr r="AB146" s="39"/>
        <tr r="AC146" s="39"/>
      </tp>
      <tp t="e">
        <v>#N/A</v>
        <stp/>
        <stp>BDH|8517163217722848228</stp>
        <tr r="X36" s="36"/>
      </tp>
      <tp t="e">
        <v>#N/A</v>
        <stp/>
        <stp>BDH|4793545208069371067</stp>
        <tr r="X168" s="39"/>
      </tp>
      <tp t="e">
        <v>#N/A</v>
        <stp/>
        <stp>BDH|7169293026998106713</stp>
        <tr r="R23" s="34"/>
      </tp>
      <tp t="e">
        <v>#N/A</v>
        <stp/>
        <stp>BDH|9117188004736076636</stp>
        <tr r="T213" s="39"/>
      </tp>
      <tp t="e">
        <v>#N/A</v>
        <stp/>
        <stp>BDH|8514125201233847213</stp>
        <tr r="L21" s="35"/>
      </tp>
      <tp t="e">
        <v>#N/A</v>
        <stp/>
        <stp>BDH|2536983311522505066</stp>
        <tr r="V103" s="32"/>
      </tp>
      <tp t="e">
        <v>#N/A</v>
        <stp/>
        <stp>BDH|5155805938571168774</stp>
        <tr r="Z25" s="35"/>
      </tp>
      <tp t="e">
        <v>#N/A</v>
        <stp/>
        <stp>BDH|1663119703131211995</stp>
        <tr r="T205" s="39"/>
      </tp>
      <tp t="e">
        <v>#N/A</v>
        <stp/>
        <stp>BDH|7670662533763880940</stp>
        <tr r="AA59" s="32"/>
      </tp>
      <tp t="e">
        <v>#N/A</v>
        <stp/>
        <stp>BDH|8557335479105291124</stp>
        <tr r="AN24" s="36"/>
      </tp>
      <tp t="e">
        <v>#N/A</v>
        <stp/>
        <stp>BDH|7152800370816754697</stp>
        <tr r="T7" s="32"/>
      </tp>
      <tp t="e">
        <v>#N/A</v>
        <stp/>
        <stp>BDH|5559979792628933567</stp>
        <tr r="AA179" s="39"/>
      </tp>
      <tp t="e">
        <v>#N/A</v>
        <stp/>
        <stp>BDH|2319503999640167676</stp>
        <tr r="W21" s="35"/>
      </tp>
      <tp t="e">
        <v>#N/A</v>
        <stp/>
        <stp>BDH|2476256118791105841</stp>
        <tr r="N32" s="36"/>
      </tp>
      <tp t="e">
        <v>#N/A</v>
        <stp/>
        <stp>BDH|6514491238348074182</stp>
        <tr r="AD82" s="32"/>
      </tp>
      <tp t="e">
        <v>#N/A</v>
        <stp/>
        <stp>BDH|6089473440979909724</stp>
        <tr r="Z93" s="32"/>
      </tp>
      <tp t="e">
        <v>#N/A</v>
        <stp/>
        <stp>BDH|9662841588924077561</stp>
        <tr r="R156" s="39"/>
      </tp>
      <tp t="e">
        <v>#N/A</v>
        <stp/>
        <stp>BDH|2621898031005452460</stp>
        <tr r="AB36" s="36"/>
      </tp>
      <tp t="e">
        <v>#N/A</v>
        <stp/>
        <stp>BDH|7320350839319190627</stp>
        <tr r="AA7" s="32"/>
      </tp>
      <tp t="e">
        <v>#N/A</v>
        <stp/>
        <stp>BDH|7309279477479708383</stp>
        <tr r="AL34" s="36"/>
      </tp>
      <tp t="e">
        <v>#N/A</v>
        <stp/>
        <stp>BDH|3013844361634086188</stp>
        <tr r="Q158" s="39"/>
      </tp>
      <tp t="e">
        <v>#N/A</v>
        <stp/>
        <stp>BDH|8199235091189978279</stp>
        <tr r="M21" s="35"/>
      </tp>
      <tp t="e">
        <v>#N/A</v>
        <stp/>
        <stp>BDH|8305532698965690935</stp>
        <tr r="AB26" s="22"/>
      </tp>
      <tp t="e">
        <v>#N/A</v>
        <stp/>
        <stp>BDH|2611973315747964505</stp>
        <tr r="Q28" s="36"/>
      </tp>
      <tp t="e">
        <v>#N/A</v>
        <stp/>
        <stp>BDH|9028353377583811678</stp>
        <tr r="AB33" s="36"/>
      </tp>
      <tp t="e">
        <v>#N/A</v>
        <stp/>
        <stp>BDH|4552298578411000895</stp>
        <tr r="AA210" s="39"/>
      </tp>
      <tp t="e">
        <v>#N/A</v>
        <stp/>
        <stp>BDH|6349914615382991435</stp>
        <tr r="S20" s="32"/>
      </tp>
      <tp t="e">
        <v>#N/A</v>
        <stp/>
        <stp>BDH|1342999868233781588</stp>
        <tr r="U181" s="39"/>
      </tp>
      <tp t="e">
        <v>#N/A</v>
        <stp/>
        <stp>BDH|4861292613406759976</stp>
        <tr r="S19" s="34"/>
      </tp>
      <tp t="e">
        <v>#N/A</v>
        <stp/>
        <stp>BDH|5963048414448360488</stp>
        <tr r="AA25" s="22"/>
      </tp>
      <tp t="e">
        <v>#N/A</v>
        <stp/>
        <stp>BDH|5283614486846623511</stp>
        <tr r="W176" s="39"/>
      </tp>
      <tp t="e">
        <v>#N/A</v>
        <stp/>
        <stp>BDH|9250150140880534408</stp>
        <tr r="X84" s="32"/>
      </tp>
      <tp t="e">
        <v>#N/A</v>
        <stp/>
        <stp>BDH|2961039180197032584</stp>
        <tr r="Y24" s="32"/>
      </tp>
      <tp t="e">
        <v>#N/A</v>
        <stp/>
        <stp>BDH|6124109984170154764</stp>
        <tr r="R27" s="36"/>
      </tp>
      <tp t="e">
        <v>#N/A</v>
        <stp/>
        <stp>BDH|5482819782995245871</stp>
        <tr r="W125" s="39"/>
      </tp>
      <tp t="e">
        <v>#N/A</v>
        <stp/>
        <stp>BDH|7521576135280593901</stp>
        <tr r="V96" s="32"/>
      </tp>
      <tp t="e">
        <v>#N/A</v>
        <stp/>
        <stp>BDH|9474844293439572950</stp>
        <tr r="U35" s="36"/>
      </tp>
      <tp t="e">
        <v>#N/A</v>
        <stp/>
        <stp>BDH|2147737815978466409</stp>
        <tr r="AA42" s="22"/>
        <tr r="AA42" s="35"/>
      </tp>
      <tp t="e">
        <v>#N/A</v>
        <stp/>
        <stp>BDH|2243630319668319587</stp>
        <tr r="V63" s="32"/>
      </tp>
      <tp t="e">
        <v>#N/A</v>
        <stp/>
        <stp>BDH|4744320094866333014</stp>
        <tr r="H32" s="38"/>
      </tp>
      <tp t="e">
        <v>#N/A</v>
        <stp/>
        <stp>BDH|6870622739993623864</stp>
        <tr r="Q21" s="22"/>
      </tp>
      <tp t="e">
        <v>#N/A</v>
        <stp/>
        <stp>BDH|9123242693239701313</stp>
        <tr r="W27" s="22"/>
      </tp>
      <tp t="e">
        <v>#N/A</v>
        <stp/>
        <stp>BDH|9097420135177783101</stp>
        <tr r="AB62" s="32"/>
      </tp>
      <tp t="e">
        <v>#N/A</v>
        <stp/>
        <stp>BDH|9059561023863590501</stp>
        <tr r="U171" s="39"/>
      </tp>
      <tp t="e">
        <v>#N/A</v>
        <stp/>
        <stp>BDH|5899989755640762124</stp>
        <tr r="F19" s="22"/>
      </tp>
      <tp t="e">
        <v>#N/A</v>
        <stp/>
        <stp>BDH|1131335205763156962</stp>
        <tr r="AJ28" s="36"/>
      </tp>
      <tp t="e">
        <v>#N/A</v>
        <stp/>
        <stp>BDH|3689829527930244115</stp>
        <tr r="I19" s="22"/>
      </tp>
      <tp t="e">
        <v>#N/A</v>
        <stp/>
        <stp>BDH|1831986808847817704</stp>
        <tr r="Z21" s="22"/>
      </tp>
      <tp t="e">
        <v>#N/A</v>
        <stp/>
        <stp>BDH|1806983317867517625</stp>
        <tr r="AG32" s="36"/>
      </tp>
      <tp t="e">
        <v>#N/A</v>
        <stp/>
        <stp>BDH|5301359172149311076</stp>
        <tr r="S204" s="39"/>
      </tp>
      <tp t="e">
        <v>#N/A</v>
        <stp/>
        <stp>BDH|9357990209081334908</stp>
        <tr r="X37" s="32"/>
      </tp>
      <tp t="e">
        <v>#N/A</v>
        <stp/>
        <stp>BDH|8226358437853501346</stp>
        <tr r="E20" s="35"/>
      </tp>
      <tp t="e">
        <v>#N/A</v>
        <stp/>
        <stp>BDH|6867031844162820862</stp>
        <tr r="T23" s="32"/>
      </tp>
      <tp t="e">
        <v>#N/A</v>
        <stp/>
        <stp>BDH|1416408180184525103</stp>
        <tr r="T19" s="22"/>
      </tp>
      <tp t="e">
        <v>#N/A</v>
        <stp/>
        <stp>BDH|7258002842272994984</stp>
        <tr r="R29" s="32"/>
      </tp>
      <tp t="e">
        <v>#N/A</v>
        <stp/>
        <stp>BDH|2711052521788295007</stp>
        <tr r="AA77" s="32"/>
      </tp>
      <tp t="e">
        <v>#N/A</v>
        <stp/>
        <stp>BDH|3786739680004486014</stp>
        <tr r="X122" s="39"/>
      </tp>
      <tp t="e">
        <v>#N/A</v>
        <stp/>
        <stp>BDH|9887097571754311225</stp>
        <tr r="X109" s="32"/>
      </tp>
      <tp t="e">
        <v>#N/A</v>
        <stp/>
        <stp>BDH|1507974049973801722</stp>
        <tr r="C21" s="35"/>
      </tp>
      <tp t="e">
        <v>#N/A</v>
        <stp/>
        <stp>BDH|1187913503597292709</stp>
        <tr r="M26" s="36"/>
      </tp>
      <tp t="e">
        <v>#N/A</v>
        <stp/>
        <stp>BDH|8054153423687375437</stp>
        <tr r="W154" s="39"/>
      </tp>
      <tp t="e">
        <v>#N/A</v>
        <stp/>
        <stp>BDH|9003546642611299129</stp>
        <tr r="C34" s="36"/>
      </tp>
      <tp t="e">
        <v>#N/A</v>
        <stp/>
        <stp>BDH|5900726009308523213</stp>
        <tr r="D27" s="36"/>
      </tp>
      <tp t="e">
        <v>#N/A</v>
        <stp/>
        <stp>BDH|7595362824749758761</stp>
        <tr r="E34" s="36"/>
      </tp>
      <tp t="e">
        <v>#N/A</v>
        <stp/>
        <stp>BDH|8637229876370500511</stp>
        <tr r="Q23" s="22"/>
      </tp>
      <tp t="e">
        <v>#N/A</v>
        <stp/>
        <stp>BDH|7668546040228103659</stp>
        <tr r="T98" s="32"/>
      </tp>
      <tp t="e">
        <v>#N/A</v>
        <stp/>
        <stp>BDH|7495826423462360707</stp>
        <tr r="Z90" s="32"/>
      </tp>
      <tp t="e">
        <v>#N/A</v>
        <stp/>
        <stp>BDH|1341223574935323900</stp>
        <tr r="Q115" s="39"/>
      </tp>
      <tp t="e">
        <v>#N/A</v>
        <stp/>
        <stp>BDH|3601410549542016988</stp>
        <tr r="T132" s="39"/>
      </tp>
      <tp t="e">
        <v>#N/A</v>
        <stp/>
        <stp>BDH|5377335712107085844</stp>
        <tr r="R21" s="22"/>
      </tp>
      <tp t="e">
        <v>#N/A</v>
        <stp/>
        <stp>BDH|1121497688474362159</stp>
        <tr r="AA159" s="39"/>
      </tp>
      <tp t="e">
        <v>#N/A</v>
        <stp/>
        <stp>BDH|3529635333798053625</stp>
        <tr r="V50" s="32"/>
      </tp>
      <tp t="e">
        <v>#N/A</v>
        <stp/>
        <stp>BDH|1940333730610810955</stp>
        <tr r="AA156" s="39"/>
      </tp>
      <tp t="e">
        <v>#N/A</v>
        <stp/>
        <stp>BDH|3804330314351847803</stp>
        <tr r="AA23" s="22"/>
      </tp>
      <tp t="e">
        <v>#N/A</v>
        <stp/>
        <stp>BDH|9770766719491635690</stp>
        <tr r="G21" s="22"/>
      </tp>
      <tp t="e">
        <v>#N/A</v>
        <stp/>
        <stp>BDH|1980653487733902455</stp>
        <tr r="V188" s="39"/>
      </tp>
      <tp t="e">
        <v>#N/A</v>
        <stp/>
        <stp>BDH|8341655382037599961</stp>
        <tr r="AD86" s="32"/>
      </tp>
      <tp t="e">
        <v>#N/A</v>
        <stp/>
        <stp>BDH|9394157192331031835</stp>
        <tr r="I29" s="24"/>
      </tp>
      <tp t="e">
        <v>#N/A</v>
        <stp/>
        <stp>BDH|2102180588962653107</stp>
        <tr r="S138" s="39"/>
      </tp>
      <tp t="e">
        <v>#N/A</v>
        <stp/>
        <stp>BDH|6099946533067367333</stp>
        <tr r="E30" s="22"/>
      </tp>
      <tp t="e">
        <v>#N/A</v>
        <stp/>
        <stp>BDH|3437335265297671902</stp>
        <tr r="U72" s="32"/>
      </tp>
      <tp t="e">
        <v>#N/A</v>
        <stp/>
        <stp>BDH|2373433790590704733</stp>
        <tr r="T219" s="39"/>
      </tp>
      <tp t="e">
        <v>#N/A</v>
        <stp/>
        <stp>BDH|3948392510568727139</stp>
        <tr r="Z30" s="36"/>
      </tp>
      <tp t="e">
        <v>#N/A</v>
        <stp/>
        <stp>BDH|4300640169655997934</stp>
        <tr r="H22" s="34"/>
      </tp>
      <tp t="e">
        <v>#N/A</v>
        <stp/>
        <stp>BDH|5475515599076085786</stp>
        <tr r="B22" s="34"/>
      </tp>
      <tp t="e">
        <v>#N/A</v>
        <stp/>
        <stp>BDH|5848939810595732085</stp>
        <tr r="X219" s="39"/>
      </tp>
      <tp t="e">
        <v>#N/A</v>
        <stp/>
        <stp>BDH|7808940788716627875</stp>
        <tr r="H26" s="22"/>
      </tp>
      <tp t="e">
        <v>#N/A</v>
        <stp/>
        <stp>BDH|7035845829592060786</stp>
        <tr r="L23" s="34"/>
      </tp>
      <tp t="e">
        <v>#N/A</v>
        <stp/>
        <stp>BDH|6047861588908895636</stp>
        <tr r="R205" s="39"/>
      </tp>
      <tp t="e">
        <v>#N/A</v>
        <stp/>
        <stp>BDH|4109061199981331488</stp>
        <tr r="J25" s="24"/>
      </tp>
      <tp t="e">
        <v>#N/A</v>
        <stp/>
        <stp>BDH|3554905458203122493</stp>
        <tr r="N26" s="35"/>
      </tp>
      <tp t="e">
        <v>#N/A</v>
        <stp/>
        <stp>BDH|2227497839415577825</stp>
        <tr r="AA54" s="32"/>
      </tp>
      <tp t="e">
        <v>#N/A</v>
        <stp/>
        <stp>BDH|2496372046268694567</stp>
        <tr r="AA174" s="39"/>
      </tp>
      <tp t="e">
        <v>#N/A</v>
        <stp/>
        <stp>BDH|9950810188840529106</stp>
        <tr r="E27" s="22"/>
      </tp>
      <tp t="e">
        <v>#N/A</v>
        <stp/>
        <stp>BDH|8658851467706913888</stp>
        <tr r="Z127" s="39"/>
      </tp>
      <tp t="e">
        <v>#N/A</v>
        <stp/>
        <stp>BDH|5267446638942237897</stp>
        <tr r="N35" s="38"/>
      </tp>
      <tp t="e">
        <v>#N/A</v>
        <stp/>
        <stp>BDH|9737225939778952809</stp>
        <tr r="AB42" s="32"/>
      </tp>
    </main>
    <main first="bofaddin.rtdserver">
      <tp t="e">
        <v>#N/A</v>
        <stp/>
        <stp>BDH|77672242606315172</stp>
        <tr r="AA99" s="32"/>
      </tp>
      <tp t="e">
        <v>#N/A</v>
        <stp/>
        <stp>BDH|92254198797056921</stp>
        <tr r="AD108" s="32"/>
      </tp>
    </main>
    <main first="bofaddin.rtdserver">
      <tp t="e">
        <v>#N/A</v>
        <stp/>
        <stp>BDH|8812312422031985189</stp>
        <tr r="G37" s="36"/>
      </tp>
      <tp t="e">
        <v>#N/A</v>
        <stp/>
        <stp>BDH|2002271729942792933</stp>
        <tr r="AB133" s="39"/>
        <tr r="AC133" s="39"/>
      </tp>
      <tp t="e">
        <v>#N/A</v>
        <stp/>
        <stp>BDH|8142136109762881298</stp>
        <tr r="T113" s="39"/>
      </tp>
      <tp t="e">
        <v>#N/A</v>
        <stp/>
        <stp>BDH|9604322768963303652</stp>
        <tr r="S6" s="32"/>
      </tp>
      <tp t="e">
        <v>#N/A</v>
        <stp/>
        <stp>BDH|3432234554285996805</stp>
        <tr r="T25" s="32"/>
      </tp>
      <tp t="e">
        <v>#N/A</v>
        <stp/>
        <stp>BDH|2059044981882937160</stp>
        <tr r="I20" s="22"/>
      </tp>
      <tp t="e">
        <v>#N/A</v>
        <stp/>
        <stp>BDH|5200684366935308950</stp>
        <tr r="O25" s="36"/>
      </tp>
      <tp t="e">
        <v>#N/A</v>
        <stp/>
        <stp>BDH|3059405940858873223</stp>
        <tr r="X196" s="39"/>
      </tp>
      <tp t="e">
        <v>#N/A</v>
        <stp/>
        <stp>BDH|8998751716277671078</stp>
        <tr r="Y31" s="32"/>
      </tp>
      <tp t="e">
        <v>#N/A</v>
        <stp/>
        <stp>BDH|7013332995240428497</stp>
        <tr r="C20" s="24"/>
      </tp>
      <tp t="e">
        <v>#N/A</v>
        <stp/>
        <stp>BDH|1222398451347196906</stp>
        <tr r="W16" s="32"/>
      </tp>
      <tp t="e">
        <v>#N/A</v>
        <stp/>
        <stp>BDH|4943542996010866188</stp>
        <tr r="D27" s="35"/>
      </tp>
      <tp t="e">
        <v>#N/A</v>
        <stp/>
        <stp>BDH|8982502671586233510</stp>
        <tr r="AB29" s="32"/>
      </tp>
      <tp t="e">
        <v>#N/A</v>
        <stp/>
        <stp>BDH|8672297813596085472</stp>
        <tr r="T214" s="39"/>
      </tp>
      <tp t="e">
        <v>#N/A</v>
        <stp/>
        <stp>BDH|4589670558538464654</stp>
        <tr r="R215" s="39"/>
      </tp>
      <tp t="e">
        <v>#N/A</v>
        <stp/>
        <stp>BDH|8453126946292882637</stp>
        <tr r="AA199" s="39"/>
      </tp>
      <tp t="e">
        <v>#N/A</v>
        <stp/>
        <stp>BDH|2339057896286049482</stp>
        <tr r="V16" s="32"/>
      </tp>
      <tp t="e">
        <v>#N/A</v>
        <stp/>
        <stp>BDH|5706294171969084073</stp>
        <tr r="Z28" s="35"/>
      </tp>
      <tp t="e">
        <v>#N/A</v>
        <stp/>
        <stp>BDH|6445584364854766878</stp>
        <tr r="H30" s="24"/>
      </tp>
      <tp t="e">
        <v>#N/A</v>
        <stp/>
        <stp>BDH|4429812729894777335</stp>
        <tr r="AB22" s="22"/>
      </tp>
      <tp t="e">
        <v>#N/A</v>
        <stp/>
        <stp>BDH|8756649353724811607</stp>
        <tr r="Z119" s="39"/>
      </tp>
      <tp t="e">
        <v>#N/A</v>
        <stp/>
        <stp>BDH|2383671291401592589</stp>
        <tr r="Y206" s="39"/>
      </tp>
      <tp t="e">
        <v>#N/A</v>
        <stp/>
        <stp>BDH|5967532276907729933</stp>
        <tr r="F34" s="36"/>
      </tp>
      <tp t="e">
        <v>#N/A</v>
        <stp/>
        <stp>BDH|9177948912228933061</stp>
        <tr r="W36" s="32"/>
      </tp>
      <tp t="e">
        <v>#N/A</v>
        <stp/>
        <stp>BDH|9365982752799999584</stp>
        <tr r="AB150" s="39"/>
        <tr r="AC150" s="39"/>
      </tp>
      <tp t="e">
        <v>#N/A</v>
        <stp/>
        <stp>BDH|4135538888160506074</stp>
        <tr r="R21" s="32"/>
      </tp>
      <tp t="e">
        <v>#N/A</v>
        <stp/>
        <stp>BDH|6169021485371640693</stp>
        <tr r="D26" s="38"/>
      </tp>
      <tp t="e">
        <v>#N/A</v>
        <stp/>
        <stp>BDH|7142618629932468841</stp>
        <tr r="Z217" s="39"/>
      </tp>
      <tp t="e">
        <v>#N/A</v>
        <stp/>
        <stp>BDH|3744398355939340515</stp>
        <tr r="J26" s="38"/>
      </tp>
      <tp t="e">
        <v>#N/A</v>
        <stp/>
        <stp>BDH|6861590206903821969</stp>
        <tr r="AB171" s="39"/>
        <tr r="AC171" s="39"/>
      </tp>
      <tp t="e">
        <v>#N/A</v>
        <stp/>
        <stp>BDH|8680495381898125563</stp>
        <tr r="Y34" s="32"/>
      </tp>
      <tp t="e">
        <v>#N/A</v>
        <stp/>
        <stp>BDH|3870851088959400380</stp>
        <tr r="Y33" s="36"/>
      </tp>
      <tp t="e">
        <v>#N/A</v>
        <stp/>
        <stp>BDH|1514882846591302518</stp>
        <tr r="I31" s="37"/>
      </tp>
      <tp t="e">
        <v>#N/A</v>
        <stp/>
        <stp>BDH|3497498294352155566</stp>
        <tr r="Z33" s="32"/>
      </tp>
      <tp t="e">
        <v>#N/A</v>
        <stp/>
        <stp>BDH|6891979320104507041</stp>
        <tr r="F27" s="38"/>
      </tp>
      <tp t="e">
        <v>#N/A</v>
        <stp/>
        <stp>BDH|3054763854980832845</stp>
        <tr r="X66" s="32"/>
      </tp>
      <tp t="e">
        <v>#N/A</v>
        <stp/>
        <stp>BDH|5686797660754201932</stp>
        <tr r="J24" s="35"/>
      </tp>
      <tp t="e">
        <v>#N/A</v>
        <stp/>
        <stp>BDH|1974268990962280133</stp>
        <tr r="H24" s="36"/>
      </tp>
      <tp t="e">
        <v>#N/A</v>
        <stp/>
        <stp>BDH|1116675518409475656</stp>
        <tr r="J22" s="22"/>
      </tp>
      <tp t="e">
        <v>#N/A</v>
        <stp/>
        <stp>BDH|3986286609750094873</stp>
        <tr r="D29" s="36"/>
      </tp>
      <tp t="e">
        <v>#N/A</v>
        <stp/>
        <stp>BDH|8026641458025710745</stp>
        <tr r="S187" s="39"/>
      </tp>
      <tp t="e">
        <v>#N/A</v>
        <stp/>
        <stp>BDH|2533732182766387288</stp>
        <tr r="V191" s="39"/>
      </tp>
      <tp t="e">
        <v>#N/A</v>
        <stp/>
        <stp>BDH|7694926874131939166</stp>
        <tr r="Y98" s="32"/>
      </tp>
      <tp t="e">
        <v>#N/A</v>
        <stp/>
        <stp>BDH|1468895437510131349</stp>
        <tr r="X123" s="39"/>
      </tp>
      <tp t="e">
        <v>#N/A</v>
        <stp/>
        <stp>BDH|3569171931648938063</stp>
        <tr r="Y54" s="32"/>
      </tp>
      <tp t="e">
        <v>#N/A</v>
        <stp/>
        <stp>BDH|1031950618073811392</stp>
        <tr r="R55" s="32"/>
      </tp>
      <tp t="e">
        <v>#N/A</v>
        <stp/>
        <stp>BDH|8827777074161231054</stp>
        <tr r="T202" s="39"/>
      </tp>
      <tp t="e">
        <v>#N/A</v>
        <stp/>
        <stp>BDH|4133705726951290993</stp>
        <tr r="R104" s="32"/>
      </tp>
      <tp t="e">
        <v>#N/A</v>
        <stp/>
        <stp>BDH|1911957990410171810</stp>
        <tr r="V38" s="32"/>
      </tp>
      <tp t="e">
        <v>#N/A</v>
        <stp/>
        <stp>BDH|8973162862135343324</stp>
        <tr r="W170" s="39"/>
      </tp>
      <tp t="e">
        <v>#N/A</v>
        <stp/>
        <stp>BDH|2225035653336642886</stp>
        <tr r="O37" s="36"/>
      </tp>
      <tp t="e">
        <v>#N/A</v>
        <stp/>
        <stp>BDH|8946115327006193420</stp>
        <tr r="V35" s="32"/>
      </tp>
      <tp t="e">
        <v>#N/A</v>
        <stp/>
        <stp>BDH|8472450821572416588</stp>
        <tr r="AB10" s="32"/>
      </tp>
      <tp t="e">
        <v>#N/A</v>
        <stp/>
        <stp>BDH|6942536356999052602</stp>
        <tr r="R84" s="32"/>
      </tp>
      <tp t="e">
        <v>#N/A</v>
        <stp/>
        <stp>BDH|3347375642009807431</stp>
        <tr r="S30" s="36"/>
      </tp>
      <tp t="e">
        <v>#N/A</v>
        <stp/>
        <stp>BDH|3246514424125880829</stp>
        <tr r="T26" s="36"/>
      </tp>
      <tp t="e">
        <v>#N/A</v>
        <stp/>
        <stp>BDH|9741415678450543364</stp>
        <tr r="T197" s="39"/>
      </tp>
      <tp t="e">
        <v>#N/A</v>
        <stp/>
        <stp>BDH|2903662903069274433</stp>
        <tr r="T23" s="34"/>
      </tp>
      <tp t="e">
        <v>#N/A</v>
        <stp/>
        <stp>BDH|9901519033934283245</stp>
        <tr r="U12" s="32"/>
      </tp>
      <tp t="e">
        <v>#N/A</v>
        <stp/>
        <stp>BDH|1607592628006263988</stp>
        <tr r="AA18" s="22"/>
      </tp>
      <tp t="e">
        <v>#N/A</v>
        <stp/>
        <stp>BDH|8994532848620649096</stp>
        <tr r="Y36" s="36"/>
      </tp>
      <tp t="e">
        <v>#N/A</v>
        <stp/>
        <stp>BDH|3225454974441654875</stp>
        <tr r="S215" s="39"/>
      </tp>
      <tp t="e">
        <v>#N/A</v>
        <stp/>
        <stp>BDH|2569956733061550040</stp>
        <tr r="X29" s="32"/>
      </tp>
      <tp t="e">
        <v>#N/A</v>
        <stp/>
        <stp>BDH|3604596190130533680</stp>
        <tr r="R8" s="32"/>
      </tp>
      <tp t="e">
        <v>#N/A</v>
        <stp/>
        <stp>BDH|3535249992735550442</stp>
        <tr r="AA29" s="32"/>
      </tp>
      <tp t="e">
        <v>#N/A</v>
        <stp/>
        <stp>BDH|9520877997044396546</stp>
        <tr r="Y87" s="32"/>
      </tp>
      <tp t="e">
        <v>#N/A</v>
        <stp/>
        <stp>BDH|3685766640829297002</stp>
        <tr r="AD8" s="32"/>
      </tp>
      <tp t="e">
        <v>#N/A</v>
        <stp/>
        <stp>BDH|3740836844493212514</stp>
        <tr r="AA98" s="32"/>
      </tp>
      <tp t="e">
        <v>#N/A</v>
        <stp/>
        <stp>BDH|1904224596451720290</stp>
        <tr r="C35" s="37"/>
      </tp>
      <tp t="e">
        <v>#N/A</v>
        <stp/>
        <stp>BDH|4356983571702057191</stp>
        <tr r="W96" s="32"/>
      </tp>
      <tp t="e">
        <v>#N/A</v>
        <stp/>
        <stp>BDH|7550354460112060933</stp>
        <tr r="AA193" s="39"/>
      </tp>
      <tp t="e">
        <v>#N/A</v>
        <stp/>
        <stp>BDH|8603145723327673544</stp>
        <tr r="G19" s="34"/>
      </tp>
      <tp t="e">
        <v>#N/A</v>
        <stp/>
        <stp>BDH|6333474707949292220</stp>
        <tr r="T162" s="39"/>
      </tp>
      <tp t="e">
        <v>#N/A</v>
        <stp/>
        <stp>BDH|4456887250320832074</stp>
        <tr r="F38" s="38"/>
      </tp>
      <tp t="e">
        <v>#N/A</v>
        <stp/>
        <stp>BDH|7938243423568804653</stp>
        <tr r="V48" s="32"/>
      </tp>
      <tp t="e">
        <v>#N/A</v>
        <stp/>
        <stp>BDH|6669375483625157106</stp>
        <tr r="AC42" s="32"/>
      </tp>
      <tp t="e">
        <v>#N/A</v>
        <stp/>
        <stp>BDH|9791526871637269556</stp>
        <tr r="X19" s="32"/>
      </tp>
      <tp t="e">
        <v>#N/A</v>
        <stp/>
        <stp>BDH|8225118632750430365</stp>
        <tr r="AD110" s="32"/>
      </tp>
      <tp t="e">
        <v>#N/A</v>
        <stp/>
        <stp>BDH|2649670586681711439</stp>
        <tr r="R109" s="32"/>
      </tp>
      <tp t="e">
        <v>#N/A</v>
        <stp/>
        <stp>BDH|7516143530354572879</stp>
        <tr r="W118" s="39"/>
      </tp>
      <tp t="e">
        <v>#N/A</v>
        <stp/>
        <stp>BDH|8785021374035107336</stp>
        <tr r="E32" s="38"/>
      </tp>
      <tp t="e">
        <v>#N/A</v>
        <stp/>
        <stp>BDH|2198358313148628112</stp>
        <tr r="S165" s="39"/>
      </tp>
      <tp t="e">
        <v>#N/A</v>
        <stp/>
        <stp>BDH|8161756560140663024</stp>
        <tr r="J23" s="35"/>
      </tp>
      <tp t="e">
        <v>#N/A</v>
        <stp/>
        <stp>BDH|9072846494617569652</stp>
        <tr r="Q21" s="34"/>
      </tp>
      <tp t="e">
        <v>#N/A</v>
        <stp/>
        <stp>BDH|9105389659624987292</stp>
        <tr r="V25" s="35"/>
      </tp>
      <tp t="e">
        <v>#N/A</v>
        <stp/>
        <stp>BDH|3715856624091647107</stp>
        <tr r="V215" s="39"/>
      </tp>
      <tp t="e">
        <v>#N/A</v>
        <stp/>
        <stp>BDH|4584590031103931843</stp>
        <tr r="Y164" s="39"/>
      </tp>
      <tp t="e">
        <v>#N/A</v>
        <stp/>
        <stp>BDH|5857786201023796867</stp>
        <tr r="R130" s="39"/>
      </tp>
      <tp t="e">
        <v>#N/A</v>
        <stp/>
        <stp>BDH|4507068953621603963</stp>
        <tr r="S136" s="39"/>
      </tp>
      <tp t="e">
        <v>#N/A</v>
        <stp/>
        <stp>BDH|7267674957855299816</stp>
        <tr r="T66" s="32"/>
      </tp>
      <tp t="e">
        <v>#N/A</v>
        <stp/>
        <stp>BDH|6500740233089117225</stp>
        <tr r="N35" s="36"/>
      </tp>
      <tp t="e">
        <v>#N/A</v>
        <stp/>
        <stp>BDH|1241935003232076333</stp>
        <tr r="AN23" s="36"/>
      </tp>
      <tp t="e">
        <v>#N/A</v>
        <stp/>
        <stp>BDH|8070680568418867993</stp>
        <tr r="E28" s="34"/>
      </tp>
      <tp t="e">
        <v>#N/A</v>
        <stp/>
        <stp>BDH|7737885464730393093</stp>
        <tr r="F19" s="34"/>
      </tp>
      <tp t="e">
        <v>#N/A</v>
        <stp/>
        <stp>BDH|5100547985159095812</stp>
        <tr r="Y168" s="39"/>
      </tp>
      <tp t="e">
        <v>#N/A</v>
        <stp/>
        <stp>BDH|5556131561949570249</stp>
        <tr r="X80" s="32"/>
      </tp>
      <tp t="e">
        <v>#N/A</v>
        <stp/>
        <stp>BDH|8981516715216976328</stp>
        <tr r="R96" s="32"/>
      </tp>
      <tp t="e">
        <v>#N/A</v>
        <stp/>
        <stp>BDH|9794129502243889299</stp>
        <tr r="U91" s="32"/>
      </tp>
      <tp t="e">
        <v>#N/A</v>
        <stp/>
        <stp>BDH|7750925154147725507</stp>
        <tr r="Q27" s="34"/>
      </tp>
      <tp t="e">
        <v>#N/A</v>
        <stp/>
        <stp>BDH|4252461202141196814</stp>
        <tr r="U217" s="39"/>
      </tp>
      <tp t="e">
        <v>#N/A</v>
        <stp/>
        <stp>BDH|2391758874899345270</stp>
        <tr r="W100" s="32"/>
      </tp>
      <tp t="e">
        <v>#N/A</v>
        <stp/>
        <stp>BDH|3698606633986306909</stp>
        <tr r="Q31" s="36"/>
      </tp>
      <tp t="e">
        <v>#N/A</v>
        <stp/>
        <stp>BDH|9504860618001963857</stp>
        <tr r="AA46" s="38"/>
        <tr r="AA46" s="37"/>
      </tp>
      <tp t="e">
        <v>#N/A</v>
        <stp/>
        <stp>BDH|5457804823674063202</stp>
        <tr r="I21" s="22"/>
      </tp>
      <tp t="e">
        <v>#N/A</v>
        <stp/>
        <stp>BDH|2849578278089380033</stp>
        <tr r="S22" s="32"/>
      </tp>
      <tp t="e">
        <v>#N/A</v>
        <stp/>
        <stp>BDH|2570644730606193877</stp>
        <tr r="R129" s="39"/>
      </tp>
      <tp t="e">
        <v>#N/A</v>
        <stp/>
        <stp>BDH|4473871434286399036</stp>
        <tr r="C25" s="35"/>
      </tp>
      <tp t="e">
        <v>#N/A</v>
        <stp/>
        <stp>BDH|3107038621189028141</stp>
        <tr r="H23" s="34"/>
      </tp>
      <tp t="e">
        <v>#N/A</v>
        <stp/>
        <stp>BDH|4069062740808334122</stp>
        <tr r="S192" s="39"/>
      </tp>
      <tp t="e">
        <v>#N/A</v>
        <stp/>
        <stp>BDH|7277969565108553935</stp>
        <tr r="V82" s="32"/>
      </tp>
      <tp t="e">
        <v>#N/A</v>
        <stp/>
        <stp>BDH|5145166560188370306</stp>
        <tr r="Y215" s="39"/>
      </tp>
      <tp t="e">
        <v>#N/A</v>
        <stp/>
        <stp>BDH|4923692885291469256</stp>
        <tr r="S155" s="39"/>
      </tp>
      <tp t="e">
        <v>#N/A</v>
        <stp/>
        <stp>BDH|7732809957434530719</stp>
        <tr r="T25" s="35"/>
      </tp>
      <tp t="e">
        <v>#N/A</v>
        <stp/>
        <stp>BDH|7086203076562200909</stp>
        <tr r="S53" s="32"/>
      </tp>
      <tp t="e">
        <v>#N/A</v>
        <stp/>
        <stp>BDH|1650306700519161238</stp>
        <tr r="J32" s="38"/>
      </tp>
      <tp t="e">
        <v>#N/A</v>
        <stp/>
        <stp>BDH|6680557277629062407</stp>
        <tr r="Z48" s="32"/>
      </tp>
      <tp t="e">
        <v>#N/A</v>
        <stp/>
        <stp>BDH|9160479298145259881</stp>
        <tr r="Z35" s="32"/>
      </tp>
      <tp t="e">
        <v>#N/A</v>
        <stp/>
        <stp>BDH|1642588929609009637</stp>
        <tr r="AC93" s="32"/>
      </tp>
      <tp t="e">
        <v>#N/A</v>
        <stp/>
        <stp>BDH|1201807712863345274</stp>
        <tr r="S19" s="32"/>
      </tp>
      <tp t="e">
        <v>#N/A</v>
        <stp/>
        <stp>BDH|1586705566679668013</stp>
        <tr r="V117" s="39"/>
      </tp>
      <tp t="e">
        <v>#N/A</v>
        <stp/>
        <stp>BDH|7048867423794113014</stp>
        <tr r="C30" s="22"/>
      </tp>
      <tp t="e">
        <v>#N/A</v>
        <stp/>
        <stp>BDH|4468583267627743995</stp>
        <tr r="AL28" s="36"/>
      </tp>
      <tp t="e">
        <v>#N/A</v>
        <stp/>
        <stp>BDH|8630790737026583382</stp>
        <tr r="AD36" s="36"/>
      </tp>
      <tp t="e">
        <v>#N/A</v>
        <stp/>
        <stp>BDH|6796181115086757984</stp>
        <tr r="U216" s="39"/>
      </tp>
      <tp t="e">
        <v>#N/A</v>
        <stp/>
        <stp>BDH|8671145167921454746</stp>
        <tr r="AJ26" s="36"/>
      </tp>
      <tp t="e">
        <v>#N/A</v>
        <stp/>
        <stp>BDH|8156093639821661320</stp>
        <tr r="R28" s="34"/>
      </tp>
      <tp t="e">
        <v>#N/A</v>
        <stp/>
        <stp>BDH|9721993402889068094</stp>
        <tr r="Y148" s="39"/>
      </tp>
      <tp t="e">
        <v>#N/A</v>
        <stp/>
        <stp>BDH|9621484702873014795</stp>
        <tr r="AB97" s="32"/>
      </tp>
    </main>
    <main first="bofaddin.rtdserver">
      <tp t="e">
        <v>#N/A</v>
        <stp/>
        <stp>BDH|55252621626591256</stp>
        <tr r="D27" s="37"/>
      </tp>
      <tp t="e">
        <v>#N/A</v>
        <stp/>
        <stp>BDH|7195722498895564645</stp>
        <tr r="AB122" s="39"/>
        <tr r="AC122" s="39"/>
      </tp>
      <tp t="e">
        <v>#N/A</v>
        <stp/>
        <stp>BDH|6778688230121753828</stp>
        <tr r="AA34" s="32"/>
      </tp>
      <tp t="e">
        <v>#N/A</v>
        <stp/>
        <stp>BDH|1840576009377458980</stp>
        <tr r="T29" s="35"/>
      </tp>
      <tp t="e">
        <v>#N/A</v>
        <stp/>
        <stp>BDH|8763734501563757684</stp>
        <tr r="AM28" s="36"/>
      </tp>
      <tp t="e">
        <v>#N/A</v>
        <stp/>
        <stp>BDH|3658881100012168359</stp>
        <tr r="T94" s="32"/>
      </tp>
      <tp t="e">
        <v>#N/A</v>
        <stp/>
        <stp>BDH|9064013679285795155</stp>
        <tr r="U186" s="39"/>
      </tp>
      <tp t="e">
        <v>#N/A</v>
        <stp/>
        <stp>BDH|3763688982280595734</stp>
        <tr r="D29" s="24"/>
      </tp>
      <tp t="e">
        <v>#N/A</v>
        <stp/>
        <stp>BDH|6359176381636637384</stp>
        <tr r="U205" s="39"/>
      </tp>
      <tp t="e">
        <v>#N/A</v>
        <stp/>
        <stp>BDH|2981878155394883189</stp>
        <tr r="I23" s="36"/>
      </tp>
      <tp t="e">
        <v>#N/A</v>
        <stp/>
        <stp>BDH|3612976003167130781</stp>
        <tr r="T126" s="39"/>
      </tp>
      <tp t="e">
        <v>#N/A</v>
        <stp/>
        <stp>BDH|6227797112159548374</stp>
        <tr r="AB79" s="32"/>
      </tp>
      <tp t="e">
        <v>#N/A</v>
        <stp/>
        <stp>BDH|7939498780352367387</stp>
        <tr r="W200" s="39"/>
      </tp>
      <tp t="e">
        <v>#N/A</v>
        <stp/>
        <stp>BDH|4588046088121250703</stp>
        <tr r="R93" s="32"/>
      </tp>
      <tp t="e">
        <v>#N/A</v>
        <stp/>
        <stp>BDH|7322190553970022922</stp>
        <tr r="G26" s="36"/>
      </tp>
      <tp t="e">
        <v>#N/A</v>
        <stp/>
        <stp>BDH|9917414207956301176</stp>
        <tr r="Y196" s="39"/>
      </tp>
      <tp t="e">
        <v>#N/A</v>
        <stp/>
        <stp>BDH|3894083779639373717</stp>
        <tr r="AB24" s="32"/>
      </tp>
      <tp t="e">
        <v>#N/A</v>
        <stp/>
        <stp>BDH|6095723993937353599</stp>
        <tr r="AB11" s="32"/>
      </tp>
      <tp t="e">
        <v>#N/A</v>
        <stp/>
        <stp>BDH|9178290411675550547</stp>
        <tr r="U77" s="32"/>
      </tp>
      <tp t="e">
        <v>#N/A</v>
        <stp/>
        <stp>BDH|3535534318819625408</stp>
        <tr r="AA28" s="35"/>
      </tp>
      <tp t="e">
        <v>#N/A</v>
        <stp/>
        <stp>BDH|1058895575770437400</stp>
        <tr r="S31" s="32"/>
      </tp>
      <tp t="e">
        <v>#N/A</v>
        <stp/>
        <stp>BDH|2386631099647342022</stp>
        <tr r="S94" s="32"/>
      </tp>
      <tp t="e">
        <v>#N/A</v>
        <stp/>
        <stp>BDH|8373699561092759040</stp>
        <tr r="W9" s="32"/>
      </tp>
      <tp t="e">
        <v>#N/A</v>
        <stp/>
        <stp>BDH|9363655758661186172</stp>
        <tr r="T93" s="32"/>
      </tp>
      <tp t="e">
        <v>#N/A</v>
        <stp/>
        <stp>BDH|8800639532853488456</stp>
        <tr r="V218" s="39"/>
      </tp>
      <tp t="e">
        <v>#N/A</v>
        <stp/>
        <stp>BDH|7064583585529193958</stp>
        <tr r="N32" s="38"/>
      </tp>
      <tp t="e">
        <v>#N/A</v>
        <stp/>
        <stp>BDH|6054830743011815117</stp>
        <tr r="X65" s="32"/>
      </tp>
      <tp t="e">
        <v>#N/A</v>
        <stp/>
        <stp>BDH|9077616888589563450</stp>
        <tr r="X89" s="32"/>
      </tp>
      <tp t="e">
        <v>#N/A</v>
        <stp/>
        <stp>BDH|6479240985225527395</stp>
        <tr r="V30" s="36"/>
      </tp>
      <tp t="e">
        <v>#N/A</v>
        <stp/>
        <stp>BDH|5436103403049810766</stp>
        <tr r="AH36" s="36"/>
      </tp>
      <tp t="e">
        <v>#N/A</v>
        <stp/>
        <stp>BDH|1584187012589035267</stp>
        <tr r="Z11" s="32"/>
      </tp>
      <tp t="e">
        <v>#N/A</v>
        <stp/>
        <stp>BDH|8818516164401639051</stp>
        <tr r="U162" s="39"/>
      </tp>
      <tp t="e">
        <v>#N/A</v>
        <stp/>
        <stp>BDH|2840115226443311821</stp>
        <tr r="I30" s="34"/>
      </tp>
      <tp t="e">
        <v>#N/A</v>
        <stp/>
        <stp>BDH|4532556650658808666</stp>
        <tr r="G22" s="24"/>
      </tp>
      <tp t="e">
        <v>#N/A</v>
        <stp/>
        <stp>BDH|9063972961904195899</stp>
        <tr r="H37" s="36"/>
      </tp>
      <tp t="e">
        <v>#N/A</v>
        <stp/>
        <stp>BDH|6162976482798308581</stp>
        <tr r="S98" s="32"/>
      </tp>
      <tp t="e">
        <v>#N/A</v>
        <stp/>
        <stp>BDH|1375657012469931521</stp>
        <tr r="AA195" s="39"/>
      </tp>
      <tp t="e">
        <v>#N/A</v>
        <stp/>
        <stp>BDH|1320390273277784812</stp>
        <tr r="X115" s="39"/>
      </tp>
      <tp t="e">
        <v>#N/A</v>
        <stp/>
        <stp>BDH|9620648429182767530</stp>
        <tr r="V31" s="32"/>
      </tp>
      <tp t="e">
        <v>#N/A</v>
        <stp/>
        <stp>BDH|4342588180617315474</stp>
        <tr r="Z72" s="32"/>
      </tp>
      <tp t="e">
        <v>#N/A</v>
        <stp/>
        <stp>BDH|4347268371188824330</stp>
        <tr r="D37" s="36"/>
      </tp>
      <tp t="e">
        <v>#N/A</v>
        <stp/>
        <stp>BDH|4588168869140065966</stp>
        <tr r="X14" s="32"/>
      </tp>
      <tp t="e">
        <v>#N/A</v>
        <stp/>
        <stp>BDH|5803848670620376039</stp>
        <tr r="V165" s="39"/>
      </tp>
      <tp t="e">
        <v>#N/A</v>
        <stp/>
        <stp>BDH|9240304024534922634</stp>
        <tr r="S55" s="32"/>
      </tp>
      <tp t="e">
        <v>#N/A</v>
        <stp/>
        <stp>BDH|5840510091106059544</stp>
        <tr r="T18" s="32"/>
      </tp>
      <tp t="e">
        <v>#N/A</v>
        <stp/>
        <stp>BDH|6881484086616809622</stp>
        <tr r="S49" s="32"/>
      </tp>
      <tp t="e">
        <v>#N/A</v>
        <stp/>
        <stp>BDH|6802418896807780646</stp>
        <tr r="R187" s="39"/>
      </tp>
      <tp t="e">
        <v>#N/A</v>
        <stp/>
        <stp>BDH|1700967917597804433</stp>
        <tr r="K35" s="37"/>
      </tp>
      <tp t="e">
        <v>#N/A</v>
        <stp/>
        <stp>BDH|3416957209790027053</stp>
        <tr r="Y194" s="39"/>
      </tp>
      <tp t="e">
        <v>#N/A</v>
        <stp/>
        <stp>BDH|4770091755332325954</stp>
        <tr r="X95" s="32"/>
      </tp>
      <tp t="e">
        <v>#N/A</v>
        <stp/>
        <stp>BDH|1931601344658326132</stp>
        <tr r="W5" s="32"/>
      </tp>
      <tp t="e">
        <v>#N/A</v>
        <stp/>
        <stp>BDH|2746792240579702247</stp>
        <tr r="AD36" s="32"/>
      </tp>
      <tp t="e">
        <v>#N/A</v>
        <stp/>
        <stp>BDH|1976376573439982694</stp>
        <tr r="S44" s="32"/>
      </tp>
      <tp t="e">
        <v>#N/A</v>
        <stp/>
        <stp>BDH|3565578634266806936</stp>
        <tr r="U98" s="32"/>
      </tp>
      <tp t="e">
        <v>#N/A</v>
        <stp/>
        <stp>BDH|7346625399734696632</stp>
        <tr r="Z89" s="32"/>
      </tp>
      <tp t="e">
        <v>#N/A</v>
        <stp/>
        <stp>BDH|9263636305337246246</stp>
        <tr r="Z215" s="39"/>
      </tp>
      <tp t="e">
        <v>#N/A</v>
        <stp/>
        <stp>BDH|3867406948639639046</stp>
        <tr r="AA205" s="39"/>
      </tp>
      <tp t="e">
        <v>#N/A</v>
        <stp/>
        <stp>BDH|2497497216618839519</stp>
        <tr r="U95" s="32"/>
      </tp>
      <tp t="e">
        <v>#N/A</v>
        <stp/>
        <stp>BDH|8840783415356293259</stp>
        <tr r="AC68" s="32"/>
      </tp>
      <tp t="e">
        <v>#N/A</v>
        <stp/>
        <stp>BDH|2494608280630163679</stp>
        <tr r="K31" s="37"/>
      </tp>
      <tp t="e">
        <v>#N/A</v>
        <stp/>
        <stp>BDH|1198581480043272594</stp>
        <tr r="AA22" s="32"/>
      </tp>
      <tp t="e">
        <v>#N/A</v>
        <stp/>
        <stp>BDH|5016429079855825918</stp>
        <tr r="W120" s="39"/>
      </tp>
      <tp t="e">
        <v>#N/A</v>
        <stp/>
        <stp>BDH|3131305082141606379</stp>
        <tr r="X192" s="39"/>
      </tp>
      <tp t="e">
        <v>#N/A</v>
        <stp/>
        <stp>BDH|2989091574189697614</stp>
        <tr r="Y179" s="39"/>
      </tp>
      <tp t="e">
        <v>#N/A</v>
        <stp/>
        <stp>BDH|1817295553134312822</stp>
        <tr r="AD52" s="32"/>
      </tp>
      <tp t="e">
        <v>#N/A</v>
        <stp/>
        <stp>BDH|4166714382542990387</stp>
        <tr r="C8" s="29"/>
      </tp>
      <tp t="e">
        <v>#N/A</v>
        <stp/>
        <stp>BDH|9916208996768560093</stp>
        <tr r="Z108" s="32"/>
      </tp>
      <tp t="e">
        <v>#N/A</v>
        <stp/>
        <stp>BDH|3460254357816689839</stp>
        <tr r="V54" s="32"/>
      </tp>
      <tp t="e">
        <v>#N/A</v>
        <stp/>
        <stp>BDH|1739141012612360921</stp>
        <tr r="AK35" s="36"/>
      </tp>
      <tp t="e">
        <v>#N/A</v>
        <stp/>
        <stp>BDH|8860705553808281891</stp>
        <tr r="T62" s="32"/>
      </tp>
      <tp t="e">
        <v>#N/A</v>
        <stp/>
        <stp>BDH|7173052287214228110</stp>
        <tr r="R24" s="35"/>
      </tp>
      <tp t="e">
        <v>#N/A</v>
        <stp/>
        <stp>BDH|9464110579274578194</stp>
        <tr r="X54" s="32"/>
      </tp>
      <tp t="e">
        <v>#N/A</v>
        <stp/>
        <stp>BDH|6463101937399515763</stp>
        <tr r="U56" s="32"/>
      </tp>
      <tp t="e">
        <v>#N/A</v>
        <stp/>
        <stp>BDH|8987193765497479212</stp>
        <tr r="AN29" s="36"/>
      </tp>
      <tp t="e">
        <v>#N/A</v>
        <stp/>
        <stp>BDH|9357746143931037143</stp>
        <tr r="AB73" s="32"/>
      </tp>
      <tp t="e">
        <v>#N/A</v>
        <stp/>
        <stp>BDH|8585540469084972513</stp>
        <tr r="Q129" s="39"/>
      </tp>
      <tp t="e">
        <v>#N/A</v>
        <stp/>
        <stp>BDH|8272761576755682746</stp>
        <tr r="X206" s="39"/>
      </tp>
      <tp t="e">
        <v>#N/A</v>
        <stp/>
        <stp>BDH|2878351049298121758</stp>
        <tr r="AA108" s="32"/>
      </tp>
      <tp t="e">
        <v>#N/A</v>
        <stp/>
        <stp>BDH|3187360016243010808</stp>
        <tr r="R18" s="35"/>
      </tp>
      <tp t="e">
        <v>#N/A</v>
        <stp/>
        <stp>BDH|5084033595815461330</stp>
        <tr r="AB27" s="22"/>
      </tp>
      <tp t="e">
        <v>#N/A</v>
        <stp/>
        <stp>BDH|7189590129193514950</stp>
        <tr r="V216" s="39"/>
      </tp>
      <tp t="e">
        <v>#N/A</v>
        <stp/>
        <stp>BDH|3115335592923834095</stp>
        <tr r="AB59" s="32"/>
      </tp>
      <tp t="e">
        <v>#N/A</v>
        <stp/>
        <stp>BDH|5204424649377934818</stp>
        <tr r="AB31" s="36"/>
      </tp>
      <tp t="e">
        <v>#N/A</v>
        <stp/>
        <stp>BDH|7431095536986247887</stp>
        <tr r="T14" s="32"/>
      </tp>
      <tp t="e">
        <v>#N/A</v>
        <stp/>
        <stp>BDH|4475591619578249278</stp>
        <tr r="AA24" s="35"/>
      </tp>
      <tp t="e">
        <v>#N/A</v>
        <stp/>
        <stp>BDH|1211387155615861813</stp>
        <tr r="U69" s="32"/>
      </tp>
      <tp t="e">
        <v>#N/A</v>
        <stp/>
        <stp>BDH|6085565770036730878</stp>
        <tr r="AB178" s="39"/>
        <tr r="AC178" s="39"/>
      </tp>
      <tp t="e">
        <v>#N/A</v>
        <stp/>
        <stp>BDH|4831027441573592980</stp>
        <tr r="V21" s="32"/>
      </tp>
      <tp t="e">
        <v>#N/A</v>
        <stp/>
        <stp>BDH|9838655731942875423</stp>
        <tr r="Z31" s="32"/>
      </tp>
      <tp t="e">
        <v>#N/A</v>
        <stp/>
        <stp>BDH|3135628437115706957</stp>
        <tr r="S26" s="36"/>
      </tp>
      <tp t="e">
        <v>#N/A</v>
        <stp/>
        <stp>BDH|6731960404121767449</stp>
        <tr r="Y52" s="32"/>
      </tp>
      <tp t="e">
        <v>#N/A</v>
        <stp/>
        <stp>BDH|8089672651379336835</stp>
        <tr r="T137" s="39"/>
      </tp>
      <tp t="e">
        <v>#N/A</v>
        <stp/>
        <stp>BDH|1346707788872983652</stp>
        <tr r="Z61" s="32"/>
      </tp>
      <tp t="e">
        <v>#N/A</v>
        <stp/>
        <stp>BDH|5186129755592860991</stp>
        <tr r="AB211" s="39"/>
        <tr r="AC211" s="39"/>
      </tp>
      <tp t="e">
        <v>#N/A</v>
        <stp/>
        <stp>BDH|5997982720302555639</stp>
        <tr r="V109" s="32"/>
      </tp>
      <tp t="e">
        <v>#N/A</v>
        <stp/>
        <stp>BDH|1392261584956568730</stp>
        <tr r="U138" s="39"/>
      </tp>
      <tp t="e">
        <v>#N/A</v>
        <stp/>
        <stp>BDH|4715933360388596960</stp>
        <tr r="Z45" s="32"/>
      </tp>
      <tp t="e">
        <v>#N/A</v>
        <stp/>
        <stp>BDH|1171337589281967159</stp>
        <tr r="S107" s="32"/>
      </tp>
      <tp t="e">
        <v>#N/A</v>
        <stp/>
        <stp>BDH|2114700673501799921</stp>
        <tr r="U70" s="32"/>
      </tp>
      <tp t="e">
        <v>#N/A</v>
        <stp/>
        <stp>BDH|8981755516363988777</stp>
        <tr r="Q193" s="39"/>
      </tp>
      <tp t="e">
        <v>#N/A</v>
        <stp/>
        <stp>BDH|5477075322674358960</stp>
        <tr r="AB20" s="35"/>
      </tp>
      <tp t="e">
        <v>#N/A</v>
        <stp/>
        <stp>BDH|4268378192095195124</stp>
        <tr r="V24" s="36"/>
      </tp>
      <tp t="e">
        <v>#N/A</v>
        <stp/>
        <stp>BDH|8655224461616609072</stp>
        <tr r="X94" s="32"/>
      </tp>
      <tp t="e">
        <v>#N/A</v>
        <stp/>
        <stp>BDH|4658976360727365665</stp>
        <tr r="N25" s="35"/>
      </tp>
      <tp t="e">
        <v>#N/A</v>
        <stp/>
        <stp>BDH|5292378380610838493</stp>
        <tr r="V185" s="39"/>
      </tp>
      <tp t="e">
        <v>#N/A</v>
        <stp/>
        <stp>BDH|1676816833413645367</stp>
        <tr r="S176" s="39"/>
      </tp>
      <tp t="e">
        <v>#N/A</v>
        <stp/>
        <stp>BDH|6754959560481251247</stp>
        <tr r="AM36" s="36"/>
      </tp>
      <tp t="e">
        <v>#N/A</v>
        <stp/>
        <stp>BDH|5413658414571845994</stp>
        <tr r="AC48" s="32"/>
      </tp>
      <tp t="e">
        <v>#N/A</v>
        <stp/>
        <stp>BDH|9399747441150193039</stp>
        <tr r="W160" s="39"/>
      </tp>
    </main>
    <main first="bofaddin.rtdserver">
      <tp t="e">
        <v>#N/A</v>
        <stp/>
        <stp>BDH|4319613218091648895</stp>
        <tr r="S92" s="32"/>
      </tp>
      <tp t="e">
        <v>#N/A</v>
        <stp/>
        <stp>BDH|1343144420818481065</stp>
        <tr r="L29" s="35"/>
      </tp>
      <tp t="e">
        <v>#N/A</v>
        <stp/>
        <stp>BDH|6870981427355742254</stp>
        <tr r="AB130" s="39"/>
        <tr r="AC130" s="39"/>
      </tp>
      <tp t="e">
        <v>#N/A</v>
        <stp/>
        <stp>BDH|2462371843078264775</stp>
        <tr r="T30" s="32"/>
      </tp>
      <tp t="e">
        <v>#N/A</v>
        <stp/>
        <stp>BDH|7624806660664253710</stp>
        <tr r="S65" s="32"/>
      </tp>
      <tp t="e">
        <v>#N/A</v>
        <stp/>
        <stp>BDH|1974556678219253030</stp>
        <tr r="W173" s="39"/>
      </tp>
      <tp t="e">
        <v>#N/A</v>
        <stp/>
        <stp>BDH|8532240508898924852</stp>
        <tr r="T24" s="22"/>
      </tp>
      <tp t="e">
        <v>#N/A</v>
        <stp/>
        <stp>BDH|3543662033875540906</stp>
        <tr r="X90" s="32"/>
      </tp>
    </main>
    <main first="bofaddin.rtdserver">
      <tp t="e">
        <v>#N/A</v>
        <stp/>
        <stp>BDH|72682154261465580</stp>
        <tr r="V91" s="32"/>
      </tp>
      <tp t="e">
        <v>#N/A</v>
        <stp/>
        <stp>BDH|1987018194627126475</stp>
        <tr r="W162" s="39"/>
      </tp>
      <tp t="e">
        <v>#N/A</v>
        <stp/>
        <stp>BDH|2253979678925147262</stp>
        <tr r="W145" s="39"/>
      </tp>
      <tp t="e">
        <v>#N/A</v>
        <stp/>
        <stp>BDH|7943400012751066811</stp>
        <tr r="Q29" s="22"/>
      </tp>
      <tp t="e">
        <v>#N/A</v>
        <stp/>
        <stp>BDH|8897862485253845094</stp>
        <tr r="T55" s="32"/>
      </tp>
      <tp t="e">
        <v>#N/A</v>
        <stp/>
        <stp>BDH|8850590586749465798</stp>
        <tr r="Y185" s="39"/>
      </tp>
      <tp t="e">
        <v>#N/A</v>
        <stp/>
        <stp>BDH|9573654739873751442</stp>
        <tr r="W115" s="39"/>
      </tp>
      <tp t="e">
        <v>#N/A</v>
        <stp/>
        <stp>BDH|7797470291347213695</stp>
        <tr r="Y176" s="39"/>
      </tp>
      <tp t="e">
        <v>#N/A</v>
        <stp/>
        <stp>BDH|2353208560094012992</stp>
        <tr r="D28" s="34"/>
      </tp>
      <tp t="e">
        <v>#N/A</v>
        <stp/>
        <stp>BDH|1000511008666637945</stp>
        <tr r="I29" s="34"/>
      </tp>
      <tp t="e">
        <v>#N/A</v>
        <stp/>
        <stp>BDH|7430873538935293220</stp>
        <tr r="S73" s="32"/>
      </tp>
      <tp t="e">
        <v>#N/A</v>
        <stp/>
        <stp>BDH|1396835143273878509</stp>
        <tr r="H33" s="36"/>
      </tp>
      <tp t="e">
        <v>#N/A</v>
        <stp/>
        <stp>BDH|1391628593340005591</stp>
        <tr r="AD27" s="32"/>
      </tp>
      <tp t="e">
        <v>#N/A</v>
        <stp/>
        <stp>BDH|9959077823064142472</stp>
        <tr r="G33" s="36"/>
      </tp>
      <tp t="e">
        <v>#N/A</v>
        <stp/>
        <stp>BDH|4632653089508300922</stp>
        <tr r="AA178" s="39"/>
      </tp>
      <tp t="e">
        <v>#N/A</v>
        <stp/>
        <stp>BDH|6254837329566313101</stp>
        <tr r="D23" s="36"/>
      </tp>
      <tp t="e">
        <v>#N/A</v>
        <stp/>
        <stp>BDH|8984514468744283499</stp>
        <tr r="AB115" s="39"/>
        <tr r="AC115" s="39"/>
      </tp>
      <tp t="e">
        <v>#N/A</v>
        <stp/>
        <stp>BDH|4201982232220485575</stp>
        <tr r="V19" s="32"/>
      </tp>
      <tp t="e">
        <v>#N/A</v>
        <stp/>
        <stp>BDH|1413464063489990137</stp>
        <tr r="H34" s="38"/>
      </tp>
      <tp t="e">
        <v>#N/A</v>
        <stp/>
        <stp>BDH|5402501268138760532</stp>
        <tr r="U27" s="32"/>
      </tp>
      <tp t="e">
        <v>#N/A</v>
        <stp/>
        <stp>BDH|4394172558028126351</stp>
        <tr r="M28" s="36"/>
      </tp>
      <tp t="e">
        <v>#N/A</v>
        <stp/>
        <stp>BDH|6605940029424181224</stp>
        <tr r="Q24" s="36"/>
      </tp>
      <tp t="e">
        <v>#N/A</v>
        <stp/>
        <stp>BDH|3808978967096239123</stp>
        <tr r="O21" s="34"/>
      </tp>
      <tp t="e">
        <v>#N/A</v>
        <stp/>
        <stp>BDH|2512617417208258699</stp>
        <tr r="Y23" s="22"/>
      </tp>
      <tp t="e">
        <v>#N/A</v>
        <stp/>
        <stp>BDH|4225469429251275874</stp>
        <tr r="AB29" s="35"/>
      </tp>
      <tp t="e">
        <v>#N/A</v>
        <stp/>
        <stp>BDH|6328188273112945995</stp>
        <tr r="J18" s="34"/>
      </tp>
      <tp t="e">
        <v>#N/A</v>
        <stp/>
        <stp>BDH|2529196360177282967</stp>
        <tr r="AB51" s="32"/>
      </tp>
      <tp t="e">
        <v>#N/A</v>
        <stp/>
        <stp>BDH|1966133713638276238</stp>
        <tr r="M22" s="35"/>
      </tp>
      <tp t="e">
        <v>#N/A</v>
        <stp/>
        <stp>BDH|9445433141266706499</stp>
        <tr r="Y64" s="32"/>
      </tp>
      <tp t="e">
        <v>#N/A</v>
        <stp/>
        <stp>BDH|9850021431934152527</stp>
        <tr r="W198" s="39"/>
      </tp>
      <tp t="e">
        <v>#N/A</v>
        <stp/>
        <stp>BDH|9173340188748270179</stp>
        <tr r="J32" s="36"/>
      </tp>
      <tp t="e">
        <v>#N/A</v>
        <stp/>
        <stp>BDH|8359275509287710636</stp>
        <tr r="C3" s="29"/>
      </tp>
      <tp t="e">
        <v>#N/A</v>
        <stp/>
        <stp>BDH|1892934524906521731</stp>
        <tr r="T21" s="34"/>
      </tp>
      <tp t="e">
        <v>#N/A</v>
        <stp/>
        <stp>BDH|5304976260684981541</stp>
        <tr r="D22" s="24"/>
      </tp>
      <tp t="e">
        <v>#N/A</v>
        <stp/>
        <stp>BDH|8832398961600028693</stp>
        <tr r="C30" s="35"/>
      </tp>
      <tp t="e">
        <v>#N/A</v>
        <stp/>
        <stp>BDH|6918031613705029975</stp>
        <tr r="F26" s="38"/>
      </tp>
      <tp t="e">
        <v>#N/A</v>
        <stp/>
        <stp>BDH|3700006554948840559</stp>
        <tr r="W29" s="35"/>
      </tp>
      <tp t="e">
        <v>#N/A</v>
        <stp/>
        <stp>BDH|6665596732783626857</stp>
        <tr r="K24" s="36"/>
      </tp>
      <tp t="e">
        <v>#N/A</v>
        <stp/>
        <stp>BDH|2826667484281754637</stp>
        <tr r="Q186" s="39"/>
      </tp>
      <tp t="e">
        <v>#N/A</v>
        <stp/>
        <stp>BDH|3222822490448697189</stp>
        <tr r="S185" s="39"/>
      </tp>
      <tp t="e">
        <v>#N/A</v>
        <stp/>
        <stp>BDH|2202607030795817947</stp>
        <tr r="W95" s="32"/>
      </tp>
      <tp t="e">
        <v>#N/A</v>
        <stp/>
        <stp>BDH|5558401089972264002</stp>
        <tr r="N37" s="36"/>
      </tp>
      <tp t="e">
        <v>#N/A</v>
        <stp/>
        <stp>BDH|6453072688467688233</stp>
        <tr r="E33" s="37"/>
      </tp>
      <tp t="e">
        <v>#N/A</v>
        <stp/>
        <stp>BDH|1986004763169439503</stp>
        <tr r="E26" s="37"/>
      </tp>
      <tp t="e">
        <v>#N/A</v>
        <stp/>
        <stp>BDH|4896539856658302708</stp>
        <tr r="J31" s="36"/>
      </tp>
    </main>
    <main first="bofaddin.rtdserver">
      <tp t="e">
        <v>#N/A</v>
        <stp/>
        <stp>BDH|4855565764214763826</stp>
        <tr r="AB55" s="32"/>
      </tp>
      <tp t="e">
        <v>#N/A</v>
        <stp/>
        <stp>BDH|1678051121508440091</stp>
        <tr r="J28" s="36"/>
      </tp>
      <tp t="e">
        <v>#N/A</v>
        <stp/>
        <stp>BDH|3064195290484278449</stp>
        <tr r="F29" s="34"/>
      </tp>
      <tp t="e">
        <v>#N/A</v>
        <stp/>
        <stp>BDH|6997314827898576458</stp>
        <tr r="V18" s="32"/>
      </tp>
      <tp t="e">
        <v>#N/A</v>
        <stp/>
        <stp>BDH|7364545498454382432</stp>
        <tr r="S182" s="39"/>
      </tp>
      <tp t="e">
        <v>#N/A</v>
        <stp/>
        <stp>BDH|1951671221898129613</stp>
        <tr r="T153" s="39"/>
      </tp>
      <tp t="e">
        <v>#N/A</v>
        <stp/>
        <stp>BDH|8344008497623954923</stp>
        <tr r="M27" s="35"/>
      </tp>
      <tp t="e">
        <v>#N/A</v>
        <stp/>
        <stp>BDH|8070621566823272096</stp>
        <tr r="AC55" s="32"/>
      </tp>
      <tp t="e">
        <v>#N/A</v>
        <stp/>
        <stp>BDH|9666515466396885766</stp>
        <tr r="Y29" s="22"/>
      </tp>
      <tp t="e">
        <v>#N/A</v>
        <stp/>
        <stp>BDH|8925721576924734769</stp>
        <tr r="V29" s="22"/>
      </tp>
      <tp t="e">
        <v>#N/A</v>
        <stp/>
        <stp>BDH|5952014955309519240</stp>
        <tr r="Q130" s="39"/>
      </tp>
      <tp t="e">
        <v>#N/A</v>
        <stp/>
        <stp>BDH|2979942577976394151</stp>
        <tr r="Y189" s="39"/>
      </tp>
      <tp t="e">
        <v>#N/A</v>
        <stp/>
        <stp>BDH|3541204969229775572</stp>
        <tr r="I23" s="22"/>
      </tp>
      <tp t="e">
        <v>#N/A</v>
        <stp/>
        <stp>BDH|8249045781929233292</stp>
        <tr r="G32" s="38"/>
      </tp>
      <tp t="e">
        <v>#N/A</v>
        <stp/>
        <stp>BDH|8266690682534085950</stp>
        <tr r="F23" s="34"/>
      </tp>
      <tp t="e">
        <v>#N/A</v>
        <stp/>
        <stp>BDH|7033084153901501825</stp>
        <tr r="R35" s="36"/>
      </tp>
      <tp t="e">
        <v>#N/A</v>
        <stp/>
        <stp>BDH|9716743058894497439</stp>
        <tr r="T122" s="39"/>
      </tp>
      <tp t="e">
        <v>#N/A</v>
        <stp/>
        <stp>BDH|5135445101659184389</stp>
        <tr r="E21" s="35"/>
      </tp>
      <tp t="e">
        <v>#N/A</v>
        <stp/>
        <stp>BDH|6397108793194884159</stp>
        <tr r="S76" s="32"/>
      </tp>
      <tp t="e">
        <v>#N/A</v>
        <stp/>
        <stp>BDH|3123262170369224481</stp>
        <tr r="AB57" s="32"/>
      </tp>
      <tp t="e">
        <v>#N/A</v>
        <stp/>
        <stp>BDH|1081669094477778281</stp>
        <tr r="S118" s="39"/>
      </tp>
      <tp t="e">
        <v>#N/A</v>
        <stp/>
        <stp>BDH|9552032804544858672</stp>
        <tr r="AC26" s="32"/>
      </tp>
      <tp t="e">
        <v>#N/A</v>
        <stp/>
        <stp>BDH|4532651775357045981</stp>
        <tr r="AA83" s="32"/>
      </tp>
      <tp t="e">
        <v>#N/A</v>
        <stp/>
        <stp>BDH|5989860241864031637</stp>
        <tr r="U163" s="39"/>
      </tp>
      <tp t="e">
        <v>#N/A</v>
        <stp/>
        <stp>BDH|6282379828029179511</stp>
        <tr r="G29" s="22"/>
      </tp>
      <tp t="e">
        <v>#N/A</v>
        <stp/>
        <stp>BDH|2026610241328411399</stp>
        <tr r="Y38" s="32"/>
      </tp>
      <tp t="e">
        <v>#N/A</v>
        <stp/>
        <stp>BDH|3191848152327337299</stp>
        <tr r="C36" s="38"/>
      </tp>
      <tp t="e">
        <v>#N/A</v>
        <stp/>
        <stp>BDH|9607222359612455749</stp>
        <tr r="X22" s="32"/>
      </tp>
      <tp t="e">
        <v>#N/A</v>
        <stp/>
        <stp>BDH|8430896850427682961</stp>
        <tr r="Z19" s="22"/>
      </tp>
      <tp t="e">
        <v>#N/A</v>
        <stp/>
        <stp>BDH|1507881359814944301</stp>
        <tr r="E30" s="24"/>
      </tp>
      <tp t="e">
        <v>#N/A</v>
        <stp/>
        <stp>BDH|6392817946420022194</stp>
        <tr r="C31" s="38"/>
      </tp>
      <tp t="e">
        <v>#N/A</v>
        <stp/>
        <stp>BDH|6468425780145325470</stp>
        <tr r="R72" s="32"/>
      </tp>
      <tp t="e">
        <v>#N/A</v>
        <stp/>
        <stp>BDH|7790325176219890194</stp>
        <tr r="N37" s="38"/>
      </tp>
      <tp t="e">
        <v>#N/A</v>
        <stp/>
        <stp>BDH|6825848622412426588</stp>
        <tr r="V159" s="39"/>
      </tp>
      <tp t="e">
        <v>#N/A</v>
        <stp/>
        <stp>BDH|6539526816320322900</stp>
        <tr r="G36" s="36"/>
      </tp>
      <tp t="e">
        <v>#N/A</v>
        <stp/>
        <stp>BDH|2635453396842282657</stp>
        <tr r="U40" s="32"/>
      </tp>
      <tp t="e">
        <v>#N/A</v>
        <stp/>
        <stp>BDH|5489550902673667873</stp>
        <tr r="V20" s="22"/>
      </tp>
      <tp t="e">
        <v>#N/A</v>
        <stp/>
        <stp>BDH|7855859113532585783</stp>
        <tr r="AB120" s="39"/>
        <tr r="AC120" s="39"/>
      </tp>
      <tp t="e">
        <v>#N/A</v>
        <stp/>
        <stp>BDH|5082975350896566411</stp>
        <tr r="Q179" s="39"/>
      </tp>
      <tp t="e">
        <v>#N/A</v>
        <stp/>
        <stp>BDH|2024189999675206408</stp>
        <tr r="Z184" s="39"/>
      </tp>
      <tp t="e">
        <v>#N/A</v>
        <stp/>
        <stp>BDH|4322912842675454776</stp>
        <tr r="Z169" s="39"/>
      </tp>
      <tp t="e">
        <v>#N/A</v>
        <stp/>
        <stp>BDH|7579312582402545501</stp>
        <tr r="S26" s="35"/>
      </tp>
      <tp t="e">
        <v>#N/A</v>
        <stp/>
        <stp>BDH|3326715285605542213</stp>
        <tr r="AA37" s="22"/>
        <tr r="AA37" s="35"/>
      </tp>
      <tp t="e">
        <v>#N/A</v>
        <stp/>
        <stp>BDH|4771247103679027432</stp>
        <tr r="U75" s="32"/>
      </tp>
      <tp t="e">
        <v>#N/A</v>
        <stp/>
        <stp>BDH|8840046932688803859</stp>
        <tr r="N19" s="22"/>
      </tp>
      <tp t="e">
        <v>#N/A</v>
        <stp/>
        <stp>BDH|8200026772786458258</stp>
        <tr r="Y25" s="36"/>
      </tp>
      <tp t="e">
        <v>#N/A</v>
        <stp/>
        <stp>BDH|5791675831048711352</stp>
        <tr r="Y19" s="22"/>
      </tp>
      <tp t="e">
        <v>#N/A</v>
        <stp/>
        <stp>BDH|3775878599109844024</stp>
        <tr r="AA44" s="22"/>
        <tr r="AA44" s="35"/>
      </tp>
      <tp t="e">
        <v>#N/A</v>
        <stp/>
        <stp>BDH|2410918941536533221</stp>
        <tr r="D30" s="36"/>
      </tp>
      <tp t="e">
        <v>#N/A</v>
        <stp/>
        <stp>BDH|8258445435787572363</stp>
        <tr r="AA50" s="38"/>
        <tr r="AA50" s="37"/>
      </tp>
      <tp t="e">
        <v>#N/A</v>
        <stp/>
        <stp>BDH|8713022334810213038</stp>
        <tr r="Q156" s="39"/>
      </tp>
      <tp t="e">
        <v>#N/A</v>
        <stp/>
        <stp>BDH|8234356660821404735</stp>
        <tr r="D24" s="22"/>
      </tp>
      <tp t="e">
        <v>#N/A</v>
        <stp/>
        <stp>BDH|4288436190267344522</stp>
        <tr r="AG33" s="36"/>
      </tp>
      <tp t="e">
        <v>#N/A</v>
        <stp/>
        <stp>BDH|4458279580140246515</stp>
        <tr r="U187" s="39"/>
      </tp>
      <tp t="e">
        <v>#N/A</v>
        <stp/>
        <stp>BDH|3038802445375025141</stp>
        <tr r="N23" s="34"/>
      </tp>
      <tp t="e">
        <v>#N/A</v>
        <stp/>
        <stp>BDH|7225876311621179445</stp>
        <tr r="V79" s="32"/>
      </tp>
      <tp t="e">
        <v>#N/A</v>
        <stp/>
        <stp>BDH|1638621684043332722</stp>
        <tr r="S169" s="39"/>
      </tp>
      <tp t="e">
        <v>#N/A</v>
        <stp/>
        <stp>BDH|2440491778418520211</stp>
        <tr r="Z56" s="32"/>
      </tp>
      <tp t="e">
        <v>#N/A</v>
        <stp/>
        <stp>BDH|6795785562439530599</stp>
        <tr r="I26" s="22"/>
      </tp>
      <tp t="e">
        <v>#N/A</v>
        <stp/>
        <stp>BDH|4766195995483854427</stp>
        <tr r="Y94" s="32"/>
      </tp>
      <tp t="e">
        <v>#N/A</v>
        <stp/>
        <stp>BDH|2463865243074243120</stp>
        <tr r="V133" s="39"/>
      </tp>
      <tp t="e">
        <v>#N/A</v>
        <stp/>
        <stp>BDH|5109995858472253033</stp>
        <tr r="Z145" s="39"/>
      </tp>
      <tp t="e">
        <v>#N/A</v>
        <stp/>
        <stp>BDH|1678304716011408954</stp>
        <tr r="S18" s="32"/>
      </tp>
      <tp t="e">
        <v>#N/A</v>
        <stp/>
        <stp>BDH|7886146960378425399</stp>
        <tr r="AA62" s="32"/>
      </tp>
      <tp t="e">
        <v>#N/A</v>
        <stp/>
        <stp>BDH|7842562157208894400</stp>
        <tr r="AC29" s="36"/>
      </tp>
      <tp t="e">
        <v>#N/A</v>
        <stp/>
        <stp>BDH|4308365065173481953</stp>
        <tr r="AB176" s="39"/>
        <tr r="AC176" s="39"/>
      </tp>
      <tp t="e">
        <v>#N/A</v>
        <stp/>
        <stp>BDH|6895981813151121434</stp>
        <tr r="W4" s="32"/>
      </tp>
      <tp t="e">
        <v>#N/A</v>
        <stp/>
        <stp>BDH|4369656692600579071</stp>
        <tr r="J29" s="36"/>
      </tp>
      <tp t="e">
        <v>#N/A</v>
        <stp/>
        <stp>BDH|2454844986379128010</stp>
        <tr r="Y33" s="32"/>
      </tp>
      <tp t="e">
        <v>#N/A</v>
        <stp/>
        <stp>BDH|6418741054317010821</stp>
        <tr r="E24" s="34"/>
      </tp>
      <tp t="e">
        <v>#N/A</v>
        <stp/>
        <stp>BDH|8621320416722040343</stp>
        <tr r="H28" s="34"/>
      </tp>
      <tp t="e">
        <v>#N/A</v>
        <stp/>
        <stp>BDH|2508628324505317867</stp>
        <tr r="E34" s="38"/>
      </tp>
      <tp t="e">
        <v>#N/A</v>
        <stp/>
        <stp>BDH|6130925515840654561</stp>
        <tr r="V17" s="32"/>
      </tp>
      <tp t="e">
        <v>#N/A</v>
        <stp/>
        <stp>BDH|8176619172200529214</stp>
        <tr r="R81" s="32"/>
      </tp>
      <tp t="e">
        <v>#N/A</v>
        <stp/>
        <stp>BDH|3789862454796783348</stp>
        <tr r="W32" s="36"/>
      </tp>
      <tp t="e">
        <v>#N/A</v>
        <stp/>
        <stp>BDH|3048312974878153427</stp>
        <tr r="X24" s="22"/>
      </tp>
      <tp t="e">
        <v>#N/A</v>
        <stp/>
        <stp>BDH|6528999372065004684</stp>
        <tr r="Z196" s="39"/>
      </tp>
      <tp t="e">
        <v>#N/A</v>
        <stp/>
        <stp>BDH|2857551409534670856</stp>
        <tr r="AA61" s="32"/>
      </tp>
      <tp t="e">
        <v>#N/A</v>
        <stp/>
        <stp>BDH|4717278396067786362</stp>
        <tr r="T164" s="39"/>
      </tp>
      <tp t="e">
        <v>#N/A</v>
        <stp/>
        <stp>BDH|7461536260286267926</stp>
        <tr r="W26" s="36"/>
      </tp>
      <tp t="e">
        <v>#N/A</v>
        <stp/>
        <stp>BDH|7667078660409425320</stp>
        <tr r="E34" s="37"/>
      </tp>
      <tp t="e">
        <v>#N/A</v>
        <stp/>
        <stp>BDH|5915179489624818387</stp>
        <tr r="Z99" s="32"/>
      </tp>
      <tp t="e">
        <v>#N/A</v>
        <stp/>
        <stp>BDH|3049856712447583651</stp>
        <tr r="AA177" s="39"/>
      </tp>
      <tp t="e">
        <v>#N/A</v>
        <stp/>
        <stp>BDH|8793823200589161237</stp>
        <tr r="T177" s="39"/>
      </tp>
      <tp t="e">
        <v>#N/A</v>
        <stp/>
        <stp>BDH|3692446212155043849</stp>
        <tr r="M35" s="38"/>
      </tp>
      <tp t="e">
        <v>#N/A</v>
        <stp/>
        <stp>BDH|4655059480413699412</stp>
        <tr r="P24" s="34"/>
      </tp>
      <tp t="e">
        <v>#N/A</v>
        <stp/>
        <stp>BDH|1746761682631765407</stp>
        <tr r="P23" s="36"/>
      </tp>
      <tp t="e">
        <v>#N/A</v>
        <stp/>
        <stp>BDH|6465108871738188306</stp>
        <tr r="G30" s="34"/>
      </tp>
      <tp t="e">
        <v>#N/A</v>
        <stp/>
        <stp>BDH|1752435135705681838</stp>
        <tr r="G30" s="24"/>
      </tp>
      <tp t="e">
        <v>#N/A</v>
        <stp/>
        <stp>BDH|8035656443948138938</stp>
        <tr r="AA172" s="39"/>
      </tp>
      <tp t="e">
        <v>#N/A</v>
        <stp/>
        <stp>BDH|5042779727268546312</stp>
        <tr r="Y158" s="39"/>
      </tp>
      <tp t="e">
        <v>#N/A</v>
        <stp/>
        <stp>BDH|4744033551643785960</stp>
        <tr r="AB184" s="39"/>
        <tr r="AC184" s="39"/>
      </tp>
      <tp t="e">
        <v>#N/A</v>
        <stp/>
        <stp>BDH|7881666878755334815</stp>
        <tr r="Q18" s="34"/>
      </tp>
      <tp t="e">
        <v>#N/A</v>
        <stp/>
        <stp>BDH|4184921539987992277</stp>
        <tr r="T54" s="32"/>
      </tp>
      <tp t="e">
        <v>#N/A</v>
        <stp/>
        <stp>BDH|6950898296215763949</stp>
        <tr r="V88" s="32"/>
      </tp>
      <tp t="e">
        <v>#N/A</v>
        <stp/>
        <stp>BDH|9431842007083190938</stp>
        <tr r="AD71" s="32"/>
      </tp>
      <tp t="e">
        <v>#N/A</v>
        <stp/>
        <stp>BDH|8250856382637515457</stp>
        <tr r="P19" s="34"/>
      </tp>
      <tp t="e">
        <v>#N/A</v>
        <stp/>
        <stp>BDH|1229932522347154673</stp>
        <tr r="R97" s="32"/>
      </tp>
      <tp t="e">
        <v>#N/A</v>
        <stp/>
        <stp>BDH|1276947444716728101</stp>
        <tr r="Z120" s="39"/>
      </tp>
      <tp t="e">
        <v>#N/A</v>
        <stp/>
        <stp>BDH|1465467697163442442</stp>
        <tr r="S131" s="39"/>
      </tp>
      <tp t="e">
        <v>#N/A</v>
        <stp/>
        <stp>BDH|4883527016712868916</stp>
        <tr r="W157" s="39"/>
      </tp>
      <tp t="e">
        <v>#N/A</v>
        <stp/>
        <stp>BDH|9542171048412651599</stp>
        <tr r="AB104" s="32"/>
      </tp>
    </main>
    <main first="bofaddin.rtdserver">
      <tp t="e">
        <v>#N/A</v>
        <stp/>
        <stp>BDH|92860363391353977</stp>
        <tr r="S106" s="32"/>
      </tp>
      <tp t="e">
        <v>#N/A</v>
        <stp/>
        <stp>BDH|1407629886428841329</stp>
        <tr r="AB192" s="39"/>
        <tr r="AC192" s="39"/>
      </tp>
      <tp t="e">
        <v>#N/A</v>
        <stp/>
        <stp>BDH|7088463918553578519</stp>
        <tr r="AM34" s="36"/>
      </tp>
      <tp t="e">
        <v>#N/A</v>
        <stp/>
        <stp>BDH|5338692675209359965</stp>
        <tr r="AD12" s="32"/>
      </tp>
      <tp t="e">
        <v>#N/A</v>
        <stp/>
        <stp>BDH|8497252819738218709</stp>
        <tr r="R214" s="39"/>
      </tp>
      <tp t="e">
        <v>#N/A</v>
        <stp/>
        <stp>BDH|6443732135966096082</stp>
        <tr r="T130" s="39"/>
      </tp>
      <tp t="e">
        <v>#N/A</v>
        <stp/>
        <stp>BDH|2203735510127988721</stp>
        <tr r="Q160" s="39"/>
      </tp>
      <tp t="e">
        <v>#N/A</v>
        <stp/>
        <stp>BDH|3840006288179899627</stp>
        <tr r="AI28" s="36"/>
      </tp>
      <tp t="e">
        <v>#N/A</v>
        <stp/>
        <stp>BDH|2315558400476529590</stp>
        <tr r="AD41" s="32"/>
      </tp>
      <tp t="e">
        <v>#N/A</v>
        <stp/>
        <stp>BDH|4367963692569950950</stp>
        <tr r="AD32" s="32"/>
      </tp>
      <tp t="e">
        <v>#N/A</v>
        <stp/>
        <stp>BDH|6936853396505849697</stp>
        <tr r="U25" s="35"/>
      </tp>
      <tp t="e">
        <v>#N/A</v>
        <stp/>
        <stp>BDH|8516968857746837671</stp>
        <tr r="H30" s="22"/>
      </tp>
      <tp t="e">
        <v>#N/A</v>
        <stp/>
        <stp>BDH|2191757821624762792</stp>
        <tr r="AB64" s="32"/>
      </tp>
      <tp t="e">
        <v>#N/A</v>
        <stp/>
        <stp>BDH|6324940605892926907</stp>
        <tr r="U127" s="39"/>
      </tp>
      <tp t="e">
        <v>#N/A</v>
        <stp/>
        <stp>BDH|9057843939362536402</stp>
        <tr r="Q180" s="39"/>
      </tp>
      <tp t="e">
        <v>#N/A</v>
        <stp/>
        <stp>BDH|4203226914511437287</stp>
        <tr r="AB187" s="39"/>
        <tr r="AC187" s="39"/>
      </tp>
      <tp t="e">
        <v>#N/A</v>
        <stp/>
        <stp>BDH|1380494251444452074</stp>
        <tr r="AK30" s="36"/>
      </tp>
      <tp t="e">
        <v>#N/A</v>
        <stp/>
        <stp>BDH|7985332341244161027</stp>
        <tr r="E37" s="37"/>
      </tp>
      <tp t="e">
        <v>#N/A</v>
        <stp/>
        <stp>BDH|5599974692023044280</stp>
        <tr r="X81" s="32"/>
      </tp>
      <tp t="e">
        <v>#N/A</v>
        <stp/>
        <stp>BDH|4811568745245422471</stp>
        <tr r="Y29" s="32"/>
      </tp>
      <tp t="e">
        <v>#N/A</v>
        <stp/>
        <stp>BDH|2136085720987608375</stp>
        <tr r="N29" s="36"/>
      </tp>
      <tp t="e">
        <v>#N/A</v>
        <stp/>
        <stp>BDH|6228092365923702714</stp>
        <tr r="U148" s="39"/>
      </tp>
      <tp t="e">
        <v>#N/A</v>
        <stp/>
        <stp>BDH|5857337241251377719</stp>
        <tr r="C22" s="35"/>
      </tp>
      <tp t="e">
        <v>#N/A</v>
        <stp/>
        <stp>BDH|2550734718640590030</stp>
        <tr r="E19" s="34"/>
      </tp>
      <tp t="e">
        <v>#N/A</v>
        <stp/>
        <stp>BDH|6201496619577364080</stp>
        <tr r="C14" s="29"/>
      </tp>
      <tp t="e">
        <v>#N/A</v>
        <stp/>
        <stp>BDH|8560054790115864011</stp>
        <tr r="O26" s="36"/>
      </tp>
      <tp t="e">
        <v>#N/A</v>
        <stp/>
        <stp>BDH|7291257850427793397</stp>
        <tr r="U20" s="22"/>
      </tp>
      <tp t="e">
        <v>#N/A</v>
        <stp/>
        <stp>BDH|2054489609040882202</stp>
        <tr r="V27" s="32"/>
      </tp>
      <tp t="e">
        <v>#N/A</v>
        <stp/>
        <stp>BDH|3826264244917596660</stp>
        <tr r="AL26" s="36"/>
      </tp>
      <tp t="e">
        <v>#N/A</v>
        <stp/>
        <stp>BDH|6302203648280613437</stp>
        <tr r="X30" s="32"/>
      </tp>
      <tp t="e">
        <v>#N/A</v>
        <stp/>
        <stp>BDH|4287365701616282595</stp>
        <tr r="X178" s="39"/>
      </tp>
      <tp t="e">
        <v>#N/A</v>
        <stp/>
        <stp>BDH|1484751206082821013</stp>
        <tr r="S26" s="34"/>
      </tp>
      <tp t="e">
        <v>#N/A</v>
        <stp/>
        <stp>BDH|4900072493490531968</stp>
        <tr r="F23" s="22"/>
      </tp>
      <tp t="e">
        <v>#N/A</v>
        <stp/>
        <stp>BDH|1424337769877878786</stp>
        <tr r="W28" s="22"/>
      </tp>
      <tp t="e">
        <v>#N/A</v>
        <stp/>
        <stp>BDH|8835536106801372805</stp>
        <tr r="AE35" s="36"/>
      </tp>
      <tp t="e">
        <v>#N/A</v>
        <stp/>
        <stp>BDH|2317493070357559205</stp>
        <tr r="AB103" s="32"/>
      </tp>
      <tp t="e">
        <v>#N/A</v>
        <stp/>
        <stp>BDH|4758032248221128524</stp>
        <tr r="D25" s="35"/>
      </tp>
      <tp t="e">
        <v>#N/A</v>
        <stp/>
        <stp>BDH|7558241574294256280</stp>
        <tr r="H27" s="38"/>
      </tp>
      <tp t="e">
        <v>#N/A</v>
        <stp/>
        <stp>BDH|8933623829459539185</stp>
        <tr r="T37" s="36"/>
      </tp>
      <tp t="e">
        <v>#N/A</v>
        <stp/>
        <stp>BDH|3305048750510192296</stp>
        <tr r="R10" s="32"/>
      </tp>
      <tp t="e">
        <v>#N/A</v>
        <stp/>
        <stp>BDH|1701946096563915630</stp>
        <tr r="Q27" s="36"/>
      </tp>
      <tp t="e">
        <v>#N/A</v>
        <stp/>
        <stp>BDH|3553443959854072270</stp>
        <tr r="F30" s="35"/>
      </tp>
      <tp t="e">
        <v>#N/A</v>
        <stp/>
        <stp>BDH|8554251092962833556</stp>
        <tr r="Y62" s="32"/>
      </tp>
      <tp t="e">
        <v>#N/A</v>
        <stp/>
        <stp>BDH|6664755644308924919</stp>
        <tr r="S23" s="35"/>
      </tp>
      <tp t="e">
        <v>#N/A</v>
        <stp/>
        <stp>BDH|7777490711091041709</stp>
        <tr r="M21" s="22"/>
      </tp>
      <tp t="e">
        <v>#N/A</v>
        <stp/>
        <stp>BDH|6118258708568540864</stp>
        <tr r="U210" s="39"/>
      </tp>
      <tp t="e">
        <v>#N/A</v>
        <stp/>
        <stp>BDH|1562841968532441929</stp>
        <tr r="AA133" s="39"/>
      </tp>
      <tp t="e">
        <v>#N/A</v>
        <stp/>
        <stp>BDH|9610094534337547921</stp>
        <tr r="Q113" s="39"/>
      </tp>
      <tp t="e">
        <v>#N/A</v>
        <stp/>
        <stp>BDH|1902355106303039567</stp>
        <tr r="C4" s="29"/>
      </tp>
      <tp t="e">
        <v>#N/A</v>
        <stp/>
        <stp>BDH|7688089373400339422</stp>
        <tr r="V138" s="39"/>
      </tp>
      <tp t="e">
        <v>#N/A</v>
        <stp/>
        <stp>BDH|5268389444515594375</stp>
        <tr r="AB92" s="32"/>
      </tp>
      <tp t="e">
        <v>#N/A</v>
        <stp/>
        <stp>BDH|1987037544523771254</stp>
        <tr r="AB28" s="36"/>
      </tp>
      <tp t="e">
        <v>#N/A</v>
        <stp/>
        <stp>BDH|7797454427092822713</stp>
        <tr r="AA50" s="32"/>
      </tp>
      <tp t="e">
        <v>#N/A</v>
        <stp/>
        <stp>BDH|4947754745131494217</stp>
        <tr r="U73" s="32"/>
      </tp>
      <tp t="e">
        <v>#N/A</v>
        <stp/>
        <stp>BDH|5270189476564123316</stp>
        <tr r="F28" s="22"/>
      </tp>
      <tp t="e">
        <v>#N/A</v>
        <stp/>
        <stp>BDH|3373356648195361519</stp>
        <tr r="C21" s="22"/>
      </tp>
      <tp t="e">
        <v>#N/A</v>
        <stp/>
        <stp>BDH|3098400403630769398</stp>
        <tr r="U49" s="32"/>
      </tp>
      <tp t="e">
        <v>#N/A</v>
        <stp/>
        <stp>BDH|2450425275463937676</stp>
        <tr r="AB52" s="32"/>
      </tp>
      <tp t="e">
        <v>#N/A</v>
        <stp/>
        <stp>BDH|8782188953390912882</stp>
        <tr r="U15" s="32"/>
      </tp>
      <tp t="e">
        <v>#N/A</v>
        <stp/>
        <stp>BDH|6206008375473363698</stp>
        <tr r="Y100" s="32"/>
      </tp>
      <tp t="e">
        <v>#N/A</v>
        <stp/>
        <stp>BDH|9361441525199611292</stp>
        <tr r="U114" s="39"/>
      </tp>
      <tp t="e">
        <v>#N/A</v>
        <stp/>
        <stp>BDH|7977416954342377023</stp>
        <tr r="AB86" s="32"/>
      </tp>
      <tp t="e">
        <v>#N/A</v>
        <stp/>
        <stp>BDH|2057601113494609589</stp>
        <tr r="P35" s="36"/>
      </tp>
      <tp t="e">
        <v>#N/A</v>
        <stp/>
        <stp>BDH|5887333015367497478</stp>
        <tr r="T147" s="39"/>
      </tp>
      <tp t="e">
        <v>#N/A</v>
        <stp/>
        <stp>BDH|5421536228671178739</stp>
        <tr r="D29" s="34"/>
      </tp>
      <tp t="e">
        <v>#N/A</v>
        <stp/>
        <stp>BDH|5330468773342747038</stp>
        <tr r="AC92" s="32"/>
      </tp>
      <tp t="e">
        <v>#N/A</v>
        <stp/>
        <stp>BDH|7332472146316875582</stp>
        <tr r="X35" s="36"/>
      </tp>
      <tp t="e">
        <v>#N/A</v>
        <stp/>
        <stp>BDH|1022772269576536291</stp>
        <tr r="T159" s="39"/>
      </tp>
      <tp t="e">
        <v>#N/A</v>
        <stp/>
        <stp>BDH|8144264571741427802</stp>
        <tr r="R141" s="39"/>
      </tp>
      <tp t="e">
        <v>#N/A</v>
        <stp/>
        <stp>BDH|8841421839543291836</stp>
        <tr r="M29" s="37"/>
      </tp>
      <tp t="e">
        <v>#N/A</v>
        <stp/>
        <stp>BDH|3808918594212938579</stp>
        <tr r="AA14" s="32"/>
      </tp>
      <tp t="e">
        <v>#N/A</v>
        <stp/>
        <stp>BDH|2771282829682043452</stp>
        <tr r="G25" s="36"/>
      </tp>
      <tp t="e">
        <v>#N/A</v>
        <stp/>
        <stp>BDH|7115949356017886884</stp>
        <tr r="X88" s="32"/>
      </tp>
      <tp t="e">
        <v>#N/A</v>
        <stp/>
        <stp>BDH|2279918383823282418</stp>
        <tr r="AC53" s="32"/>
      </tp>
      <tp t="e">
        <v>#N/A</v>
        <stp/>
        <stp>BDH|3821375634245859209</stp>
        <tr r="V27" s="36"/>
      </tp>
      <tp t="e">
        <v>#N/A</v>
        <stp/>
        <stp>BDH|7787724306543454744</stp>
        <tr r="AA134" s="39"/>
      </tp>
      <tp t="e">
        <v>#N/A</v>
        <stp/>
        <stp>BDH|2109013993898073706</stp>
        <tr r="AC67" s="32"/>
      </tp>
      <tp t="e">
        <v>#N/A</v>
        <stp/>
        <stp>BDH|8077384535834702894</stp>
        <tr r="D21" s="35"/>
      </tp>
      <tp t="e">
        <v>#N/A</v>
        <stp/>
        <stp>BDH|1294052774521415341</stp>
        <tr r="E29" s="22"/>
      </tp>
      <tp t="e">
        <v>#N/A</v>
        <stp/>
        <stp>BDH|4717061803184716452</stp>
        <tr r="U26" s="36"/>
      </tp>
      <tp t="e">
        <v>#N/A</v>
        <stp/>
        <stp>BDH|7695341504928658801</stp>
        <tr r="H33" s="37"/>
      </tp>
      <tp t="e">
        <v>#N/A</v>
        <stp/>
        <stp>BDH|3109146635770468543</stp>
        <tr r="Y68" s="32"/>
      </tp>
      <tp t="e">
        <v>#N/A</v>
        <stp/>
        <stp>BDH|9882911978813694073</stp>
        <tr r="E37" s="38"/>
      </tp>
      <tp t="e">
        <v>#N/A</v>
        <stp/>
        <stp>BDH|7549311003985032572</stp>
        <tr r="AD79" s="32"/>
      </tp>
      <tp t="e">
        <v>#N/A</v>
        <stp/>
        <stp>BDH|7299147650577522034</stp>
        <tr r="J21" s="22"/>
      </tp>
      <tp t="e">
        <v>#N/A</v>
        <stp/>
        <stp>BDH|2804344552347673791</stp>
        <tr r="AB60" s="32"/>
      </tp>
      <tp t="e">
        <v>#N/A</v>
        <stp/>
        <stp>BDH|1189070356153299330</stp>
        <tr r="X176" s="39"/>
      </tp>
      <tp t="e">
        <v>#N/A</v>
        <stp/>
        <stp>BDH|3049914080203918593</stp>
        <tr r="D18" s="24"/>
      </tp>
      <tp t="e">
        <v>#N/A</v>
        <stp/>
        <stp>BDH|1501203846107265404</stp>
        <tr r="AA26" s="32"/>
      </tp>
      <tp t="e">
        <v>#N/A</v>
        <stp/>
        <stp>BDH|6053071915290058331</stp>
        <tr r="AA94" s="32"/>
      </tp>
      <tp t="e">
        <v>#N/A</v>
        <stp/>
        <stp>BDH|3529324334825126238</stp>
        <tr r="G19" s="24"/>
      </tp>
      <tp t="e">
        <v>#N/A</v>
        <stp/>
        <stp>BDH|7790244370802179436</stp>
        <tr r="F21" s="24"/>
      </tp>
      <tp t="e">
        <v>#N/A</v>
        <stp/>
        <stp>BDH|4119647332122549734</stp>
        <tr r="AA20" s="32"/>
      </tp>
      <tp t="e">
        <v>#N/A</v>
        <stp/>
        <stp>BDH|7023052864667773276</stp>
        <tr r="E27" s="36"/>
      </tp>
      <tp t="e">
        <v>#N/A</v>
        <stp/>
        <stp>BDH|2194323025293793409</stp>
        <tr r="AC80" s="32"/>
      </tp>
      <tp t="e">
        <v>#N/A</v>
        <stp/>
        <stp>BDH|2759338327897615048</stp>
        <tr r="V4" s="32"/>
      </tp>
      <tp t="e">
        <v>#N/A</v>
        <stp/>
        <stp>BDH|8103087038747163819</stp>
        <tr r="R184" s="39"/>
      </tp>
      <tp t="e">
        <v>#N/A</v>
        <stp/>
        <stp>BDH|5427436532395397370</stp>
        <tr r="Q203" s="39"/>
      </tp>
      <tp t="e">
        <v>#N/A</v>
        <stp/>
        <stp>BDH|4635176151386637205</stp>
        <tr r="J26" s="22"/>
      </tp>
      <tp t="e">
        <v>#N/A</v>
        <stp/>
        <stp>BDH|9387734624390055829</stp>
        <tr r="F29" s="35"/>
      </tp>
      <tp t="e">
        <v>#N/A</v>
        <stp/>
        <stp>BDH|7851927896617846423</stp>
        <tr r="S109" s="32"/>
      </tp>
      <tp t="e">
        <v>#N/A</v>
        <stp/>
        <stp>BDH|2731741387628700150</stp>
        <tr r="E28" s="22"/>
      </tp>
      <tp t="e">
        <v>#N/A</v>
        <stp/>
        <stp>BDH|1033807258898861063</stp>
        <tr r="W79" s="32"/>
      </tp>
      <tp t="e">
        <v>#N/A</v>
        <stp/>
        <stp>BDH|2590032617451127665</stp>
        <tr r="T38" s="32"/>
      </tp>
      <tp t="e">
        <v>#N/A</v>
        <stp/>
        <stp>BDH|8633168763478673333</stp>
        <tr r="S219" s="39"/>
      </tp>
      <tp t="e">
        <v>#N/A</v>
        <stp/>
        <stp>BDH|2182767923425361616</stp>
        <tr r="B24" s="34"/>
      </tp>
      <tp t="e">
        <v>#N/A</v>
        <stp/>
        <stp>BDH|6247138715240719255</stp>
        <tr r="Z22" s="32"/>
      </tp>
      <tp t="e">
        <v>#N/A</v>
        <stp/>
        <stp>BDH|7409458513666159056</stp>
        <tr r="R177" s="39"/>
      </tp>
      <tp t="e">
        <v>#N/A</v>
        <stp/>
        <stp>BDH|7529753699229793487</stp>
        <tr r="Y150" s="39"/>
      </tp>
      <tp t="e">
        <v>#N/A</v>
        <stp/>
        <stp>BDH|5230333760904123064</stp>
        <tr r="T25" s="22"/>
      </tp>
      <tp t="e">
        <v>#N/A</v>
        <stp/>
        <stp>BDH|4479541561771545234</stp>
        <tr r="Y213" s="39"/>
      </tp>
      <tp t="e">
        <v>#N/A</v>
        <stp/>
        <stp>BDH|9086307392895118244</stp>
        <tr r="Z43" s="32"/>
      </tp>
      <tp t="e">
        <v>#N/A</v>
        <stp/>
        <stp>BDH|9288067386823457617</stp>
        <tr r="X12" s="32"/>
      </tp>
      <tp t="e">
        <v>#N/A</v>
        <stp/>
        <stp>BDH|5433467048583532286</stp>
        <tr r="W57" s="32"/>
      </tp>
      <tp t="e">
        <v>#N/A</v>
        <stp/>
        <stp>BDH|7918428201391596684</stp>
        <tr r="S3" s="32"/>
      </tp>
      <tp t="e">
        <v>#N/A</v>
        <stp/>
        <stp>BDH|9356108982701586535</stp>
        <tr r="X28" s="32"/>
      </tp>
      <tp t="e">
        <v>#N/A</v>
        <stp/>
        <stp>BDH|6961003017441898211</stp>
        <tr r="S183" s="39"/>
      </tp>
      <tp t="e">
        <v>#N/A</v>
        <stp/>
        <stp>BDH|7859992312293287867</stp>
        <tr r="I20" s="24"/>
      </tp>
      <tp t="e">
        <v>#N/A</v>
        <stp/>
        <stp>BDH|6883450325390488482</stp>
        <tr r="J22" s="24"/>
      </tp>
      <tp t="e">
        <v>#N/A</v>
        <stp/>
        <stp>BDH|7843994369358461485</stp>
        <tr r="X138" s="39"/>
      </tp>
      <tp t="e">
        <v>#N/A</v>
        <stp/>
        <stp>BDH|3275075803295699249</stp>
        <tr r="O34" s="36"/>
      </tp>
      <tp t="e">
        <v>#N/A</v>
        <stp/>
        <stp>BDH|6911230727147146587</stp>
        <tr r="T85" s="32"/>
      </tp>
      <tp t="e">
        <v>#N/A</v>
        <stp/>
        <stp>BDH|3817368801741895534</stp>
        <tr r="O35" s="36"/>
      </tp>
      <tp t="e">
        <v>#N/A</v>
        <stp/>
        <stp>BDH|2003409374614251128</stp>
        <tr r="I20" s="35"/>
      </tp>
      <tp t="e">
        <v>#N/A</v>
        <stp/>
        <stp>BDH|4014463835496266152</stp>
        <tr r="S23" s="36"/>
      </tp>
      <tp t="e">
        <v>#N/A</v>
        <stp/>
        <stp>BDH|4569100177056222041</stp>
        <tr r="U16" s="32"/>
      </tp>
      <tp t="e">
        <v>#N/A</v>
        <stp/>
        <stp>BDH|3329614835770576260</stp>
        <tr r="S30" s="22"/>
      </tp>
      <tp t="e">
        <v>#N/A</v>
        <stp/>
        <stp>BDH|3903583328075532589</stp>
        <tr r="X49" s="32"/>
      </tp>
      <tp t="e">
        <v>#N/A</v>
        <stp/>
        <stp>BDH|2426037767906216665</stp>
        <tr r="W25" s="22"/>
      </tp>
      <tp t="e">
        <v>#N/A</v>
        <stp/>
        <stp>BDH|1618276764343085216</stp>
        <tr r="J38" s="38"/>
      </tp>
      <tp t="e">
        <v>#N/A</v>
        <stp/>
        <stp>BDH|3183471759042873433</stp>
        <tr r="AD43" s="32"/>
      </tp>
      <tp t="e">
        <v>#N/A</v>
        <stp/>
        <stp>BDH|8691559361657337859</stp>
        <tr r="Q22" s="34"/>
      </tp>
      <tp t="e">
        <v>#N/A</v>
        <stp/>
        <stp>BDH|4887800139493369865</stp>
        <tr r="V170" s="39"/>
      </tp>
      <tp t="e">
        <v>#N/A</v>
        <stp/>
        <stp>BDH|3134408023043337256</stp>
        <tr r="M18" s="22"/>
      </tp>
      <tp t="e">
        <v>#N/A</v>
        <stp/>
        <stp>BDH|4037641671622107315</stp>
        <tr r="AK33" s="36"/>
      </tp>
      <tp t="e">
        <v>#N/A</v>
        <stp/>
        <stp>BDH|5525390468653028714</stp>
        <tr r="Z87" s="32"/>
      </tp>
      <tp t="e">
        <v>#N/A</v>
        <stp/>
        <stp>BDH|8248145801215301818</stp>
        <tr r="AI36" s="36"/>
      </tp>
      <tp t="e">
        <v>#N/A</v>
        <stp/>
        <stp>BDH|1256491513369598985</stp>
        <tr r="X117" s="39"/>
      </tp>
      <tp t="e">
        <v>#N/A</v>
        <stp/>
        <stp>BDH|2484515667324306144</stp>
        <tr r="AB54" s="32"/>
      </tp>
      <tp t="e">
        <v>#N/A</v>
        <stp/>
        <stp>BDH|7790633640975480455</stp>
        <tr r="U64" s="32"/>
      </tp>
    </main>
    <main first="bofaddin.rtdserver">
      <tp t="e">
        <v>#N/A</v>
        <stp/>
        <stp>BDH|19575670492409913</stp>
        <tr r="N28" s="38"/>
      </tp>
      <tp t="e">
        <v>#N/A</v>
        <stp/>
        <stp>BDH|56575187135112114</stp>
        <tr r="R22" s="35"/>
      </tp>
      <tp t="e">
        <v>#N/A</v>
        <stp/>
        <stp>BDH|61841779676181001</stp>
        <tr r="AI24" s="36"/>
      </tp>
      <tp t="e">
        <v>#N/A</v>
        <stp/>
        <stp>BDH|23867748362637704</stp>
        <tr r="Q200" s="39"/>
      </tp>
    </main>
    <main first="bofaddin.rtdserver">
      <tp t="e">
        <v>#N/A</v>
        <stp/>
        <stp>BDH|6208568644884980639</stp>
        <tr r="Y157" s="39"/>
      </tp>
      <tp t="e">
        <v>#N/A</v>
        <stp/>
        <stp>BDH|6126470449012379166</stp>
        <tr r="T190" s="39"/>
      </tp>
      <tp t="e">
        <v>#N/A</v>
        <stp/>
        <stp>BDH|7024898194646203559</stp>
        <tr r="U83" s="32"/>
      </tp>
      <tp t="e">
        <v>#N/A</v>
        <stp/>
        <stp>BDH|9132281861331615945</stp>
        <tr r="G27" s="36"/>
      </tp>
      <tp t="e">
        <v>#N/A</v>
        <stp/>
        <stp>BDH|7400793242205508405</stp>
        <tr r="AA32" s="36"/>
      </tp>
      <tp t="e">
        <v>#N/A</v>
        <stp/>
        <stp>BDH|8517182857470574956</stp>
        <tr r="T179" s="39"/>
      </tp>
      <tp t="e">
        <v>#N/A</v>
        <stp/>
        <stp>BDH|8766591497636769741</stp>
        <tr r="W102" s="32"/>
      </tp>
      <tp t="e">
        <v>#N/A</v>
        <stp/>
        <stp>BDH|2275990466820113866</stp>
        <tr r="R142" s="39"/>
      </tp>
      <tp t="e">
        <v>#N/A</v>
        <stp/>
        <stp>BDH|6882656645732347315</stp>
        <tr r="L24" s="36"/>
      </tp>
      <tp t="e">
        <v>#N/A</v>
        <stp/>
        <stp>BDH|6818630724684438318</stp>
        <tr r="Q191" s="39"/>
      </tp>
      <tp t="e">
        <v>#N/A</v>
        <stp/>
        <stp>BDH|2952642545955272019</stp>
        <tr r="Y177" s="39"/>
      </tp>
      <tp t="e">
        <v>#N/A</v>
        <stp/>
        <stp>BDH|2857905380892298412</stp>
        <tr r="Z21" s="32"/>
      </tp>
      <tp t="e">
        <v>#N/A</v>
        <stp/>
        <stp>BDH|2746164072372156394</stp>
        <tr r="T142" s="39"/>
      </tp>
      <tp t="e">
        <v>#N/A</v>
        <stp/>
        <stp>BDH|7097572628661319479</stp>
        <tr r="AH27" s="36"/>
      </tp>
      <tp t="e">
        <v>#N/A</v>
        <stp/>
        <stp>BDH|1962848761813442935</stp>
        <tr r="M38" s="38"/>
      </tp>
      <tp t="e">
        <v>#N/A</v>
        <stp/>
        <stp>BDH|3618303159417295766</stp>
        <tr r="AA53" s="32"/>
      </tp>
      <tp t="e">
        <v>#N/A</v>
        <stp/>
        <stp>BDH|7642671215097666299</stp>
        <tr r="AA19" s="32"/>
      </tp>
      <tp t="e">
        <v>#N/A</v>
        <stp/>
        <stp>BDH|9448275685830865652</stp>
        <tr r="W151" s="39"/>
      </tp>
      <tp t="e">
        <v>#N/A</v>
        <stp/>
        <stp>BDH|6956461265205208439</stp>
        <tr r="X101" s="32"/>
      </tp>
      <tp t="e">
        <v>#N/A</v>
        <stp/>
        <stp>BDH|3737686967667946195</stp>
        <tr r="O22" s="34"/>
      </tp>
      <tp t="e">
        <v>#N/A</v>
        <stp/>
        <stp>BDH|5817650579204959554</stp>
        <tr r="H29" s="24"/>
      </tp>
      <tp t="e">
        <v>#N/A</v>
        <stp/>
        <stp>BDH|7947467801472254446</stp>
        <tr r="X50" s="32"/>
      </tp>
      <tp t="e">
        <v>#N/A</v>
        <stp/>
        <stp>BDH|7483144438712183214</stp>
        <tr r="I30" s="22"/>
      </tp>
      <tp t="e">
        <v>#N/A</v>
        <stp/>
        <stp>BDH|7724725029597098042</stp>
        <tr r="R211" s="39"/>
      </tp>
      <tp t="e">
        <v>#N/A</v>
        <stp/>
        <stp>BDH|2397911349403246910</stp>
        <tr r="S124" s="39"/>
      </tp>
      <tp t="e">
        <v>#N/A</v>
        <stp/>
        <stp>BDH|4195283625060762137</stp>
        <tr r="X197" s="39"/>
      </tp>
      <tp t="e">
        <v>#N/A</v>
        <stp/>
        <stp>BDH|3052710114600410081</stp>
        <tr r="AA166" s="39"/>
      </tp>
      <tp t="e">
        <v>#N/A</v>
        <stp/>
        <stp>BDH|3306122543405274693</stp>
        <tr r="Y30" s="35"/>
      </tp>
      <tp t="e">
        <v>#N/A</v>
        <stp/>
        <stp>BDH|6895362233970164353</stp>
        <tr r="AA196" s="39"/>
      </tp>
      <tp t="e">
        <v>#N/A</v>
        <stp/>
        <stp>BDH|8774886215281168523</stp>
        <tr r="AF29" s="36"/>
      </tp>
      <tp t="e">
        <v>#N/A</v>
        <stp/>
        <stp>BDH|2882057197829533762</stp>
        <tr r="H23" s="24"/>
      </tp>
      <tp t="e">
        <v>#N/A</v>
        <stp/>
        <stp>BDH|1384034592119243490</stp>
        <tr r="J20" s="34"/>
      </tp>
      <tp t="e">
        <v>#N/A</v>
        <stp/>
        <stp>BDH|7153690361867417544</stp>
        <tr r="Q18" s="22"/>
      </tp>
      <tp t="e">
        <v>#N/A</v>
        <stp/>
        <stp>BDH|2662359977312423196</stp>
        <tr r="V193" s="39"/>
      </tp>
      <tp t="e">
        <v>#N/A</v>
        <stp/>
        <stp>BDH|7325410491789893624</stp>
        <tr r="AA154" s="39"/>
      </tp>
      <tp t="e">
        <v>#N/A</v>
        <stp/>
        <stp>BDH|7270738190519181598</stp>
        <tr r="S25" s="36"/>
      </tp>
      <tp t="e">
        <v>#N/A</v>
        <stp/>
        <stp>BDH|2506442618324685665</stp>
        <tr r="Q157" s="39"/>
      </tp>
      <tp t="e">
        <v>#N/A</v>
        <stp/>
        <stp>BDH|4712610853143842148</stp>
        <tr r="S123" s="39"/>
      </tp>
      <tp t="e">
        <v>#N/A</v>
        <stp/>
        <stp>BDH|7575378663704028386</stp>
        <tr r="N30" s="36"/>
      </tp>
      <tp t="e">
        <v>#N/A</v>
        <stp/>
        <stp>BDH|5664083933182014134</stp>
        <tr r="AB74" s="32"/>
      </tp>
      <tp t="e">
        <v>#N/A</v>
        <stp/>
        <stp>BDH|7536190097822683831</stp>
        <tr r="X142" s="39"/>
      </tp>
      <tp t="e">
        <v>#N/A</v>
        <stp/>
        <stp>BDH|4512752558013031066</stp>
        <tr r="V149" s="39"/>
      </tp>
      <tp t="e">
        <v>#N/A</v>
        <stp/>
        <stp>BDH|6900555498399392699</stp>
        <tr r="AB56" s="32"/>
      </tp>
      <tp t="e">
        <v>#N/A</v>
        <stp/>
        <stp>BDH|3635492953692464570</stp>
        <tr r="J19" s="24"/>
      </tp>
      <tp t="e">
        <v>#N/A</v>
        <stp/>
        <stp>BDH|6916039078957509381</stp>
        <tr r="R16" s="32"/>
      </tp>
      <tp t="e">
        <v>#N/A</v>
        <stp/>
        <stp>BDH|7695325639950321212</stp>
        <tr r="U122" s="39"/>
      </tp>
      <tp t="e">
        <v>#N/A</v>
        <stp/>
        <stp>BDH|2592169464768046887</stp>
        <tr r="AC23" s="32"/>
      </tp>
      <tp t="e">
        <v>#N/A</v>
        <stp/>
        <stp>BDH|6968362300194801482</stp>
        <tr r="G23" s="34"/>
      </tp>
      <tp t="e">
        <v>#N/A</v>
        <stp/>
        <stp>BDH|2469478843281830678</stp>
        <tr r="AB7" s="32"/>
      </tp>
      <tp t="e">
        <v>#N/A</v>
        <stp/>
        <stp>BDH|4120440041576311780</stp>
        <tr r="X139" s="39"/>
      </tp>
      <tp t="e">
        <v>#N/A</v>
        <stp/>
        <stp>BDH|2779424351082399487</stp>
        <tr r="X186" s="39"/>
      </tp>
      <tp t="e">
        <v>#N/A</v>
        <stp/>
        <stp>BDH|7542296010037347636</stp>
        <tr r="X155" s="39"/>
      </tp>
      <tp t="e">
        <v>#N/A</v>
        <stp/>
        <stp>BDH|3728086781239260700</stp>
        <tr r="T110" s="32"/>
      </tp>
      <tp t="e">
        <v>#N/A</v>
        <stp/>
        <stp>BDH|8819356295141158656</stp>
        <tr r="S87" s="32"/>
      </tp>
      <tp t="e">
        <v>#N/A</v>
        <stp/>
        <stp>BDH|9471566600480767997</stp>
        <tr r="V174" s="39"/>
      </tp>
      <tp t="e">
        <v>#N/A</v>
        <stp/>
        <stp>BDH|6356287819221635185</stp>
        <tr r="L24" s="22"/>
      </tp>
      <tp t="e">
        <v>#N/A</v>
        <stp/>
        <stp>BDH|8405824537113970549</stp>
        <tr r="AA29" s="36"/>
      </tp>
      <tp t="e">
        <v>#N/A</v>
        <stp/>
        <stp>BDH|5799954262597574892</stp>
        <tr r="Z121" s="39"/>
      </tp>
      <tp t="e">
        <v>#N/A</v>
        <stp/>
        <stp>BDH|4541236247097522091</stp>
        <tr r="S127" s="39"/>
      </tp>
      <tp t="e">
        <v>#N/A</v>
        <stp/>
        <stp>BDH|9991424393845254473</stp>
        <tr r="AB156" s="39"/>
        <tr r="AC156" s="39"/>
      </tp>
      <tp t="e">
        <v>#N/A</v>
        <stp/>
        <stp>BDH|6954974982153023111</stp>
        <tr r="W62" s="32"/>
      </tp>
      <tp t="e">
        <v>#N/A</v>
        <stp/>
        <stp>BDH|3133122698146579835</stp>
        <tr r="M28" s="35"/>
      </tp>
      <tp t="e">
        <v>#N/A</v>
        <stp/>
        <stp>BDH|7951041924343756330</stp>
        <tr r="F37" s="37"/>
      </tp>
      <tp t="e">
        <v>#N/A</v>
        <stp/>
        <stp>BDH|1232381008150711787</stp>
        <tr r="G27" s="38"/>
      </tp>
      <tp t="e">
        <v>#N/A</v>
        <stp/>
        <stp>BDH|6734277378483119544</stp>
        <tr r="L30" s="36"/>
      </tp>
      <tp t="e">
        <v>#N/A</v>
        <stp/>
        <stp>BDH|9814070484421000561</stp>
        <tr r="Z195" s="39"/>
      </tp>
      <tp t="e">
        <v>#N/A</v>
        <stp/>
        <stp>BDH|4575828057779536582</stp>
        <tr r="U25" s="36"/>
      </tp>
      <tp t="e">
        <v>#N/A</v>
        <stp/>
        <stp>BDH|7115183031641497116</stp>
        <tr r="R103" s="32"/>
      </tp>
      <tp t="e">
        <v>#N/A</v>
        <stp/>
        <stp>BDH|1118200911295599285</stp>
        <tr r="U143" s="39"/>
      </tp>
      <tp t="e">
        <v>#N/A</v>
        <stp/>
        <stp>BDH|6294087337070151015</stp>
        <tr r="K27" s="22"/>
      </tp>
    </main>
    <main first="bofaddin.rtdserver">
      <tp t="e">
        <v>#N/A</v>
        <stp/>
        <stp>BDH|3777425602754210674</stp>
        <tr r="Z179" s="39"/>
      </tp>
      <tp t="e">
        <v>#N/A</v>
        <stp/>
        <stp>BDH|7210156827811287004</stp>
        <tr r="H25" s="35"/>
      </tp>
      <tp t="e">
        <v>#N/A</v>
        <stp/>
        <stp>BDH|2117154734801204408</stp>
        <tr r="R25" s="34"/>
      </tp>
      <tp t="e">
        <v>#N/A</v>
        <stp/>
        <stp>BDH|9906610109053347901</stp>
        <tr r="X78" s="32"/>
      </tp>
      <tp t="e">
        <v>#N/A</v>
        <stp/>
        <stp>BDH|8808575605618018087</stp>
        <tr r="X28" s="35"/>
      </tp>
      <tp t="e">
        <v>#N/A</v>
        <stp/>
        <stp>BDH|2076613065404237344</stp>
        <tr r="W14" s="32"/>
      </tp>
      <tp t="e">
        <v>#N/A</v>
        <stp/>
        <stp>BDH|4583672338253178799</stp>
        <tr r="W85" s="32"/>
      </tp>
      <tp t="e">
        <v>#N/A</v>
        <stp/>
        <stp>BDH|3250716271552963499</stp>
        <tr r="E29" s="36"/>
      </tp>
      <tp t="e">
        <v>#N/A</v>
        <stp/>
        <stp>BDH|1574455302780894081</stp>
        <tr r="F24" s="35"/>
      </tp>
      <tp t="e">
        <v>#N/A</v>
        <stp/>
        <stp>BDH|3449826150998025346</stp>
        <tr r="Z104" s="32"/>
      </tp>
      <tp t="e">
        <v>#N/A</v>
        <stp/>
        <stp>BDH|7697770122114077310</stp>
        <tr r="I21" s="35"/>
      </tp>
      <tp t="e">
        <v>#N/A</v>
        <stp/>
        <stp>BDH|4925835599869240935</stp>
        <tr r="J37" s="38"/>
      </tp>
      <tp t="e">
        <v>#N/A</v>
        <stp/>
        <stp>BDH|1470222964041120102</stp>
        <tr r="O28" s="36"/>
      </tp>
      <tp t="e">
        <v>#N/A</v>
        <stp/>
        <stp>BDH|5896967283862937371</stp>
        <tr r="N22" s="35"/>
      </tp>
      <tp t="e">
        <v>#N/A</v>
        <stp/>
        <stp>BDH|4254442745724006506</stp>
        <tr r="W192" s="39"/>
      </tp>
      <tp t="e">
        <v>#N/A</v>
        <stp/>
        <stp>BDH|8355416313638605043</stp>
        <tr r="V125" s="39"/>
      </tp>
      <tp t="e">
        <v>#N/A</v>
        <stp/>
        <stp>BDH|6290506636280533527</stp>
        <tr r="S57" s="32"/>
      </tp>
      <tp t="e">
        <v>#N/A</v>
        <stp/>
        <stp>BDH|6090271069072492599</stp>
        <tr r="AD100" s="32"/>
      </tp>
      <tp t="e">
        <v>#N/A</v>
        <stp/>
        <stp>BDH|2587050048122919127</stp>
        <tr r="X20" s="35"/>
      </tp>
      <tp t="e">
        <v>#N/A</v>
        <stp/>
        <stp>BDH|2374526265591233564</stp>
        <tr r="I27" s="22"/>
      </tp>
      <tp t="e">
        <v>#N/A</v>
        <stp/>
        <stp>BDH|8478944941292849297</stp>
        <tr r="L22" s="34"/>
      </tp>
      <tp t="e">
        <v>#N/A</v>
        <stp/>
        <stp>BDH|3037424127920496015</stp>
        <tr r="Y133" s="39"/>
      </tp>
      <tp t="e">
        <v>#N/A</v>
        <stp/>
        <stp>BDH|8402450931379930392</stp>
        <tr r="AA27" s="36"/>
      </tp>
      <tp t="e">
        <v>#N/A</v>
        <stp/>
        <stp>BDH|5227633052557707443</stp>
        <tr r="AA8" s="32"/>
      </tp>
      <tp t="e">
        <v>#N/A</v>
        <stp/>
        <stp>BDH|7322377595040624871</stp>
        <tr r="Q131" s="39"/>
      </tp>
      <tp t="e">
        <v>#N/A</v>
        <stp/>
        <stp>BDH|1471121775332398007</stp>
        <tr r="J32" s="37"/>
      </tp>
      <tp t="e">
        <v>#N/A</v>
        <stp/>
        <stp>BDH|6689236004487767662</stp>
        <tr r="X41" s="32"/>
      </tp>
      <tp t="e">
        <v>#N/A</v>
        <stp/>
        <stp>BDH|5034154231547188549</stp>
        <tr r="S148" s="39"/>
      </tp>
      <tp t="e">
        <v>#N/A</v>
        <stp/>
        <stp>BDH|7209027567021158570</stp>
        <tr r="R14" s="32"/>
      </tp>
      <tp t="e">
        <v>#N/A</v>
        <stp/>
        <stp>BDH|2818733014259738897</stp>
        <tr r="H25" s="24"/>
      </tp>
      <tp t="e">
        <v>#N/A</v>
        <stp/>
        <stp>BDH|2006692212250810025</stp>
        <tr r="Y204" s="39"/>
      </tp>
      <tp t="e">
        <v>#N/A</v>
        <stp/>
        <stp>BDH|2330376652753740200</stp>
        <tr r="S108" s="32"/>
      </tp>
      <tp t="e">
        <v>#N/A</v>
        <stp/>
        <stp>BDH|7295128637515347559</stp>
        <tr r="AC110" s="32"/>
      </tp>
      <tp t="e">
        <v>#N/A</v>
        <stp/>
        <stp>BDH|8207255624794195932</stp>
        <tr r="U28" s="35"/>
      </tp>
      <tp t="e">
        <v>#N/A</v>
        <stp/>
        <stp>BDH|8461215912666283844</stp>
        <tr r="S120" s="39"/>
      </tp>
      <tp t="e">
        <v>#N/A</v>
        <stp/>
        <stp>BDH|1741451427016583415</stp>
        <tr r="AB9" s="32"/>
      </tp>
      <tp t="e">
        <v>#N/A</v>
        <stp/>
        <stp>BDH|7272715700241089420</stp>
        <tr r="J19" s="35"/>
      </tp>
      <tp t="e">
        <v>#N/A</v>
        <stp/>
        <stp>BDH|9925988443418609955</stp>
        <tr r="W129" s="39"/>
      </tp>
      <tp t="e">
        <v>#N/A</v>
        <stp/>
        <stp>BDH|6698687259817184774</stp>
        <tr r="X191" s="39"/>
      </tp>
      <tp t="e">
        <v>#N/A</v>
        <stp/>
        <stp>BDH|2742110634574687154</stp>
        <tr r="AA38" s="22"/>
        <tr r="AA38" s="35"/>
      </tp>
      <tp t="e">
        <v>#N/A</v>
        <stp/>
        <stp>BDH|5897770258302756010</stp>
        <tr r="U82" s="32"/>
      </tp>
      <tp t="e">
        <v>#N/A</v>
        <stp/>
        <stp>BDH|1071624892662422958</stp>
        <tr r="X21" s="32"/>
      </tp>
      <tp t="e">
        <v>#N/A</v>
        <stp/>
        <stp>BDH|8666436777257446904</stp>
        <tr r="AB13" s="32"/>
      </tp>
      <tp t="e">
        <v>#N/A</v>
        <stp/>
        <stp>BDH|8585140442251680936</stp>
        <tr r="V9" s="32"/>
      </tp>
      <tp t="e">
        <v>#N/A</v>
        <stp/>
        <stp>BDH|8136701061425299948</stp>
        <tr r="T88" s="32"/>
      </tp>
      <tp t="e">
        <v>#N/A</v>
        <stp/>
        <stp>BDH|4133213931875719501</stp>
        <tr r="T124" s="39"/>
      </tp>
      <tp t="e">
        <v>#N/A</v>
        <stp/>
        <stp>BDH|1178093639902170564</stp>
        <tr r="Q120" s="39"/>
      </tp>
      <tp t="e">
        <v>#N/A</v>
        <stp/>
        <stp>BDH|8212942946596077671</stp>
        <tr r="AC37" s="32"/>
      </tp>
      <tp t="e">
        <v>#N/A</v>
        <stp/>
        <stp>BDH|7969127628093634222</stp>
        <tr r="V27" s="22"/>
      </tp>
      <tp t="e">
        <v>#N/A</v>
        <stp/>
        <stp>BDH|5758841387815579568</stp>
        <tr r="Z23" s="22"/>
      </tp>
      <tp t="e">
        <v>#N/A</v>
        <stp/>
        <stp>BDH|3835091245034199628</stp>
        <tr r="V15" s="32"/>
      </tp>
      <tp t="e">
        <v>#N/A</v>
        <stp/>
        <stp>BDH|2901648810824926430</stp>
        <tr r="T99" s="32"/>
      </tp>
      <tp t="e">
        <v>#N/A</v>
        <stp/>
        <stp>BDH|8917964614802510799</stp>
        <tr r="S25" s="34"/>
      </tp>
      <tp t="e">
        <v>#N/A</v>
        <stp/>
        <stp>BDH|9274523591468468823</stp>
        <tr r="AC4" s="32"/>
      </tp>
      <tp t="e">
        <v>#N/A</v>
        <stp/>
        <stp>BDH|3216863735035119876</stp>
        <tr r="Y121" s="39"/>
      </tp>
      <tp t="e">
        <v>#N/A</v>
        <stp/>
        <stp>BDH|4581430567956770512</stp>
        <tr r="AA12" s="32"/>
      </tp>
      <tp t="e">
        <v>#N/A</v>
        <stp/>
        <stp>BDH|4165843034833785911</stp>
        <tr r="AD46" s="32"/>
      </tp>
      <tp t="e">
        <v>#N/A</v>
        <stp/>
        <stp>BDH|5242589188989443418</stp>
        <tr r="E33" s="38"/>
      </tp>
      <tp t="e">
        <v>#N/A</v>
        <stp/>
        <stp>BDH|9446093494122847769</stp>
        <tr r="AA125" s="39"/>
      </tp>
      <tp t="e">
        <v>#N/A</v>
        <stp/>
        <stp>BDH|7369349027141012274</stp>
        <tr r="H31" s="38"/>
      </tp>
      <tp t="e">
        <v>#N/A</v>
        <stp/>
        <stp>BDH|2221462471344286001</stp>
        <tr r="T144" s="39"/>
      </tp>
      <tp t="e">
        <v>#N/A</v>
        <stp/>
        <stp>BDH|2406441066557127237</stp>
        <tr r="S30" s="32"/>
      </tp>
      <tp t="e">
        <v>#N/A</v>
        <stp/>
        <stp>BDH|6203123310510124351</stp>
        <tr r="T15" s="32"/>
      </tp>
      <tp t="e">
        <v>#N/A</v>
        <stp/>
        <stp>BDH|8568606651336566852</stp>
        <tr r="T209" s="39"/>
      </tp>
      <tp t="e">
        <v>#N/A</v>
        <stp/>
        <stp>BDH|6332078663062556765</stp>
        <tr r="R9" s="32"/>
      </tp>
      <tp t="e">
        <v>#N/A</v>
        <stp/>
        <stp>BDH|3637266046521170138</stp>
        <tr r="V30" s="35"/>
      </tp>
      <tp t="e">
        <v>#N/A</v>
        <stp/>
        <stp>BDH|5776567219621597590</stp>
        <tr r="S125" s="39"/>
      </tp>
    </main>
    <main first="bofaddin.rtdserver">
      <tp t="e">
        <v>#N/A</v>
        <stp/>
        <stp>BDH|2269583953405462284</stp>
        <tr r="Q19" s="34"/>
      </tp>
      <tp t="e">
        <v>#N/A</v>
        <stp/>
        <stp>BDH|5677626235550252563</stp>
        <tr r="AB177" s="39"/>
        <tr r="AC177" s="39"/>
      </tp>
      <tp t="e">
        <v>#N/A</v>
        <stp/>
        <stp>BDH|9960613969088153452</stp>
        <tr r="C34" s="37"/>
      </tp>
      <tp t="e">
        <v>#N/A</v>
        <stp/>
        <stp>BDH|1860286244404219631</stp>
        <tr r="Q150" s="39"/>
      </tp>
      <tp t="e">
        <v>#N/A</v>
        <stp/>
        <stp>BDH|1383347030105304119</stp>
        <tr r="H29" s="22"/>
      </tp>
      <tp t="e">
        <v>#N/A</v>
        <stp/>
        <stp>BDH|7671433771399728863</stp>
        <tr r="M19" s="34"/>
      </tp>
      <tp t="e">
        <v>#N/A</v>
        <stp/>
        <stp>BDH|4461582753737298682</stp>
        <tr r="W199" s="39"/>
      </tp>
      <tp t="e">
        <v>#N/A</v>
        <stp/>
        <stp>BDH|9119727325140644958</stp>
        <tr r="W203" s="39"/>
      </tp>
      <tp t="e">
        <v>#N/A</v>
        <stp/>
        <stp>BDH|5279583136485082392</stp>
        <tr r="I30" s="37"/>
      </tp>
      <tp t="e">
        <v>#N/A</v>
        <stp/>
        <stp>BDH|6437707644931551102</stp>
        <tr r="X73" s="32"/>
      </tp>
      <tp t="e">
        <v>#N/A</v>
        <stp/>
        <stp>BDH|5467685669765192511</stp>
        <tr r="S147" s="39"/>
      </tp>
      <tp t="e">
        <v>#N/A</v>
        <stp/>
        <stp>BDH|2537138636450015552</stp>
        <tr r="N28" s="22"/>
      </tp>
      <tp t="e">
        <v>#N/A</v>
        <stp/>
        <stp>BDH|6996618388469086452</stp>
        <tr r="AD63" s="32"/>
      </tp>
      <tp t="e">
        <v>#N/A</v>
        <stp/>
        <stp>BDH|1198563353954481055</stp>
        <tr r="U97" s="32"/>
      </tp>
    </main>
    <main first="bofaddin.rtdserver">
      <tp t="e">
        <v>#N/A</v>
        <stp/>
        <stp>BDH|50577608155131830</stp>
        <tr r="AA25" s="32"/>
      </tp>
      <tp t="e">
        <v>#N/A</v>
        <stp/>
        <stp>BDH|2502584616020615076</stp>
        <tr r="F30" s="36"/>
      </tp>
      <tp t="e">
        <v>#N/A</v>
        <stp/>
        <stp>BDH|7664915074106867917</stp>
        <tr r="F22" s="35"/>
      </tp>
      <tp t="e">
        <v>#N/A</v>
        <stp/>
        <stp>BDH|5244354610152453396</stp>
        <tr r="R69" s="32"/>
      </tp>
      <tp t="e">
        <v>#N/A</v>
        <stp/>
        <stp>BDH|7959712615643243457</stp>
        <tr r="K36" s="38"/>
      </tp>
      <tp t="e">
        <v>#N/A</v>
        <stp/>
        <stp>BDH|6403655175738801965</stp>
        <tr r="Q117" s="39"/>
      </tp>
      <tp t="e">
        <v>#N/A</v>
        <stp/>
        <stp>BDH|1000198653162737173</stp>
        <tr r="E29" s="37"/>
      </tp>
      <tp t="e">
        <v>#N/A</v>
        <stp/>
        <stp>BDH|4782174931376308682</stp>
        <tr r="AA126" s="39"/>
      </tp>
      <tp t="e">
        <v>#N/A</v>
        <stp/>
        <stp>BDH|4020316874917651194</stp>
        <tr r="AC89" s="32"/>
      </tp>
      <tp t="e">
        <v>#N/A</v>
        <stp/>
        <stp>BDH|5852214332307858598</stp>
        <tr r="V52" s="32"/>
      </tp>
      <tp t="e">
        <v>#N/A</v>
        <stp/>
        <stp>BDH|7822245048482755582</stp>
        <tr r="Z26" s="36"/>
      </tp>
      <tp t="e">
        <v>#N/A</v>
        <stp/>
        <stp>BDH|4835686356942541385</stp>
        <tr r="S30" s="35"/>
      </tp>
      <tp t="e">
        <v>#N/A</v>
        <stp/>
        <stp>BDH|9700693760138260778</stp>
        <tr r="V153" s="39"/>
      </tp>
      <tp t="e">
        <v>#N/A</v>
        <stp/>
        <stp>BDH|6596713445636383598</stp>
        <tr r="Q24" s="35"/>
      </tp>
      <tp t="e">
        <v>#N/A</v>
        <stp/>
        <stp>BDH|6042353654114896223</stp>
        <tr r="AD94" s="32"/>
      </tp>
      <tp t="e">
        <v>#N/A</v>
        <stp/>
        <stp>BDH|7635184801714458434</stp>
        <tr r="E26" s="38"/>
      </tp>
      <tp t="e">
        <v>#N/A</v>
        <stp/>
        <stp>BDH|4344777310227929352</stp>
        <tr r="C26" s="24"/>
      </tp>
      <tp t="e">
        <v>#N/A</v>
        <stp/>
        <stp>BDH|6286027809606838699</stp>
        <tr r="R18" s="22"/>
      </tp>
      <tp t="e">
        <v>#N/A</v>
        <stp/>
        <stp>BDH|6150441629226441000</stp>
        <tr r="Q19" s="35"/>
      </tp>
      <tp t="e">
        <v>#N/A</v>
        <stp/>
        <stp>BDH|6547497439521867656</stp>
        <tr r="V29" s="36"/>
      </tp>
      <tp t="e">
        <v>#N/A</v>
        <stp/>
        <stp>BDH|9257747150995956878</stp>
        <tr r="T56" s="32"/>
      </tp>
      <tp t="e">
        <v>#N/A</v>
        <stp/>
        <stp>BDH|1721591338834762594</stp>
        <tr r="AB19" s="32"/>
      </tp>
      <tp t="e">
        <v>#N/A</v>
        <stp/>
        <stp>BDH|1981526616384218774</stp>
        <tr r="W97" s="32"/>
      </tp>
      <tp t="e">
        <v>#N/A</v>
        <stp/>
        <stp>BDH|3904204624800432512</stp>
        <tr r="Z193" s="39"/>
      </tp>
      <tp t="e">
        <v>#N/A</v>
        <stp/>
        <stp>BDH|2545304978364663439</stp>
        <tr r="Z37" s="32"/>
      </tp>
      <tp t="e">
        <v>#N/A</v>
        <stp/>
        <stp>BDH|8900436032420689979</stp>
        <tr r="AJ34" s="36"/>
      </tp>
      <tp t="e">
        <v>#N/A</v>
        <stp/>
        <stp>BDH|8988407609292005898</stp>
        <tr r="AB38" s="32"/>
      </tp>
      <tp t="e">
        <v>#N/A</v>
        <stp/>
        <stp>BDH|7996523073626721569</stp>
        <tr r="Y110" s="32"/>
      </tp>
      <tp t="e">
        <v>#N/A</v>
        <stp/>
        <stp>BDH|1405644437305997777</stp>
        <tr r="AC27" s="32"/>
      </tp>
      <tp t="e">
        <v>#N/A</v>
        <stp/>
        <stp>BDH|2709516815692917238</stp>
        <tr r="AB110" s="32"/>
      </tp>
      <tp t="e">
        <v>#N/A</v>
        <stp/>
        <stp>BDH|7783699343932654126</stp>
        <tr r="AA139" s="39"/>
      </tp>
      <tp t="e">
        <v>#N/A</v>
        <stp/>
        <stp>BDH|1650748619554531577</stp>
        <tr r="T31" s="36"/>
      </tp>
      <tp t="e">
        <v>#N/A</v>
        <stp/>
        <stp>BDH|2089051489305330966</stp>
        <tr r="W141" s="39"/>
      </tp>
      <tp t="e">
        <v>#N/A</v>
        <stp/>
        <stp>BDH|1925105070449369844</stp>
        <tr r="E30" s="35"/>
      </tp>
      <tp t="e">
        <v>#N/A</v>
        <stp/>
        <stp>BDH|1042762647220664492</stp>
        <tr r="H26" s="24"/>
      </tp>
      <tp t="e">
        <v>#N/A</v>
        <stp/>
        <stp>BDH|7344217427747260690</stp>
        <tr r="S41" s="32"/>
      </tp>
      <tp t="e">
        <v>#N/A</v>
        <stp/>
        <stp>BDH|4867162150563962593</stp>
        <tr r="AG29" s="36"/>
      </tp>
      <tp t="e">
        <v>#N/A</v>
        <stp/>
        <stp>BDH|4899690813533853643</stp>
        <tr r="Z23" s="32"/>
      </tp>
      <tp t="e">
        <v>#N/A</v>
        <stp/>
        <stp>BDH|6326754199426350829</stp>
        <tr r="L27" s="36"/>
      </tp>
      <tp t="e">
        <v>#N/A</v>
        <stp/>
        <stp>BDH|7607078873494815243</stp>
        <tr r="AC81" s="32"/>
      </tp>
      <tp t="e">
        <v>#N/A</v>
        <stp/>
        <stp>BDH|9039011349653605810</stp>
        <tr r="AC5" s="32"/>
      </tp>
      <tp t="e">
        <v>#N/A</v>
        <stp/>
        <stp>BDH|9611784861499301738</stp>
        <tr r="AA197" s="39"/>
      </tp>
      <tp t="e">
        <v>#N/A</v>
        <stp/>
        <stp>BDH|3341825398370437429</stp>
        <tr r="AA109" s="32"/>
      </tp>
      <tp t="e">
        <v>#N/A</v>
        <stp/>
        <stp>BDH|6090010116022078386</stp>
        <tr r="X202" s="39"/>
      </tp>
      <tp t="e">
        <v>#N/A</v>
        <stp/>
        <stp>BDH|5201984376834325904</stp>
        <tr r="U21" s="22"/>
      </tp>
      <tp t="e">
        <v>#N/A</v>
        <stp/>
        <stp>BDH|2327370949954787759</stp>
        <tr r="Y216" s="39"/>
      </tp>
      <tp t="e">
        <v>#N/A</v>
        <stp/>
        <stp>BDH|9028894262848218963</stp>
        <tr r="H18" s="22"/>
      </tp>
      <tp t="e">
        <v>#N/A</v>
        <stp/>
        <stp>BDH|4193538338660367452</stp>
        <tr r="F30" s="34"/>
      </tp>
      <tp t="e">
        <v>#N/A</v>
        <stp/>
        <stp>BDH|9717632346659778490</stp>
        <tr r="Z147" s="39"/>
      </tp>
      <tp t="e">
        <v>#N/A</v>
        <stp/>
        <stp>BDH|1323230969135331665</stp>
        <tr r="AC34" s="36"/>
      </tp>
      <tp t="e">
        <v>#N/A</v>
        <stp/>
        <stp>BDH|1517432402900056382</stp>
        <tr r="M23" s="36"/>
      </tp>
      <tp t="e">
        <v>#N/A</v>
        <stp/>
        <stp>BDH|4067259105304433483</stp>
        <tr r="X58" s="32"/>
      </tp>
      <tp t="e">
        <v>#N/A</v>
        <stp/>
        <stp>BDH|6643546938846248041</stp>
        <tr r="V189" s="39"/>
      </tp>
      <tp t="e">
        <v>#N/A</v>
        <stp/>
        <stp>BDH|4201036534874979518</stp>
        <tr r="M38" s="37"/>
      </tp>
      <tp t="e">
        <v>#N/A</v>
        <stp/>
        <stp>BDH|2906072040942482273</stp>
        <tr r="U152" s="39"/>
      </tp>
      <tp t="e">
        <v>#N/A</v>
        <stp/>
        <stp>BDH|1694683283518398136</stp>
        <tr r="AC33" s="32"/>
      </tp>
      <tp t="e">
        <v>#N/A</v>
        <stp/>
        <stp>BDH|2891557562342665548</stp>
        <tr r="L29" s="38"/>
      </tp>
      <tp t="e">
        <v>#N/A</v>
        <stp/>
        <stp>BDH|4316208626425189790</stp>
        <tr r="AA44" s="38"/>
        <tr r="AA44" s="37"/>
      </tp>
      <tp t="e">
        <v>#N/A</v>
        <stp/>
        <stp>BDH|5379960888087120511</stp>
        <tr r="N29" s="38"/>
      </tp>
      <tp t="e">
        <v>#N/A</v>
        <stp/>
        <stp>BDH|5462688920136695171</stp>
        <tr r="W215" s="39"/>
      </tp>
      <tp t="e">
        <v>#N/A</v>
        <stp/>
        <stp>BDH|6116537108764674110</stp>
        <tr r="S85" s="32"/>
      </tp>
      <tp t="e">
        <v>#N/A</v>
        <stp/>
        <stp>BDH|2520108122886924136</stp>
        <tr r="AB66" s="32"/>
      </tp>
      <tp t="e">
        <v>#N/A</v>
        <stp/>
        <stp>BDH|8817617952865551832</stp>
        <tr r="J30" s="22"/>
      </tp>
      <tp t="e">
        <v>#N/A</v>
        <stp/>
        <stp>BDH|6955779161172253302</stp>
        <tr r="S201" s="39"/>
      </tp>
      <tp t="e">
        <v>#N/A</v>
        <stp/>
        <stp>BDH|2878986326968241792</stp>
        <tr r="H38" s="38"/>
      </tp>
    </main>
    <main first="bofaddin.rtdserver">
      <tp t="e">
        <v>#N/A</v>
        <stp/>
        <stp>BDH|1366418341023480457</stp>
        <tr r="N29" s="35"/>
      </tp>
      <tp t="e">
        <v>#N/A</v>
        <stp/>
        <stp>BDH|5992894894801675302</stp>
        <tr r="R62" s="32"/>
      </tp>
      <tp t="e">
        <v>#N/A</v>
        <stp/>
        <stp>BDH|4317000925676223661</stp>
        <tr r="V24" s="22"/>
      </tp>
      <tp t="e">
        <v>#N/A</v>
        <stp/>
        <stp>BDH|1141065620257378263</stp>
        <tr r="G28" s="38"/>
      </tp>
      <tp t="e">
        <v>#N/A</v>
        <stp/>
        <stp>BDH|1893904057149836259</stp>
        <tr r="V195" s="39"/>
      </tp>
      <tp t="e">
        <v>#N/A</v>
        <stp/>
        <stp>BDH|7344555628635599397</stp>
        <tr r="D24" s="24"/>
      </tp>
      <tp t="e">
        <v>#N/A</v>
        <stp/>
        <stp>BDH|2625467231444099731</stp>
        <tr r="F26" s="24"/>
      </tp>
      <tp t="e">
        <v>#N/A</v>
        <stp/>
        <stp>BDH|7295960099625636494</stp>
        <tr r="U50" s="32"/>
      </tp>
      <tp t="e">
        <v>#N/A</v>
        <stp/>
        <stp>BDH|1063120347854506625</stp>
        <tr r="T76" s="32"/>
      </tp>
      <tp t="e">
        <v>#N/A</v>
        <stp/>
        <stp>BDH|4479624219783870658</stp>
        <tr r="W24" s="22"/>
      </tp>
      <tp t="e">
        <v>#N/A</v>
        <stp/>
        <stp>BDH|5169185064664906074</stp>
        <tr r="Y22" s="32"/>
      </tp>
      <tp t="e">
        <v>#N/A</v>
        <stp/>
        <stp>BDH|2300957780501504402</stp>
        <tr r="AK34" s="36"/>
      </tp>
      <tp t="e">
        <v>#N/A</v>
        <stp/>
        <stp>BDH|1148359750556282752</stp>
        <tr r="AB27" s="32"/>
      </tp>
      <tp t="e">
        <v>#N/A</v>
        <stp/>
        <stp>BDH|2086174476227683543</stp>
        <tr r="AB166" s="39"/>
        <tr r="AC166" s="39"/>
      </tp>
      <tp t="e">
        <v>#N/A</v>
        <stp/>
        <stp>BDH|1861792972994418348</stp>
        <tr r="V13" s="32"/>
      </tp>
      <tp t="e">
        <v>#N/A</v>
        <stp/>
        <stp>BDH|4639450539413904603</stp>
        <tr r="N38" s="37"/>
      </tp>
      <tp t="e">
        <v>#N/A</v>
        <stp/>
        <stp>BDH|8081651768096798896</stp>
        <tr r="X173" s="39"/>
      </tp>
      <tp t="e">
        <v>#N/A</v>
        <stp/>
        <stp>BDH|8487953031840134426</stp>
        <tr r="E23" s="36"/>
      </tp>
      <tp t="e">
        <v>#N/A</v>
        <stp/>
        <stp>BDH|5038833972378537476</stp>
        <tr r="AA91" s="32"/>
      </tp>
      <tp t="e">
        <v>#N/A</v>
        <stp/>
        <stp>BDH|8323933175758546834</stp>
        <tr r="E28" s="36"/>
      </tp>
      <tp t="e">
        <v>#N/A</v>
        <stp/>
        <stp>BDH|1437057547884635739</stp>
        <tr r="C33" s="38"/>
      </tp>
      <tp t="e">
        <v>#N/A</v>
        <stp/>
        <stp>BDH|1622647831665202728</stp>
        <tr r="Z78" s="32"/>
      </tp>
      <tp t="e">
        <v>#N/A</v>
        <stp/>
        <stp>BDH|3515634861405246068</stp>
        <tr r="T24" s="36"/>
      </tp>
      <tp t="e">
        <v>#N/A</v>
        <stp/>
        <stp>BDH|1040939050489568250</stp>
        <tr r="X124" s="39"/>
      </tp>
      <tp t="e">
        <v>#N/A</v>
        <stp/>
        <stp>BDH|4026647879051982272</stp>
        <tr r="Q185" s="39"/>
      </tp>
      <tp t="e">
        <v>#N/A</v>
        <stp/>
        <stp>BDH|5697882293351992340</stp>
        <tr r="F29" s="36"/>
      </tp>
      <tp t="e">
        <v>#N/A</v>
        <stp/>
        <stp>BDH|1355603915234234446</stp>
        <tr r="Z63" s="32"/>
      </tp>
      <tp t="e">
        <v>#N/A</v>
        <stp/>
        <stp>BDH|1215460104223559056</stp>
        <tr r="V139" s="39"/>
      </tp>
      <tp t="e">
        <v>#N/A</v>
        <stp/>
        <stp>BDH|4024841993961719208</stp>
        <tr r="U28" s="36"/>
      </tp>
      <tp t="e">
        <v>#N/A</v>
        <stp/>
        <stp>BDH|5969785702521754541</stp>
        <tr r="K28" s="35"/>
      </tp>
      <tp t="e">
        <v>#N/A</v>
        <stp/>
        <stp>BDH|5976763501925809169</stp>
        <tr r="AD68" s="32"/>
      </tp>
      <tp t="e">
        <v>#N/A</v>
        <stp/>
        <stp>BDH|2967701147175845264</stp>
        <tr r="T101" s="32"/>
      </tp>
      <tp t="e">
        <v>#N/A</v>
        <stp/>
        <stp>BDH|3027122240146380616</stp>
        <tr r="U196" s="39"/>
      </tp>
      <tp t="e">
        <v>#N/A</v>
        <stp/>
        <stp>BDH|6232985504718698187</stp>
        <tr r="Y210" s="39"/>
      </tp>
      <tp t="e">
        <v>#N/A</v>
        <stp/>
        <stp>BDH|3430531786868994092</stp>
        <tr r="Y85" s="32"/>
      </tp>
      <tp t="e">
        <v>#N/A</v>
        <stp/>
        <stp>BDH|7843774533511477493</stp>
        <tr r="X30" s="22"/>
      </tp>
      <tp t="e">
        <v>#N/A</v>
        <stp/>
        <stp>BDH|9071949435242081704</stp>
        <tr r="Y101" s="32"/>
      </tp>
      <tp t="e">
        <v>#N/A</v>
        <stp/>
        <stp>BDH|5509070826113701221</stp>
        <tr r="V101" s="32"/>
      </tp>
      <tp t="e">
        <v>#N/A</v>
        <stp/>
        <stp>BDH|4392471492806357947</stp>
        <tr r="Q148" s="39"/>
      </tp>
      <tp t="e">
        <v>#N/A</v>
        <stp/>
        <stp>BDH|7632775325107234371</stp>
        <tr r="AA181" s="39"/>
      </tp>
      <tp t="e">
        <v>#N/A</v>
        <stp/>
        <stp>BDH|5965524492237172890</stp>
        <tr r="X19" s="22"/>
      </tp>
      <tp t="e">
        <v>#N/A</v>
        <stp/>
        <stp>BDH|2909040267884861639</stp>
        <tr r="Z177" s="39"/>
      </tp>
      <tp t="e">
        <v>#N/A</v>
        <stp/>
        <stp>BDH|8042642295421388031</stp>
        <tr r="AB48" s="32"/>
      </tp>
      <tp t="e">
        <v>#N/A</v>
        <stp/>
        <stp>BDH|5122568268419615981</stp>
        <tr r="N27" s="22"/>
      </tp>
      <tp t="e">
        <v>#N/A</v>
        <stp/>
        <stp>BDH|6196835559444592980</stp>
        <tr r="S52" s="32"/>
      </tp>
      <tp t="e">
        <v>#N/A</v>
        <stp/>
        <stp>BDH|2262479540490302409</stp>
        <tr r="AK32" s="36"/>
      </tp>
      <tp t="e">
        <v>#N/A</v>
        <stp/>
        <stp>BDH|2269739289083629888</stp>
        <tr r="C9" s="29"/>
      </tp>
      <tp t="e">
        <v>#N/A</v>
        <stp/>
        <stp>BDH|4884846825789605190</stp>
        <tr r="H19" s="34"/>
      </tp>
      <tp t="e">
        <v>#N/A</v>
        <stp/>
        <stp>BDH|2401328261597726666</stp>
        <tr r="W72" s="32"/>
      </tp>
      <tp t="e">
        <v>#N/A</v>
        <stp/>
        <stp>BDH|2601107837886119067</stp>
        <tr r="R191" s="39"/>
      </tp>
      <tp t="e">
        <v>#N/A</v>
        <stp/>
        <stp>BDH|9685312787165231140</stp>
        <tr r="F25" s="34"/>
      </tp>
      <tp t="e">
        <v>#N/A</v>
        <stp/>
        <stp>BDH|4325202350290197543</stp>
        <tr r="R105" s="32"/>
      </tp>
      <tp t="e">
        <v>#N/A</v>
        <stp/>
        <stp>BDH|1830345041459382980</stp>
        <tr r="M27" s="34"/>
      </tp>
      <tp t="e">
        <v>#N/A</v>
        <stp/>
        <stp>BDH|9357736070219236648</stp>
        <tr r="M32" s="36"/>
      </tp>
      <tp t="e">
        <v>#N/A</v>
        <stp/>
        <stp>BDH|2196020675610963393</stp>
        <tr r="W178" s="39"/>
      </tp>
      <tp t="e">
        <v>#N/A</v>
        <stp/>
        <stp>BDH|2756654850420200775</stp>
        <tr r="S126" s="39"/>
      </tp>
      <tp t="e">
        <v>#N/A</v>
        <stp/>
        <stp>BDH|8145960465052003357</stp>
        <tr r="P24" s="36"/>
      </tp>
      <tp t="e">
        <v>#N/A</v>
        <stp/>
        <stp>BDH|3291806922686455939</stp>
        <tr r="H24" s="34"/>
      </tp>
      <tp t="e">
        <v>#N/A</v>
        <stp/>
        <stp>BDH|2444038741868134803</stp>
        <tr r="V127" s="39"/>
      </tp>
      <tp t="e">
        <v>#N/A</v>
        <stp/>
        <stp>BDH|2356536573542246465</stp>
        <tr r="I27" s="34"/>
      </tp>
      <tp t="e">
        <v>#N/A</v>
        <stp/>
        <stp>BDH|7920487256428011806</stp>
        <tr r="S47" s="32"/>
      </tp>
      <tp t="e">
        <v>#N/A</v>
        <stp/>
        <stp>BDH|8179724579736500882</stp>
        <tr r="J27" s="35"/>
      </tp>
      <tp t="e">
        <v>#N/A</v>
        <stp/>
        <stp>BDH|2396901321598135748</stp>
        <tr r="C27" s="24"/>
      </tp>
      <tp t="e">
        <v>#N/A</v>
        <stp/>
        <stp>BDH|4910063709297787561</stp>
        <tr r="S214" s="39"/>
      </tp>
      <tp t="e">
        <v>#N/A</v>
        <stp/>
        <stp>BDH|3323155635135340279</stp>
        <tr r="V14" s="32"/>
      </tp>
      <tp t="e">
        <v>#N/A</v>
        <stp/>
        <stp>BDH|4087871344789701735</stp>
        <tr r="M26" s="37"/>
      </tp>
      <tp t="e">
        <v>#N/A</v>
        <stp/>
        <stp>BDH|1373162640286694445</stp>
        <tr r="U22" s="32"/>
      </tp>
      <tp t="e">
        <v>#N/A</v>
        <stp/>
        <stp>BDH|6838470019933611670</stp>
        <tr r="Z160" s="39"/>
      </tp>
      <tp t="e">
        <v>#N/A</v>
        <stp/>
        <stp>BDH|2563288839027325203</stp>
        <tr r="AB101" s="32"/>
      </tp>
      <tp t="e">
        <v>#N/A</v>
        <stp/>
        <stp>BDH|2263114752897557730</stp>
        <tr r="AA97" s="32"/>
      </tp>
      <tp t="e">
        <v>#N/A</v>
        <stp/>
        <stp>BDH|7600042808300696189</stp>
        <tr r="T117" s="39"/>
      </tp>
      <tp t="e">
        <v>#N/A</v>
        <stp/>
        <stp>BDH|7718186953560100592</stp>
        <tr r="V106" s="32"/>
      </tp>
      <tp t="e">
        <v>#N/A</v>
        <stp/>
        <stp>BDH|5059246863213004432</stp>
        <tr r="K25" s="36"/>
      </tp>
      <tp t="e">
        <v>#N/A</v>
        <stp/>
        <stp>BDH|7286064357657406332</stp>
        <tr r="F34" s="37"/>
      </tp>
      <tp t="e">
        <v>#N/A</v>
        <stp/>
        <stp>BDH|2263567847985130060</stp>
        <tr r="Z14" s="32"/>
      </tp>
      <tp t="e">
        <v>#N/A</v>
        <stp/>
        <stp>BDH|2650838577478608302</stp>
        <tr r="C21" s="24"/>
      </tp>
      <tp t="e">
        <v>#N/A</v>
        <stp/>
        <stp>BDH|7059159603402374214</stp>
        <tr r="AA43" s="32"/>
      </tp>
      <tp t="e">
        <v>#N/A</v>
        <stp/>
        <stp>BDH|7433918300830790865</stp>
        <tr r="V130" s="39"/>
      </tp>
      <tp t="e">
        <v>#N/A</v>
        <stp/>
        <stp>BDH|1929173049691241300</stp>
        <tr r="J29" s="24"/>
      </tp>
      <tp t="e">
        <v>#N/A</v>
        <stp/>
        <stp>BDH|1400107439530125593</stp>
        <tr r="Q134" s="39"/>
      </tp>
      <tp t="e">
        <v>#N/A</v>
        <stp/>
        <stp>BDH|2948721078251652500</stp>
        <tr r="AA132" s="39"/>
      </tp>
      <tp t="e">
        <v>#N/A</v>
        <stp/>
        <stp>BDH|6267022934884986782</stp>
        <tr r="G28" s="24"/>
      </tp>
      <tp t="e">
        <v>#N/A</v>
        <stp/>
        <stp>BDH|7280373918076850508</stp>
        <tr r="D20" s="35"/>
      </tp>
      <tp t="e">
        <v>#N/A</v>
        <stp/>
        <stp>BDH|7466533841258789846</stp>
        <tr r="U132" s="39"/>
      </tp>
      <tp t="e">
        <v>#N/A</v>
        <stp/>
        <stp>BDH|2319076241866815686</stp>
        <tr r="X67" s="32"/>
      </tp>
      <tp t="e">
        <v>#N/A</v>
        <stp/>
        <stp>BDH|7440432540474386511</stp>
        <tr r="L35" s="36"/>
      </tp>
      <tp t="e">
        <v>#N/A</v>
        <stp/>
        <stp>BDH|4185743330735166311</stp>
        <tr r="AC10" s="32"/>
      </tp>
      <tp t="e">
        <v>#N/A</v>
        <stp/>
        <stp>BDH|1263012639420628498</stp>
        <tr r="AC76" s="32"/>
      </tp>
      <tp t="e">
        <v>#N/A</v>
        <stp/>
        <stp>BDH|4637694992204187997</stp>
        <tr r="V164" s="39"/>
      </tp>
      <tp t="e">
        <v>#N/A</v>
        <stp/>
        <stp>BDH|6757036835955015645</stp>
        <tr r="AA187" s="39"/>
      </tp>
      <tp t="e">
        <v>#N/A</v>
        <stp/>
        <stp>BDH|30881010917597512</stp>
        <tr r="W52" s="32"/>
      </tp>
    </main>
    <main first="bofaddin.rtdserver">
      <tp t="e">
        <v>#N/A</v>
        <stp/>
        <stp>BDH|6133982795203140274</stp>
        <tr r="M34" s="36"/>
      </tp>
      <tp t="e">
        <v>#N/A</v>
        <stp/>
        <stp>BDH|8712794685568102802</stp>
        <tr r="Y71" s="32"/>
      </tp>
      <tp t="e">
        <v>#N/A</v>
        <stp/>
        <stp>BDH|8063537779315473841</stp>
        <tr r="V64" s="32"/>
      </tp>
      <tp t="e">
        <v>#N/A</v>
        <stp/>
        <stp>BDH|7098094305896772615</stp>
        <tr r="AI33" s="36"/>
      </tp>
      <tp t="e">
        <v>#N/A</v>
        <stp/>
        <stp>BDH|4314455660857800645</stp>
        <tr r="K32" s="37"/>
      </tp>
      <tp t="e">
        <v>#N/A</v>
        <stp/>
        <stp>BDH|1550768839082713075</stp>
        <tr r="R212" s="39"/>
      </tp>
      <tp t="e">
        <v>#N/A</v>
        <stp/>
        <stp>BDH|4100056927283024299</stp>
        <tr r="R34" s="36"/>
      </tp>
      <tp t="e">
        <v>#N/A</v>
        <stp/>
        <stp>BDH|4369481752353374113</stp>
        <tr r="X24" s="36"/>
      </tp>
      <tp t="e">
        <v>#N/A</v>
        <stp/>
        <stp>BDH|7103193133472102015</stp>
        <tr r="Q205" s="39"/>
      </tp>
      <tp t="e">
        <v>#N/A</v>
        <stp/>
        <stp>BDH|9272815539700411551</stp>
        <tr r="F37" s="38"/>
      </tp>
      <tp t="e">
        <v>#N/A</v>
        <stp/>
        <stp>BDH|3772484423316270452</stp>
        <tr r="C37" s="38"/>
      </tp>
      <tp t="e">
        <v>#N/A</v>
        <stp/>
        <stp>BDH|9427654813601845813</stp>
        <tr r="AB75" s="32"/>
      </tp>
      <tp t="e">
        <v>#N/A</v>
        <stp/>
        <stp>BDH|5345413129124333038</stp>
        <tr r="M33" s="37"/>
      </tp>
      <tp t="e">
        <v>#N/A</v>
        <stp/>
        <stp>BDH|7037582197399370544</stp>
        <tr r="Z100" s="32"/>
      </tp>
      <tp t="e">
        <v>#N/A</v>
        <stp/>
        <stp>BDH|7521955907709670097</stp>
        <tr r="Y37" s="36"/>
      </tp>
      <tp t="e">
        <v>#N/A</v>
        <stp/>
        <stp>BDH|5672348999489583165</stp>
        <tr r="Z95" s="32"/>
      </tp>
      <tp t="e">
        <v>#N/A</v>
        <stp/>
        <stp>BDH|4505173455181911668</stp>
        <tr r="AK25" s="36"/>
      </tp>
      <tp t="e">
        <v>#N/A</v>
        <stp/>
        <stp>BDH|6174350975796180382</stp>
        <tr r="H20" s="34"/>
      </tp>
      <tp t="e">
        <v>#N/A</v>
        <stp/>
        <stp>BDH|2189592732101447262</stp>
        <tr r="X193" s="39"/>
      </tp>
      <tp t="e">
        <v>#N/A</v>
        <stp/>
        <stp>BDH|6522790865809730965</stp>
        <tr r="L19" s="22"/>
      </tp>
      <tp t="e">
        <v>#N/A</v>
        <stp/>
        <stp>BDH|9727499390664018760</stp>
        <tr r="R24" s="32"/>
      </tp>
      <tp t="e">
        <v>#N/A</v>
        <stp/>
        <stp>BDH|8932229281946689345</stp>
        <tr r="W64" s="32"/>
      </tp>
      <tp t="e">
        <v>#N/A</v>
        <stp/>
        <stp>BDH|4439296847831549477</stp>
        <tr r="AB123" s="39"/>
        <tr r="AC123" s="39"/>
      </tp>
      <tp t="e">
        <v>#N/A</v>
        <stp/>
        <stp>BDH|9883076302289107759</stp>
        <tr r="Z180" s="39"/>
      </tp>
      <tp t="e">
        <v>#N/A</v>
        <stp/>
        <stp>BDH|3783732799108356277</stp>
        <tr r="J27" s="34"/>
      </tp>
      <tp t="e">
        <v>#N/A</v>
        <stp/>
        <stp>BDH|2192920800508219486</stp>
        <tr r="X212" s="39"/>
      </tp>
      <tp t="e">
        <v>#N/A</v>
        <stp/>
        <stp>BDH|7196024023287932506</stp>
        <tr r="V209" s="39"/>
      </tp>
      <tp t="e">
        <v>#N/A</v>
        <stp/>
        <stp>BDH|3635148520142269596</stp>
        <tr r="L29" s="37"/>
      </tp>
      <tp t="e">
        <v>#N/A</v>
        <stp/>
        <stp>BDH|4149313033217305499</stp>
        <tr r="L38" s="37"/>
      </tp>
      <tp t="e">
        <v>#N/A</v>
        <stp/>
        <stp>BDH|3605260253852932134</stp>
        <tr r="H24" s="22"/>
      </tp>
      <tp t="e">
        <v>#N/A</v>
        <stp/>
        <stp>BDH|3317417813819873806</stp>
        <tr r="T156" s="39"/>
      </tp>
      <tp t="e">
        <v>#N/A</v>
        <stp/>
        <stp>BDH|8531054996515987365</stp>
        <tr r="AF32" s="36"/>
      </tp>
      <tp t="e">
        <v>#N/A</v>
        <stp/>
        <stp>BDH|7088197315763491361</stp>
        <tr r="T105" s="32"/>
      </tp>
      <tp t="e">
        <v>#N/A</v>
        <stp/>
        <stp>BDH|6345834404539965034</stp>
        <tr r="Z7" s="32"/>
      </tp>
      <tp t="e">
        <v>#N/A</v>
        <stp/>
        <stp>BDH|5329469340943812135</stp>
        <tr r="V157" s="39"/>
      </tp>
      <tp t="e">
        <v>#N/A</v>
        <stp/>
        <stp>BDH|2395491446315112033</stp>
        <tr r="X21" s="35"/>
      </tp>
      <tp t="e">
        <v>#N/A</v>
        <stp/>
        <stp>BDH|8984414926540149916</stp>
        <tr r="AA186" s="39"/>
      </tp>
      <tp t="e">
        <v>#N/A</v>
        <stp/>
        <stp>BDH|2785871565088870330</stp>
        <tr r="X188" s="39"/>
      </tp>
      <tp t="e">
        <v>#N/A</v>
        <stp/>
        <stp>BDH|8129110493870832748</stp>
        <tr r="V158" s="39"/>
      </tp>
      <tp t="e">
        <v>#N/A</v>
        <stp/>
        <stp>BDH|4966613191788347452</stp>
        <tr r="K24" s="22"/>
      </tp>
      <tp t="e">
        <v>#N/A</v>
        <stp/>
        <stp>BDH|4152716747264819407</stp>
        <tr r="AA141" s="39"/>
      </tp>
      <tp t="e">
        <v>#N/A</v>
        <stp/>
        <stp>BDH|1152590906846540541</stp>
        <tr r="S103" s="32"/>
      </tp>
      <tp t="e">
        <v>#N/A</v>
        <stp/>
        <stp>BDH|9533865467946852630</stp>
        <tr r="U102" s="32"/>
      </tp>
      <tp t="e">
        <v>#N/A</v>
        <stp/>
        <stp>BDH|6330888425049312220</stp>
        <tr r="C26" s="38"/>
      </tp>
      <tp t="e">
        <v>#N/A</v>
        <stp/>
        <stp>BDH|8412437489834764764</stp>
        <tr r="C24" s="22"/>
      </tp>
      <tp t="e">
        <v>#N/A</v>
        <stp/>
        <stp>BDH|4076707465087886526</stp>
        <tr r="U32" s="32"/>
      </tp>
      <tp t="e">
        <v>#N/A</v>
        <stp/>
        <stp>BDH|9439360182284542194</stp>
        <tr r="S175" s="39"/>
      </tp>
      <tp t="e">
        <v>#N/A</v>
        <stp/>
        <stp>BDH|9476552404013172880</stp>
        <tr r="X162" s="39"/>
      </tp>
      <tp t="e">
        <v>#N/A</v>
        <stp/>
        <stp>BDH|9065165728338049526</stp>
        <tr r="F29" s="24"/>
      </tp>
      <tp t="e">
        <v>#N/A</v>
        <stp/>
        <stp>BDH|4347318198309383052</stp>
        <tr r="R30" s="22"/>
      </tp>
      <tp t="e">
        <v>#N/A</v>
        <stp/>
        <stp>BDH|2157514292078673181</stp>
        <tr r="AG24" s="36"/>
      </tp>
      <tp t="e">
        <v>#N/A</v>
        <stp/>
        <stp>BDH|3187480164013320522</stp>
        <tr r="W29" s="22"/>
      </tp>
      <tp t="e">
        <v>#N/A</v>
        <stp/>
        <stp>BDH|7120068307742500295</stp>
        <tr r="Q214" s="39"/>
      </tp>
      <tp t="e">
        <v>#N/A</v>
        <stp/>
        <stp>BDH|8359439392522981079</stp>
        <tr r="X13" s="32"/>
      </tp>
      <tp t="e">
        <v>#N/A</v>
        <stp/>
        <stp>BDH|3263842951399302094</stp>
        <tr r="AG26" s="36"/>
      </tp>
      <tp t="e">
        <v>#N/A</v>
        <stp/>
        <stp>BDH|3591413278263027419</stp>
        <tr r="G26" s="34"/>
      </tp>
      <tp t="e">
        <v>#N/A</v>
        <stp/>
        <stp>BDH|5462470442951427385</stp>
        <tr r="M29" s="36"/>
      </tp>
      <tp t="e">
        <v>#N/A</v>
        <stp/>
        <stp>BDH|5450401231912054780</stp>
        <tr r="AB26" s="36"/>
      </tp>
      <tp t="e">
        <v>#N/A</v>
        <stp/>
        <stp>BDH|8386881527445142003</stp>
        <tr r="AB24" s="36"/>
      </tp>
      <tp t="e">
        <v>#N/A</v>
        <stp/>
        <stp>BDH|2165173429941268705</stp>
        <tr r="Z130" s="39"/>
      </tp>
    </main>
    <main first="bofaddin.rtdserver">
      <tp t="e">
        <v>#N/A</v>
        <stp/>
        <stp>BDH|3266172406323615676</stp>
        <tr r="W34" s="36"/>
      </tp>
      <tp t="e">
        <v>#N/A</v>
        <stp/>
        <stp>BDH|9757675501279250112</stp>
        <tr r="AB152" s="39"/>
        <tr r="AC152" s="39"/>
      </tp>
      <tp t="e">
        <v>#N/A</v>
        <stp/>
        <stp>BDH|4530245770601533767</stp>
        <tr r="U6" s="32"/>
      </tp>
      <tp t="e">
        <v>#N/A</v>
        <stp/>
        <stp>BDH|5228717224534607334</stp>
        <tr r="AB58" s="32"/>
      </tp>
      <tp t="e">
        <v>#N/A</v>
        <stp/>
        <stp>BDH|2752241764787373663</stp>
        <tr r="V76" s="32"/>
      </tp>
      <tp t="e">
        <v>#N/A</v>
        <stp/>
        <stp>BDH|7298298378705074017</stp>
        <tr r="P22" s="34"/>
      </tp>
      <tp t="e">
        <v>#N/A</v>
        <stp/>
        <stp>BDH|9951048686052140481</stp>
        <tr r="S43" s="32"/>
      </tp>
      <tp t="e">
        <v>#N/A</v>
        <stp/>
        <stp>BDH|2041223163416099731</stp>
        <tr r="R207" s="39"/>
      </tp>
      <tp t="e">
        <v>#N/A</v>
        <stp/>
        <stp>BDH|6021442266724784771</stp>
        <tr r="D36" s="36"/>
      </tp>
      <tp t="e">
        <v>#N/A</v>
        <stp/>
        <stp>BDH|1612268574682354154</stp>
        <tr r="R85" s="32"/>
      </tp>
      <tp t="e">
        <v>#N/A</v>
        <stp/>
        <stp>BDH|5337028323847422754</stp>
        <tr r="L28" s="34"/>
      </tp>
      <tp t="e">
        <v>#N/A</v>
        <stp/>
        <stp>BDH|4992241717524834417</stp>
        <tr r="C26" s="22"/>
      </tp>
      <tp t="e">
        <v>#N/A</v>
        <stp/>
        <stp>BDH|4251805921920368935</stp>
        <tr r="X151" s="39"/>
      </tp>
      <tp t="e">
        <v>#N/A</v>
        <stp/>
        <stp>BDH|5275058817436154522</stp>
        <tr r="K32" s="38"/>
      </tp>
      <tp t="e">
        <v>#N/A</v>
        <stp/>
        <stp>BDH|3008607526031499110</stp>
        <tr r="V33" s="36"/>
      </tp>
      <tp t="e">
        <v>#N/A</v>
        <stp/>
        <stp>BDH|2635678477705297147</stp>
        <tr r="AB21" s="35"/>
      </tp>
      <tp t="e">
        <v>#N/A</v>
        <stp/>
        <stp>BDH|6334063531681275363</stp>
        <tr r="V27" s="35"/>
      </tp>
      <tp t="e">
        <v>#N/A</v>
        <stp/>
        <stp>BDH|7250834280110941081</stp>
        <tr r="Y28" s="22"/>
      </tp>
      <tp t="e">
        <v>#N/A</v>
        <stp/>
        <stp>BDH|4656605420661164677</stp>
        <tr r="G20" s="35"/>
      </tp>
      <tp t="e">
        <v>#N/A</v>
        <stp/>
        <stp>BDH|2944913015785412896</stp>
        <tr r="D19" s="22"/>
      </tp>
      <tp t="e">
        <v>#N/A</v>
        <stp/>
        <stp>BDH|1628534130853049348</stp>
        <tr r="AJ33" s="36"/>
      </tp>
      <tp t="e">
        <v>#N/A</v>
        <stp/>
        <stp>BDH|5821296112440274102</stp>
        <tr r="T165" s="39"/>
      </tp>
      <tp t="e">
        <v>#N/A</v>
        <stp/>
        <stp>BDH|3099590151332178688</stp>
        <tr r="R166" s="39"/>
      </tp>
      <tp t="e">
        <v>#N/A</v>
        <stp/>
        <stp>BDH|5094128675135174173</stp>
        <tr r="X183" s="39"/>
      </tp>
      <tp t="e">
        <v>#N/A</v>
        <stp/>
        <stp>BDH|6775825194095904595</stp>
        <tr r="Y21" s="32"/>
      </tp>
      <tp t="e">
        <v>#N/A</v>
        <stp/>
        <stp>BDH|7555695959515022641</stp>
        <tr r="U201" s="39"/>
      </tp>
      <tp t="e">
        <v>#N/A</v>
        <stp/>
        <stp>BDH|2723987909024400833</stp>
        <tr r="AB169" s="39"/>
        <tr r="AC169" s="39"/>
      </tp>
      <tp t="e">
        <v>#N/A</v>
        <stp/>
        <stp>BDH|8565076642532881995</stp>
        <tr r="U23" s="22"/>
      </tp>
      <tp t="e">
        <v>#N/A</v>
        <stp/>
        <stp>BDH|7543059125490325271</stp>
        <tr r="Q37" s="36"/>
      </tp>
      <tp t="e">
        <v>#N/A</v>
        <stp/>
        <stp>BDH|8666593877608095597</stp>
        <tr r="R34" s="32"/>
      </tp>
      <tp t="e">
        <v>#N/A</v>
        <stp/>
        <stp>BDH|7802286877670096566</stp>
        <tr r="T185" s="39"/>
      </tp>
      <tp t="e">
        <v>#N/A</v>
        <stp/>
        <stp>BDH|7928934268068671725</stp>
        <tr r="AA153" s="39"/>
      </tp>
      <tp t="e">
        <v>#N/A</v>
        <stp/>
        <stp>BDH|2338353705677197148</stp>
        <tr r="I35" s="38"/>
      </tp>
      <tp t="e">
        <v>#N/A</v>
        <stp/>
        <stp>BDH|3901562258407731363</stp>
        <tr r="Z155" s="39"/>
      </tp>
      <tp t="e">
        <v>#N/A</v>
        <stp/>
        <stp>BDH|3313253008924922212</stp>
        <tr r="W108" s="32"/>
      </tp>
      <tp t="e">
        <v>#N/A</v>
        <stp/>
        <stp>BDH|8739713152764497963</stp>
        <tr r="Z189" s="39"/>
      </tp>
      <tp t="e">
        <v>#N/A</v>
        <stp/>
        <stp>BDH|7926222416660892333</stp>
        <tr r="R28" s="35"/>
      </tp>
      <tp t="e">
        <v>#N/A</v>
        <stp/>
        <stp>BDH|8984987537403017605</stp>
        <tr r="X26" s="35"/>
      </tp>
      <tp t="e">
        <v>#N/A</v>
        <stp/>
        <stp>BDH|9396910873026547622</stp>
        <tr r="V204" s="39"/>
      </tp>
      <tp t="e">
        <v>#N/A</v>
        <stp/>
        <stp>BDH|3841008759723695203</stp>
        <tr r="F29" s="22"/>
      </tp>
      <tp t="e">
        <v>#N/A</v>
        <stp/>
        <stp>BDH|6076704429051613582</stp>
        <tr r="Z212" s="39"/>
      </tp>
      <tp t="e">
        <v>#N/A</v>
        <stp/>
        <stp>BDH|3322628626964976491</stp>
        <tr r="AC65" s="32"/>
      </tp>
      <tp t="e">
        <v>#N/A</v>
        <stp/>
        <stp>BDH|2473780955880808767</stp>
        <tr r="Y8" s="32"/>
      </tp>
      <tp t="e">
        <v>#N/A</v>
        <stp/>
        <stp>BDH|2876326769830641022</stp>
        <tr r="Y32" s="36"/>
      </tp>
      <tp t="e">
        <v>#N/A</v>
        <stp/>
        <stp>BDH|6077608227884167121</stp>
        <tr r="T118" s="39"/>
      </tp>
      <tp t="e">
        <v>#N/A</v>
        <stp/>
        <stp>BDH|8902513199611051253</stp>
        <tr r="F24" s="36"/>
      </tp>
      <tp t="e">
        <v>#N/A</v>
        <stp/>
        <stp>BDH|4893748649689101904</stp>
        <tr r="V53" s="32"/>
      </tp>
      <tp t="e">
        <v>#N/A</v>
        <stp/>
        <stp>BDH|7278070115437438605</stp>
        <tr r="R213" s="39"/>
      </tp>
      <tp t="e">
        <v>#N/A</v>
        <stp/>
        <stp>BDH|9067454153858194735</stp>
        <tr r="S28" s="36"/>
      </tp>
      <tp t="e">
        <v>#N/A</v>
        <stp/>
        <stp>BDH|9967926680276734989</stp>
        <tr r="D37" s="37"/>
      </tp>
      <tp t="e">
        <v>#N/A</v>
        <stp/>
        <stp>BDH|7780260835378073906</stp>
        <tr r="T3" s="32"/>
      </tp>
      <tp t="e">
        <v>#N/A</v>
        <stp/>
        <stp>BDH|7337579418953161798</stp>
        <tr r="P29" s="36"/>
      </tp>
      <tp t="e">
        <v>#N/A</v>
        <stp/>
        <stp>BDH|4407431470874757459</stp>
        <tr r="AC107" s="32"/>
      </tp>
      <tp t="e">
        <v>#N/A</v>
        <stp/>
        <stp>BDH|1047982607199284688</stp>
        <tr r="AD30" s="32"/>
      </tp>
      <tp t="e">
        <v>#N/A</v>
        <stp/>
        <stp>BDH|1413845324748336426</stp>
        <tr r="N27" s="36"/>
      </tp>
      <tp t="e">
        <v>#N/A</v>
        <stp/>
        <stp>BDH|6443285739300406044</stp>
        <tr r="AB32" s="32"/>
      </tp>
      <tp t="e">
        <v>#N/A</v>
        <stp/>
        <stp>BDH|2149602576570542471</stp>
        <tr r="W110" s="32"/>
      </tp>
      <tp t="e">
        <v>#N/A</v>
        <stp/>
        <stp>BDH|5023547447542459123</stp>
        <tr r="S51" s="32"/>
      </tp>
      <tp t="e">
        <v>#N/A</v>
        <stp/>
        <stp>BDH|6348291510406676490</stp>
        <tr r="S70" s="32"/>
      </tp>
      <tp t="e">
        <v>#N/A</v>
        <stp/>
        <stp>BDH|4467269170405012373</stp>
        <tr r="AA18" s="35"/>
      </tp>
      <tp t="e">
        <v>#N/A</v>
        <stp/>
        <stp>BDH|2717536837204092765</stp>
        <tr r="R216" s="39"/>
      </tp>
      <tp t="e">
        <v>#N/A</v>
        <stp/>
        <stp>BDH|8141448184614571715</stp>
        <tr r="T138" s="39"/>
      </tp>
      <tp t="e">
        <v>#N/A</v>
        <stp/>
        <stp>BDH|3402626740333311508</stp>
        <tr r="H21" s="24"/>
      </tp>
      <tp t="e">
        <v>#N/A</v>
        <stp/>
        <stp>BDH|5359509245731339206</stp>
        <tr r="AD58" s="32"/>
      </tp>
    </main>
    <main first="bofaddin.rtdserver">
      <tp t="e">
        <v>#N/A</v>
        <stp/>
        <stp>BDH|9115049901128693181</stp>
        <tr r="AB23" s="32"/>
      </tp>
      <tp t="e">
        <v>#N/A</v>
        <stp/>
        <stp>BDH|5834514434863611017</stp>
        <tr r="T47" s="32"/>
      </tp>
      <tp t="e">
        <v>#N/A</v>
        <stp/>
        <stp>BDH|4834959452498159043</stp>
        <tr r="Y181" s="39"/>
      </tp>
      <tp t="e">
        <v>#N/A</v>
        <stp/>
        <stp>BDH|5462527979922512501</stp>
        <tr r="K23" s="36"/>
      </tp>
      <tp t="e">
        <v>#N/A</v>
        <stp/>
        <stp>BDH|7032558451022844564</stp>
        <tr r="Z144" s="39"/>
      </tp>
      <tp t="e">
        <v>#N/A</v>
        <stp/>
        <stp>BDH|1678409259402446213</stp>
        <tr r="V160" s="39"/>
      </tp>
      <tp t="e">
        <v>#N/A</v>
        <stp/>
        <stp>BDH|5232192910887424257</stp>
        <tr r="K34" s="38"/>
      </tp>
      <tp t="e">
        <v>#N/A</v>
        <stp/>
        <stp>BDH|7624602240871901454</stp>
        <tr r="T210" s="39"/>
      </tp>
      <tp t="e">
        <v>#N/A</v>
        <stp/>
        <stp>BDH|8810408942449398127</stp>
        <tr r="J28" s="24"/>
      </tp>
      <tp t="e">
        <v>#N/A</v>
        <stp/>
        <stp>BDH|4053818188920757453</stp>
        <tr r="V33" s="32"/>
      </tp>
      <tp t="e">
        <v>#N/A</v>
        <stp/>
        <stp>BDH|8991039658305023897</stp>
        <tr r="C15" s="29"/>
      </tp>
      <tp t="e">
        <v>#N/A</v>
        <stp/>
        <stp>BDH|7367298848907999606</stp>
        <tr r="H27" s="34"/>
      </tp>
      <tp t="e">
        <v>#N/A</v>
        <stp/>
        <stp>BDH|1784573648072469270</stp>
        <tr r="AE29" s="36"/>
      </tp>
      <tp t="e">
        <v>#N/A</v>
        <stp/>
        <stp>BDH|5931795248601286714</stp>
        <tr r="M25" s="35"/>
      </tp>
      <tp t="e">
        <v>#N/A</v>
        <stp/>
        <stp>BDH|4802550944336507343</stp>
        <tr r="X42" s="32"/>
      </tp>
      <tp t="e">
        <v>#N/A</v>
        <stp/>
        <stp>BDH|8606403282624525094</stp>
        <tr r="T46" s="32"/>
      </tp>
      <tp t="e">
        <v>#N/A</v>
        <stp/>
        <stp>BDH|7576660093501122997</stp>
        <tr r="AA136" s="39"/>
      </tp>
      <tp t="e">
        <v>#N/A</v>
        <stp/>
        <stp>BDH|2637429575657190682</stp>
        <tr r="J30" s="34"/>
      </tp>
      <tp t="e">
        <v>#N/A</v>
        <stp/>
        <stp>BDH|6501538372671874542</stp>
        <tr r="R25" s="32"/>
      </tp>
      <tp t="e">
        <v>#N/A</v>
        <stp/>
        <stp>BDH|2502492282907168971</stp>
        <tr r="R167" s="39"/>
      </tp>
      <tp t="e">
        <v>#N/A</v>
        <stp/>
        <stp>BDH|1170010601606079799</stp>
        <tr r="S160" s="39"/>
      </tp>
      <tp t="e">
        <v>#N/A</v>
        <stp/>
        <stp>BDH|1530995898271578081</stp>
        <tr r="R181" s="39"/>
      </tp>
      <tp t="e">
        <v>#N/A</v>
        <stp/>
        <stp>BDH|8878932213777756765</stp>
        <tr r="H25" s="22"/>
      </tp>
      <tp t="e">
        <v>#N/A</v>
        <stp/>
        <stp>BDH|1033874404419811026</stp>
        <tr r="AB93" s="32"/>
      </tp>
      <tp t="e">
        <v>#N/A</v>
        <stp/>
        <stp>BDH|2085894635171230879</stp>
        <tr r="Y20" s="22"/>
      </tp>
      <tp t="e">
        <v>#N/A</v>
        <stp/>
        <stp>BDH|3249261889898635129</stp>
        <tr r="S15" s="32"/>
      </tp>
      <tp t="e">
        <v>#N/A</v>
        <stp/>
        <stp>BDH|9829896512594956432</stp>
        <tr r="G27" s="24"/>
      </tp>
      <tp t="e">
        <v>#N/A</v>
        <stp/>
        <stp>BDH|4751844538726555979</stp>
        <tr r="N30" s="38"/>
      </tp>
      <tp t="e">
        <v>#N/A</v>
        <stp/>
        <stp>BDH|3028644816577881336</stp>
        <tr r="G29" s="24"/>
      </tp>
      <tp t="e">
        <v>#N/A</v>
        <stp/>
        <stp>BDH|6652104080896930966</stp>
        <tr r="T139" s="39"/>
      </tp>
      <tp t="e">
        <v>#N/A</v>
        <stp/>
        <stp>BDH|8060843331511859234</stp>
        <tr r="F27" s="35"/>
      </tp>
      <tp t="e">
        <v>#N/A</v>
        <stp/>
        <stp>BDH|7747545331540429184</stp>
        <tr r="Z24" s="35"/>
      </tp>
      <tp t="e">
        <v>#N/A</v>
        <stp/>
        <stp>BDH|6172514822755555495</stp>
        <tr r="R92" s="32"/>
      </tp>
      <tp t="e">
        <v>#N/A</v>
        <stp/>
        <stp>BDH|1250985586682436261</stp>
        <tr r="Q21" s="35"/>
      </tp>
      <tp t="e">
        <v>#N/A</v>
        <stp/>
        <stp>BDH|4949133832776002071</stp>
        <tr r="X120" s="39"/>
      </tp>
      <tp t="e">
        <v>#N/A</v>
        <stp/>
        <stp>BDH|3407436511781931701</stp>
        <tr r="T97" s="32"/>
      </tp>
      <tp t="e">
        <v>#N/A</v>
        <stp/>
        <stp>BDH|7406113859383773040</stp>
        <tr r="M22" s="34"/>
      </tp>
      <tp t="e">
        <v>#N/A</v>
        <stp/>
        <stp>BDH|6063617494810867928</stp>
        <tr r="X119" s="39"/>
      </tp>
      <tp t="e">
        <v>#N/A</v>
        <stp/>
        <stp>BDH|5221014328716557112</stp>
        <tr r="Y30" s="32"/>
      </tp>
      <tp t="e">
        <v>#N/A</v>
        <stp/>
        <stp>BDH|7821393204652857624</stp>
        <tr r="Z205" s="39"/>
      </tp>
      <tp t="e">
        <v>#N/A</v>
        <stp/>
        <stp>BDH|2325312258150303469</stp>
        <tr r="Z59" s="32"/>
      </tp>
      <tp t="e">
        <v>#N/A</v>
        <stp/>
        <stp>BDH|1231916045758169489</stp>
        <tr r="R22" s="34"/>
      </tp>
      <tp t="e">
        <v>#N/A</v>
        <stp/>
        <stp>BDH|3542109342577143190</stp>
        <tr r="T27" s="34"/>
      </tp>
      <tp t="e">
        <v>#N/A</v>
        <stp/>
        <stp>BDH|4307446818860265124</stp>
        <tr r="N24" s="34"/>
      </tp>
      <tp t="e">
        <v>#N/A</v>
        <stp/>
        <stp>BDH|7884475165322689739</stp>
        <tr r="T134" s="39"/>
      </tp>
      <tp t="e">
        <v>#N/A</v>
        <stp/>
        <stp>BDH|5828468182140442971</stp>
        <tr r="Z171" s="39"/>
      </tp>
      <tp t="e">
        <v>#N/A</v>
        <stp/>
        <stp>BDH|4337731329522532307</stp>
        <tr r="L19" s="34"/>
      </tp>
      <tp t="e">
        <v>#N/A</v>
        <stp/>
        <stp>BDH|6761718376391463789</stp>
        <tr r="I24" s="34"/>
      </tp>
      <tp t="e">
        <v>#N/A</v>
        <stp/>
        <stp>BDH|3641591954695501627</stp>
        <tr r="X74" s="32"/>
      </tp>
      <tp t="e">
        <v>#N/A</v>
        <stp/>
        <stp>BDH|3492546134505050086</stp>
        <tr r="E28" s="38"/>
      </tp>
      <tp t="e">
        <v>#N/A</v>
        <stp/>
        <stp>BDH|2889790177277303593</stp>
        <tr r="X46" s="32"/>
      </tp>
      <tp t="e">
        <v>#N/A</v>
        <stp/>
        <stp>BDH|1810256379606893207</stp>
        <tr r="T36" s="32"/>
      </tp>
      <tp t="e">
        <v>#N/A</v>
        <stp/>
        <stp>BDH|4182472379641004632</stp>
        <tr r="J33" s="38"/>
      </tp>
      <tp t="e">
        <v>#N/A</v>
        <stp/>
        <stp>BDH|9398260264889884449</stp>
        <tr r="K29" s="24"/>
      </tp>
      <tp t="e">
        <v>#N/A</v>
        <stp/>
        <stp>BDH|4554150474404847617</stp>
        <tr r="V97" s="32"/>
      </tp>
      <tp t="e">
        <v>#N/A</v>
        <stp/>
        <stp>BDH|3205595961959294950</stp>
        <tr r="AC45" s="32"/>
      </tp>
      <tp t="e">
        <v>#N/A</v>
        <stp/>
        <stp>BDH|4852316331205479113</stp>
        <tr r="S113" s="39"/>
      </tp>
      <tp t="e">
        <v>#N/A</v>
        <stp/>
        <stp>BDH|7897614566195303219</stp>
        <tr r="L31" s="37"/>
      </tp>
      <tp t="e">
        <v>#N/A</v>
        <stp/>
        <stp>BDH|2227611703071517585</stp>
        <tr r="AG23" s="36"/>
      </tp>
      <tp t="e">
        <v>#N/A</v>
        <stp/>
        <stp>BDH|6327638039574216766</stp>
        <tr r="H30" s="38"/>
      </tp>
      <tp t="e">
        <v>#N/A</v>
        <stp/>
        <stp>BDH|5603419728382370111</stp>
        <tr r="R25" s="22"/>
      </tp>
      <tp t="e">
        <v>#N/A</v>
        <stp/>
        <stp>BDH|5979263503061822698</stp>
        <tr r="AB40" s="32"/>
      </tp>
      <tp t="e">
        <v>#N/A</v>
        <stp/>
        <stp>BDH|3638182447931065740</stp>
        <tr r="AB99" s="32"/>
      </tp>
    </main>
    <main first="bofaddin.rtdserver">
      <tp t="e">
        <v>#N/A</v>
        <stp/>
        <stp>BDH|7026776150125707024</stp>
        <tr r="I26" s="24"/>
      </tp>
      <tp t="e">
        <v>#N/A</v>
        <stp/>
        <stp>BDH|1577360361886255228</stp>
        <tr r="AA58" s="32"/>
      </tp>
      <tp t="e">
        <v>#N/A</v>
        <stp/>
        <stp>BDH|2305468877511886081</stp>
        <tr r="W56" s="32"/>
      </tp>
      <tp t="e">
        <v>#N/A</v>
        <stp/>
        <stp>BDH|9064360784041230323</stp>
        <tr r="R75" s="32"/>
      </tp>
      <tp t="e">
        <v>#N/A</v>
        <stp/>
        <stp>BDH|4387728707814750730</stp>
        <tr r="J25" s="35"/>
      </tp>
      <tp t="e">
        <v>#N/A</v>
        <stp/>
        <stp>BDH|7863557912784916756</stp>
        <tr r="W43" s="32"/>
      </tp>
      <tp t="e">
        <v>#N/A</v>
        <stp/>
        <stp>BDH|1068202957420053645</stp>
        <tr r="W91" s="32"/>
      </tp>
      <tp t="e">
        <v>#N/A</v>
        <stp/>
        <stp>BDH|1514704601435069377</stp>
        <tr r="Z207" s="39"/>
      </tp>
      <tp t="e">
        <v>#N/A</v>
        <stp/>
        <stp>BDH|8342695322615238994</stp>
        <tr r="AD49" s="32"/>
      </tp>
      <tp t="e">
        <v>#N/A</v>
        <stp/>
        <stp>BDH|2271033259761989628</stp>
        <tr r="R49" s="32"/>
      </tp>
      <tp t="e">
        <v>#N/A</v>
        <stp/>
        <stp>BDH|3390238643224532152</stp>
        <tr r="T204" s="39"/>
      </tp>
      <tp t="e">
        <v>#N/A</v>
        <stp/>
        <stp>BDH|3551817296942991087</stp>
        <tr r="Y42" s="32"/>
      </tp>
      <tp t="e">
        <v>#N/A</v>
        <stp/>
        <stp>BDH|8271806377765431222</stp>
        <tr r="Y184" s="39"/>
      </tp>
      <tp t="e">
        <v>#N/A</v>
        <stp/>
        <stp>BDH|3606316725315397727</stp>
        <tr r="S145" s="39"/>
      </tp>
      <tp t="e">
        <v>#N/A</v>
        <stp/>
        <stp>BDH|4197116174425534723</stp>
        <tr r="H24" s="35"/>
      </tp>
      <tp t="e">
        <v>#N/A</v>
        <stp/>
        <stp>BDH|4525600953914012350</stp>
        <tr r="AB16" s="32"/>
      </tp>
      <tp t="e">
        <v>#N/A</v>
        <stp/>
        <stp>BDH|4348403147330281456</stp>
        <tr r="Y82" s="32"/>
      </tp>
      <tp t="e">
        <v>#N/A</v>
        <stp/>
        <stp>BDH|5990587555771752401</stp>
        <tr r="T26" s="35"/>
      </tp>
      <tp t="e">
        <v>#N/A</v>
        <stp/>
        <stp>BDH|4870803985887917372</stp>
        <tr r="Y28" s="35"/>
      </tp>
      <tp t="e">
        <v>#N/A</v>
        <stp/>
        <stp>BDH|9390896239937673550</stp>
        <tr r="E36" s="38"/>
      </tp>
      <tp t="e">
        <v>#N/A</v>
        <stp/>
        <stp>BDH|7911091132092315610</stp>
        <tr r="Y99" s="32"/>
      </tp>
      <tp t="e">
        <v>#N/A</v>
        <stp/>
        <stp>BDH|7758998280143899565</stp>
        <tr r="W152" s="39"/>
      </tp>
      <tp t="e">
        <v>#N/A</v>
        <stp/>
        <stp>BDH|3478572058627342487</stp>
        <tr r="W19" s="35"/>
      </tp>
      <tp t="e">
        <v>#N/A</v>
        <stp/>
        <stp>BDH|6791237475445529648</stp>
        <tr r="N38" s="38"/>
      </tp>
      <tp t="e">
        <v>#N/A</v>
        <stp/>
        <stp>BDH|8893497393560782550</stp>
        <tr r="T212" s="39"/>
      </tp>
      <tp t="e">
        <v>#N/A</v>
        <stp/>
        <stp>BDH|6734753310359275907</stp>
        <tr r="Y123" s="39"/>
      </tp>
      <tp t="e">
        <v>#N/A</v>
        <stp/>
        <stp>BDH|2104633736716243163</stp>
        <tr r="AA51" s="32"/>
      </tp>
      <tp t="e">
        <v>#N/A</v>
        <stp/>
        <stp>BDH|5218619627970616123</stp>
        <tr r="AB91" s="32"/>
      </tp>
      <tp t="e">
        <v>#N/A</v>
        <stp/>
        <stp>BDH|7956072230933798795</stp>
        <tr r="I19" s="24"/>
      </tp>
      <tp t="e">
        <v>#N/A</v>
        <stp/>
        <stp>BDH|7509421012743627136</stp>
        <tr r="L33" s="37"/>
      </tp>
      <tp t="e">
        <v>#N/A</v>
        <stp/>
        <stp>BDH|2839435767386590699</stp>
        <tr r="U89" s="32"/>
      </tp>
      <tp t="e">
        <v>#N/A</v>
        <stp/>
        <stp>BDH|8064478583866005243</stp>
        <tr r="T77" s="32"/>
      </tp>
      <tp t="e">
        <v>#N/A</v>
        <stp/>
        <stp>BDH|3904285245055088048</stp>
        <tr r="W189" s="39"/>
      </tp>
      <tp t="e">
        <v>#N/A</v>
        <stp/>
        <stp>BDH|4775461623873417168</stp>
        <tr r="K27" s="36"/>
      </tp>
      <tp t="e">
        <v>#N/A</v>
        <stp/>
        <stp>BDH|4861088470261066206</stp>
        <tr r="Y24" s="36"/>
      </tp>
      <tp t="e">
        <v>#N/A</v>
        <stp/>
        <stp>BDH|8289072003909291144</stp>
        <tr r="AB154" s="39"/>
        <tr r="AC154" s="39"/>
      </tp>
      <tp t="e">
        <v>#N/A</v>
        <stp/>
        <stp>BDH|4602420663621200746</stp>
        <tr r="AH25" s="36"/>
      </tp>
      <tp t="e">
        <v>#N/A</v>
        <stp/>
        <stp>BDH|2655343523740428343</stp>
        <tr r="Y25" s="35"/>
      </tp>
      <tp t="e">
        <v>#N/A</v>
        <stp/>
        <stp>BDH|4338096354916882774</stp>
        <tr r="X34" s="32"/>
      </tp>
      <tp t="e">
        <v>#N/A</v>
        <stp/>
        <stp>BDH|5957388463205269519</stp>
        <tr r="AD55" s="32"/>
      </tp>
      <tp t="e">
        <v>#N/A</v>
        <stp/>
        <stp>BDH|9675692893841963748</stp>
        <tr r="R114" s="39"/>
      </tp>
      <tp t="e">
        <v>#N/A</v>
        <stp/>
        <stp>BDH|2262137641530965787</stp>
        <tr r="AB119" s="39"/>
        <tr r="AC119" s="39"/>
      </tp>
      <tp t="e">
        <v>#N/A</v>
        <stp/>
        <stp>BDH|8306162642538165576</stp>
        <tr r="AB26" s="35"/>
      </tp>
      <tp t="e">
        <v>#N/A</v>
        <stp/>
        <stp>BDH|9087687685830532793</stp>
        <tr r="AB114" s="39"/>
        <tr r="AC114" s="39"/>
      </tp>
      <tp t="e">
        <v>#N/A</v>
        <stp/>
        <stp>BDH|4436741230553097318</stp>
        <tr r="AD102" s="32"/>
      </tp>
      <tp t="e">
        <v>#N/A</v>
        <stp/>
        <stp>BDH|5408629857121958797</stp>
        <tr r="AB113" s="39"/>
        <tr r="AC113" s="39"/>
      </tp>
      <tp t="e">
        <v>#N/A</v>
        <stp/>
        <stp>BDH|3593774742669102904</stp>
        <tr r="AC88" s="32"/>
      </tp>
      <tp t="e">
        <v>#N/A</v>
        <stp/>
        <stp>BDH|4459643301790485238</stp>
        <tr r="S31" s="36"/>
      </tp>
      <tp t="e">
        <v>#N/A</v>
        <stp/>
        <stp>BDH|5511206626045051052</stp>
        <tr r="V179" s="39"/>
      </tp>
      <tp t="e">
        <v>#N/A</v>
        <stp/>
        <stp>BDH|5639931215209617401</stp>
        <tr r="I18" s="34"/>
      </tp>
      <tp t="e">
        <v>#N/A</v>
        <stp/>
        <stp>BDH|8582311379789891537</stp>
        <tr r="P20" s="34"/>
      </tp>
      <tp t="e">
        <v>#N/A</v>
        <stp/>
        <stp>BDH|4174023087575157931</stp>
        <tr r="AB142" s="39"/>
        <tr r="AC142" s="39"/>
      </tp>
      <tp t="e">
        <v>#N/A</v>
        <stp/>
        <stp>BDH|2211852294057723424</stp>
        <tr r="J19" s="34"/>
      </tp>
      <tp t="e">
        <v>#N/A</v>
        <stp/>
        <stp>BDH|1454273716484508667</stp>
        <tr r="Y138" s="39"/>
      </tp>
      <tp t="e">
        <v>#N/A</v>
        <stp/>
        <stp>BDH|8839424889323444714</stp>
        <tr r="Q132" s="39"/>
      </tp>
      <tp t="e">
        <v>#N/A</v>
        <stp/>
        <stp>BDH|8185897742141598593</stp>
        <tr r="X149" s="39"/>
      </tp>
      <tp t="e">
        <v>#N/A</v>
        <stp/>
        <stp>BDH|1877690240423493037</stp>
        <tr r="S22" s="22"/>
      </tp>
      <tp t="e">
        <v>#N/A</v>
        <stp/>
        <stp>BDH|8170529811254541815</stp>
        <tr r="F20" s="24"/>
      </tp>
      <tp t="e">
        <v>#N/A</v>
        <stp/>
        <stp>BDH|6930146170089201998</stp>
        <tr r="W27" s="35"/>
      </tp>
      <tp t="e">
        <v>#N/A</v>
        <stp/>
        <stp>BDH|7561870791501795725</stp>
        <tr r="D24" s="36"/>
      </tp>
      <tp t="e">
        <v>#N/A</v>
        <stp/>
        <stp>BDH|8372937114204188435</stp>
        <tr r="T27" s="32"/>
      </tp>
      <tp t="e">
        <v>#N/A</v>
        <stp/>
        <stp>BDH|4145588547232885708</stp>
        <tr r="U21" s="32"/>
      </tp>
      <tp t="e">
        <v>#N/A</v>
        <stp/>
        <stp>BDH|8125951945387469223</stp>
        <tr r="Y155" s="39"/>
      </tp>
      <tp t="e">
        <v>#N/A</v>
        <stp/>
        <stp>BDH|2032102138320776081</stp>
        <tr r="AA155" s="39"/>
      </tp>
      <tp t="e">
        <v>#N/A</v>
        <stp/>
        <stp>BDH|2382503463739117866</stp>
        <tr r="Q110" s="39"/>
      </tp>
      <tp t="e">
        <v>#N/A</v>
        <stp/>
        <stp>BDH|8804021954818165584</stp>
        <tr r="AC77" s="32"/>
      </tp>
      <tp t="e">
        <v>#N/A</v>
        <stp/>
        <stp>BDH|7875041323477870209</stp>
        <tr r="T22" s="32"/>
      </tp>
      <tp t="e">
        <v>#N/A</v>
        <stp/>
        <stp>BDH|9649842232527658518</stp>
        <tr r="T206" s="39"/>
      </tp>
      <tp t="e">
        <v>#N/A</v>
        <stp/>
        <stp>BDH|7692707223551568373</stp>
        <tr r="F24" s="34"/>
      </tp>
      <tp t="e">
        <v>#N/A</v>
        <stp/>
        <stp>BDH|1953355556364601380</stp>
        <tr r="AF31" s="36"/>
      </tp>
      <tp t="e">
        <v>#N/A</v>
        <stp/>
        <stp>BDH|7772113370518513972</stp>
        <tr r="AB26" s="32"/>
      </tp>
      <tp t="e">
        <v>#N/A</v>
        <stp/>
        <stp>BDH|3468810045158102755</stp>
        <tr r="P25" s="34"/>
      </tp>
      <tp t="e">
        <v>#N/A</v>
        <stp/>
        <stp>BDH|2818997034841130908</stp>
        <tr r="AB98" s="32"/>
      </tp>
      <tp t="e">
        <v>#N/A</v>
        <stp/>
        <stp>BDH|1478694378702653275</stp>
        <tr r="J23" s="24"/>
      </tp>
      <tp t="e">
        <v>#N/A</v>
        <stp/>
        <stp>BDH|6071318704683952685</stp>
        <tr r="F28" s="37"/>
      </tp>
      <tp t="e">
        <v>#N/A</v>
        <stp/>
        <stp>BDH|7737040641204083762</stp>
        <tr r="Y22" s="35"/>
      </tp>
      <tp t="e">
        <v>#N/A</v>
        <stp/>
        <stp>BDH|6753204466856418413</stp>
        <tr r="AC49" s="32"/>
      </tp>
      <tp t="e">
        <v>#N/A</v>
        <stp/>
        <stp>BDH|8589765166889022019</stp>
        <tr r="X199" s="39"/>
      </tp>
      <tp t="e">
        <v>#N/A</v>
        <stp/>
        <stp>BDH|5467655673405402134</stp>
        <tr r="D26" s="34"/>
      </tp>
      <tp t="e">
        <v>#N/A</v>
        <stp/>
        <stp>BDH|2495100159133987512</stp>
        <tr r="D20" s="22"/>
      </tp>
      <tp t="e">
        <v>#N/A</v>
        <stp/>
        <stp>BDH|9796211892811406357</stp>
        <tr r="U213" s="39"/>
      </tp>
      <tp t="e">
        <v>#N/A</v>
        <stp/>
        <stp>BDH|6289374313031093532</stp>
        <tr r="H36" s="38"/>
      </tp>
      <tp t="e">
        <v>#N/A</v>
        <stp/>
        <stp>BDH|3902103274640188590</stp>
        <tr r="Y17" s="32"/>
      </tp>
      <tp t="e">
        <v>#N/A</v>
        <stp/>
        <stp>BDH|6590650978437444094</stp>
        <tr r="AF30" s="36"/>
      </tp>
      <tp t="e">
        <v>#N/A</v>
        <stp/>
        <stp>BDH|3872215910277862748</stp>
        <tr r="AE32" s="36"/>
      </tp>
    </main>
    <main first="bofaddin.rtdserver">
      <tp t="e">
        <v>#N/A</v>
        <stp/>
        <stp>BDH|64802865242753141</stp>
        <tr r="C25" s="24"/>
      </tp>
      <tp t="e">
        <v>#N/A</v>
        <stp/>
        <stp>BDH|3934848173434762938</stp>
        <tr r="R159" s="39"/>
      </tp>
      <tp t="e">
        <v>#N/A</v>
        <stp/>
        <stp>BDH|1957359967586282331</stp>
        <tr r="I24" s="24"/>
      </tp>
      <tp t="e">
        <v>#N/A</v>
        <stp/>
        <stp>BDH|1709116461022556583</stp>
        <tr r="S173" s="39"/>
      </tp>
      <tp t="e">
        <v>#N/A</v>
        <stp/>
        <stp>BDH|4477149048157504778</stp>
        <tr r="Q24" s="22"/>
      </tp>
      <tp t="e">
        <v>#N/A</v>
        <stp/>
        <stp>BDH|9967874052886155378</stp>
        <tr r="W206" s="39"/>
      </tp>
      <tp t="e">
        <v>#N/A</v>
        <stp/>
        <stp>BDH|6065775828413552104</stp>
        <tr r="D25" s="34"/>
      </tp>
      <tp t="e">
        <v>#N/A</v>
        <stp/>
        <stp>BDH|1519515749405424438</stp>
        <tr r="AC18" s="32"/>
      </tp>
      <tp t="e">
        <v>#N/A</v>
        <stp/>
        <stp>BDH|2392949192966936567</stp>
        <tr r="W37" s="36"/>
      </tp>
      <tp t="e">
        <v>#N/A</v>
        <stp/>
        <stp>BDH|2892428390498980691</stp>
        <tr r="Q151" s="39"/>
      </tp>
      <tp t="e">
        <v>#N/A</v>
        <stp/>
        <stp>BDH|3364864350567702897</stp>
        <tr r="V173" s="39"/>
      </tp>
      <tp t="e">
        <v>#N/A</v>
        <stp/>
        <stp>BDH|4651427180180667996</stp>
        <tr r="AB132" s="39"/>
        <tr r="AC132" s="39"/>
      </tp>
      <tp t="e">
        <v>#N/A</v>
        <stp/>
        <stp>BDH|8562879472895853330</stp>
        <tr r="V10" s="32"/>
      </tp>
      <tp t="e">
        <v>#N/A</v>
        <stp/>
        <stp>BDH|7358417673602964730</stp>
        <tr r="W133" s="39"/>
      </tp>
      <tp t="e">
        <v>#N/A</v>
        <stp/>
        <stp>BDH|1939359834511783142</stp>
        <tr r="M33" s="38"/>
      </tp>
      <tp t="e">
        <v>#N/A</v>
        <stp/>
        <stp>BDH|1632823094757826631</stp>
        <tr r="AC39" s="32"/>
      </tp>
      <tp t="e">
        <v>#N/A</v>
        <stp/>
        <stp>BDH|8193285310782084824</stp>
        <tr r="R134" s="39"/>
      </tp>
      <tp t="e">
        <v>#N/A</v>
        <stp/>
        <stp>BDH|9612710707986392986</stp>
        <tr r="S59" s="32"/>
      </tp>
      <tp t="e">
        <v>#N/A</v>
        <stp/>
        <stp>BDH|2970443729034753189</stp>
        <tr r="V92" s="32"/>
      </tp>
      <tp t="e">
        <v>#N/A</v>
        <stp/>
        <stp>BDH|2113641268325369665</stp>
        <tr r="W101" s="32"/>
      </tp>
      <tp t="e">
        <v>#N/A</v>
        <stp/>
        <stp>BDH|7769213033701872655</stp>
        <tr r="AD31" s="36"/>
      </tp>
      <tp t="e">
        <v>#N/A</v>
        <stp/>
        <stp>BDH|8367720787743879564</stp>
        <tr r="U193" s="39"/>
      </tp>
      <tp t="e">
        <v>#N/A</v>
        <stp/>
        <stp>BDH|8373297562479740474</stp>
        <tr r="AC9" s="32"/>
      </tp>
      <tp t="e">
        <v>#N/A</v>
        <stp/>
        <stp>BDH|7352640593399957055</stp>
        <tr r="Y48" s="32"/>
      </tp>
      <tp t="e">
        <v>#N/A</v>
        <stp/>
        <stp>BDH|8344681862910099918</stp>
        <tr r="X20" s="22"/>
      </tp>
      <tp t="e">
        <v>#N/A</v>
        <stp/>
        <stp>BDH|1057764271433886371</stp>
        <tr r="AF28" s="36"/>
      </tp>
      <tp t="e">
        <v>#N/A</v>
        <stp/>
        <stp>BDH|4138655768612720720</stp>
        <tr r="V61" s="32"/>
      </tp>
      <tp t="e">
        <v>#N/A</v>
        <stp/>
        <stp>BDH|6584398930663308463</stp>
        <tr r="AA114" s="39"/>
      </tp>
      <tp t="e">
        <v>#N/A</v>
        <stp/>
        <stp>BDH|1313347536504011486</stp>
        <tr r="Z213" s="39"/>
      </tp>
      <tp t="e">
        <v>#N/A</v>
        <stp/>
        <stp>BDH|5681654169650151429</stp>
        <tr r="Z102" s="32"/>
      </tp>
      <tp t="e">
        <v>#N/A</v>
        <stp/>
        <stp>BDH|6855567815646458567</stp>
        <tr r="X30" s="35"/>
      </tp>
      <tp t="e">
        <v>#N/A</v>
        <stp/>
        <stp>BDH|2892680957085772596</stp>
        <tr r="R5" s="32"/>
      </tp>
      <tp t="e">
        <v>#N/A</v>
        <stp/>
        <stp>BDH|9349936450900074497</stp>
        <tr r="T29" s="22"/>
      </tp>
      <tp t="e">
        <v>#N/A</v>
        <stp/>
        <stp>BDH|3073107553411879729</stp>
        <tr r="AA37" s="36"/>
      </tp>
      <tp t="e">
        <v>#N/A</v>
        <stp/>
        <stp>BDH|4606223563968675980</stp>
        <tr r="U27" s="36"/>
      </tp>
      <tp t="e">
        <v>#N/A</v>
        <stp/>
        <stp>BDH|7508711721860457381</stp>
        <tr r="R100" s="32"/>
      </tp>
      <tp t="e">
        <v>#N/A</v>
        <stp/>
        <stp>BDH|4248760558665381267</stp>
        <tr r="M23" s="22"/>
      </tp>
      <tp t="e">
        <v>#N/A</v>
        <stp/>
        <stp>BDH|1443466751286847728</stp>
        <tr r="P26" s="36"/>
      </tp>
      <tp t="e">
        <v>#N/A</v>
        <stp/>
        <stp>BDH|5123327208741054628</stp>
        <tr r="Y86" s="32"/>
      </tp>
      <tp t="e">
        <v>#N/A</v>
        <stp/>
        <stp>BDH|6251799167537733124</stp>
        <tr r="Y175" s="39"/>
      </tp>
      <tp t="e">
        <v>#N/A</v>
        <stp/>
        <stp>BDH|7692736236660937249</stp>
        <tr r="W195" s="39"/>
      </tp>
      <tp t="e">
        <v>#N/A</v>
        <stp/>
        <stp>BDH|3743840111949499287</stp>
        <tr r="AD34" s="32"/>
      </tp>
      <tp t="e">
        <v>#N/A</v>
        <stp/>
        <stp>BDH|7652066623745559183</stp>
        <tr r="M24" s="22"/>
      </tp>
      <tp t="e">
        <v>#N/A</v>
        <stp/>
        <stp>BDH|6371892926618369512</stp>
        <tr r="AH31" s="36"/>
      </tp>
      <tp t="e">
        <v>#N/A</v>
        <stp/>
        <stp>BDH|2504073645102938506</stp>
        <tr r="J24" s="34"/>
      </tp>
      <tp t="e">
        <v>#N/A</v>
        <stp/>
        <stp>BDH|3749608554739593889</stp>
        <tr r="Z40" s="32"/>
      </tp>
      <tp t="e">
        <v>#N/A</v>
        <stp/>
        <stp>BDH|7297374029796002121</stp>
        <tr r="T69" s="32"/>
      </tp>
      <tp t="e">
        <v>#N/A</v>
        <stp/>
        <stp>BDH|7324209589538505410</stp>
        <tr r="AB30" s="32"/>
      </tp>
      <tp t="e">
        <v>#N/A</v>
        <stp/>
        <stp>BDH|9098570008094083900</stp>
        <tr r="V208" s="39"/>
      </tp>
      <tp t="e">
        <v>#N/A</v>
        <stp/>
        <stp>BDH|3201949999987243525</stp>
        <tr r="C18" s="24"/>
      </tp>
      <tp t="e">
        <v>#N/A</v>
        <stp/>
        <stp>BDH|6087292346893146215</stp>
        <tr r="S24" s="32"/>
      </tp>
      <tp t="e">
        <v>#N/A</v>
        <stp/>
        <stp>BDH|8827876730563472142</stp>
        <tr r="E18" s="35"/>
      </tp>
      <tp t="e">
        <v>#N/A</v>
        <stp/>
        <stp>BDH|1435123698930992887</stp>
        <tr r="U17" s="32"/>
      </tp>
      <tp t="e">
        <v>#N/A</v>
        <stp/>
        <stp>BDH|8654861838705515725</stp>
        <tr r="E25" s="34"/>
      </tp>
      <tp t="e">
        <v>#N/A</v>
        <stp/>
        <stp>BDH|6372768962915890305</stp>
        <tr r="V7" s="32"/>
      </tp>
      <tp t="e">
        <v>#N/A</v>
        <stp/>
        <stp>BDH|3349268238696794562</stp>
        <tr r="AC36" s="36"/>
      </tp>
      <tp t="e">
        <v>#N/A</v>
        <stp/>
        <stp>BDH|1812858559068186590</stp>
        <tr r="J33" s="37"/>
      </tp>
      <tp t="e">
        <v>#N/A</v>
        <stp/>
        <stp>BDH|4711459871846615091</stp>
        <tr r="Z197" s="39"/>
      </tp>
      <tp t="e">
        <v>#N/A</v>
        <stp/>
        <stp>BDH|1925816989642419298</stp>
        <tr r="W98" s="32"/>
      </tp>
      <tp t="e">
        <v>#N/A</v>
        <stp/>
        <stp>BDH|7043093113832320557</stp>
        <tr r="S77" s="32"/>
      </tp>
      <tp t="e">
        <v>#N/A</v>
        <stp/>
        <stp>BDH|8850853405255367463</stp>
        <tr r="Q162" s="39"/>
      </tp>
      <tp t="e">
        <v>#N/A</v>
        <stp/>
        <stp>BDH|7411716937283630196</stp>
        <tr r="J21" s="24"/>
      </tp>
      <tp t="e">
        <v>#N/A</v>
        <stp/>
        <stp>BDH|2184114048715286373</stp>
        <tr r="U214" s="39"/>
      </tp>
      <tp t="e">
        <v>#N/A</v>
        <stp/>
        <stp>BDH|4425081905935091046</stp>
        <tr r="L26" s="37"/>
      </tp>
      <tp t="e">
        <v>#N/A</v>
        <stp/>
        <stp>BDH|6022398203422509628</stp>
        <tr r="X194" s="39"/>
      </tp>
      <tp t="e">
        <v>#N/A</v>
        <stp/>
        <stp>BDH|8129600780611454688</stp>
        <tr r="K27" s="35"/>
      </tp>
      <tp t="e">
        <v>#N/A</v>
        <stp/>
        <stp>BDH|7226080900461584723</stp>
        <tr r="V136" s="39"/>
      </tp>
      <tp t="e">
        <v>#N/A</v>
        <stp/>
        <stp>BDH|4217244120422351788</stp>
        <tr r="D34" s="37"/>
      </tp>
    </main>
    <main first="bofaddin.rtdserver">
      <tp t="e">
        <v>#N/A</v>
        <stp/>
        <stp>BDH|7202040838625556093</stp>
        <tr r="AB218" s="39"/>
        <tr r="AC218" s="39"/>
      </tp>
      <tp t="e">
        <v>#N/A</v>
        <stp/>
        <stp>BDH|5328520240585610052</stp>
        <tr r="AD28" s="32"/>
      </tp>
      <tp t="e">
        <v>#N/A</v>
        <stp/>
        <stp>BDH|8264466371652651817</stp>
        <tr r="R33" s="32"/>
      </tp>
      <tp t="e">
        <v>#N/A</v>
        <stp/>
        <stp>BDH|7486544923785399425</stp>
        <tr r="V49" s="32"/>
      </tp>
      <tp t="e">
        <v>#N/A</v>
        <stp/>
        <stp>BDH|8915329186983704186</stp>
        <tr r="G20" s="22"/>
      </tp>
      <tp t="e">
        <v>#N/A</v>
        <stp/>
        <stp>BDH|4703370202372352430</stp>
        <tr r="S158" s="39"/>
      </tp>
      <tp t="e">
        <v>#N/A</v>
        <stp/>
        <stp>BDH|6388977567761592947</stp>
        <tr r="W41" s="32"/>
      </tp>
      <tp t="e">
        <v>#N/A</v>
        <stp/>
        <stp>BDH|8760715529575868958</stp>
        <tr r="S37" s="36"/>
      </tp>
      <tp t="e">
        <v>#N/A</v>
        <stp/>
        <stp>BDH|9520468391171320432</stp>
        <tr r="S34" s="32"/>
      </tp>
      <tp t="e">
        <v>#N/A</v>
        <stp/>
        <stp>BDH|3419305830916149472</stp>
        <tr r="N30" s="35"/>
      </tp>
      <tp t="e">
        <v>#N/A</v>
        <stp/>
        <stp>BDH|3495125910290104252</stp>
        <tr r="G34" s="36"/>
      </tp>
      <tp t="e">
        <v>#N/A</v>
        <stp/>
        <stp>BDH|9248260886814828682</stp>
        <tr r="I26" s="36"/>
      </tp>
      <tp t="e">
        <v>#N/A</v>
        <stp/>
        <stp>BDH|5201502267456612119</stp>
        <tr r="L26" s="36"/>
      </tp>
      <tp t="e">
        <v>#N/A</v>
        <stp/>
        <stp>BDH|6672165432217362238</stp>
        <tr r="Q26" s="22"/>
      </tp>
      <tp t="e">
        <v>#N/A</v>
        <stp/>
        <stp>BDH|3587090688202080872</stp>
        <tr r="S110" s="32"/>
      </tp>
      <tp t="e">
        <v>#N/A</v>
        <stp/>
        <stp>BDH|8592248565338353542</stp>
        <tr r="V102" s="32"/>
      </tp>
      <tp t="e">
        <v>#N/A</v>
        <stp/>
        <stp>BDH|6258164710965599224</stp>
        <tr r="T136" s="39"/>
      </tp>
      <tp t="e">
        <v>#N/A</v>
        <stp/>
        <stp>BDH|6900912223084107895</stp>
        <tr r="AA40" s="22"/>
        <tr r="AA40" s="35"/>
      </tp>
      <tp t="e">
        <v>#N/A</v>
        <stp/>
        <stp>BDH|2701254210255233533</stp>
        <tr r="AA80" s="32"/>
      </tp>
      <tp t="e">
        <v>#N/A</v>
        <stp/>
        <stp>BDH|9807954998208253045</stp>
        <tr r="F33" s="36"/>
      </tp>
      <tp t="e">
        <v>#N/A</v>
        <stp/>
        <stp>BDH|9976243103469918347</stp>
        <tr r="V129" s="39"/>
      </tp>
      <tp t="e">
        <v>#N/A</v>
        <stp/>
        <stp>BDH|5743068184288519437</stp>
        <tr r="G35" s="37"/>
      </tp>
      <tp t="e">
        <v>#N/A</v>
        <stp/>
        <stp>BDH|5526341137842632635</stp>
        <tr r="Z38" s="32"/>
      </tp>
      <tp t="e">
        <v>#N/A</v>
        <stp/>
        <stp>BDH|3179738675314226661</stp>
        <tr r="AA75" s="32"/>
      </tp>
      <tp t="e">
        <v>#N/A</v>
        <stp/>
        <stp>BDH|2997622614523597799</stp>
        <tr r="J21" s="35"/>
      </tp>
      <tp t="e">
        <v>#N/A</v>
        <stp/>
        <stp>BDH|2706261821517737449</stp>
        <tr r="K30" s="24"/>
      </tp>
      <tp t="e">
        <v>#N/A</v>
        <stp/>
        <stp>BDH|7243772045127058203</stp>
        <tr r="W15" s="32"/>
      </tp>
      <tp t="e">
        <v>#N/A</v>
        <stp/>
        <stp>BDH|9481666774989727014</stp>
        <tr r="S75" s="32"/>
      </tp>
      <tp t="e">
        <v>#N/A</v>
        <stp/>
        <stp>BDH|2865094071026256227</stp>
        <tr r="N34" s="38"/>
      </tp>
      <tp t="e">
        <v>#N/A</v>
        <stp/>
        <stp>BDH|6639117705077038124</stp>
        <tr r="AA160" s="39"/>
      </tp>
      <tp t="e">
        <v>#N/A</v>
        <stp/>
        <stp>BDH|3042759811904353073</stp>
        <tr r="AB22" s="35"/>
      </tp>
      <tp t="e">
        <v>#N/A</v>
        <stp/>
        <stp>BDH|6254490748245722240</stp>
        <tr r="G37" s="38"/>
      </tp>
      <tp t="e">
        <v>#N/A</v>
        <stp/>
        <stp>BDH|6752634847727055235</stp>
        <tr r="C29" s="35"/>
      </tp>
      <tp t="e">
        <v>#N/A</v>
        <stp/>
        <stp>BDH|9365518122246235926</stp>
        <tr r="S5" s="32"/>
      </tp>
      <tp t="e">
        <v>#N/A</v>
        <stp/>
        <stp>BDH|8531847991370398834</stp>
        <tr r="Q23" s="34"/>
      </tp>
      <tp t="e">
        <v>#N/A</v>
        <stp/>
        <stp>BDH|5234968923168361742</stp>
        <tr r="V75" s="32"/>
      </tp>
      <tp t="e">
        <v>#N/A</v>
        <stp/>
        <stp>BDH|9176927535935385742</stp>
        <tr r="AA46" s="32"/>
      </tp>
      <tp t="e">
        <v>#N/A</v>
        <stp/>
        <stp>BDH|3742435641741607325</stp>
        <tr r="E29" s="24"/>
      </tp>
      <tp t="e">
        <v>#N/A</v>
        <stp/>
        <stp>BDH|1283755884926486968</stp>
        <tr r="Q4" s="39"/>
      </tp>
      <tp t="e">
        <v>#N/A</v>
        <stp/>
        <stp>BDH|1293883000529313183</stp>
        <tr r="Y109" s="32"/>
      </tp>
      <tp t="e">
        <v>#N/A</v>
        <stp/>
        <stp>BDH|7769645892640314938</stp>
        <tr r="X6" s="32"/>
      </tp>
      <tp t="e">
        <v>#N/A</v>
        <stp/>
        <stp>BDH|4167627946802463500</stp>
        <tr r="T67" s="32"/>
      </tp>
      <tp t="e">
        <v>#N/A</v>
        <stp/>
        <stp>BDH|3624588508326713106</stp>
        <tr r="U208" s="39"/>
      </tp>
      <tp t="e">
        <v>#N/A</v>
        <stp/>
        <stp>BDH|9226960641710609550</stp>
        <tr r="V28" s="36"/>
      </tp>
      <tp t="e">
        <v>#N/A</v>
        <stp/>
        <stp>BDH|9211533842768676136</stp>
        <tr r="W18" s="32"/>
      </tp>
      <tp t="e">
        <v>#N/A</v>
        <stp/>
        <stp>BDH|7132452845582364445</stp>
        <tr r="S69" s="32"/>
      </tp>
      <tp t="e">
        <v>#N/A</v>
        <stp/>
        <stp>BDH|2535379916407113639</stp>
        <tr r="O24" s="34"/>
      </tp>
      <tp t="e">
        <v>#N/A</v>
        <stp/>
        <stp>BDH|7799247413465552037</stp>
        <tr r="AB162" s="39"/>
        <tr r="AC162" s="39"/>
      </tp>
      <tp t="e">
        <v>#N/A</v>
        <stp/>
        <stp>BDH|9126735556962549877</stp>
        <tr r="J27" s="37"/>
      </tp>
      <tp t="e">
        <v>#N/A</v>
        <stp/>
        <stp>BDH|8124694505826976925</stp>
        <tr r="Z34" s="32"/>
      </tp>
      <tp t="e">
        <v>#N/A</v>
        <stp/>
        <stp>BDH|9562330727268790101</stp>
        <tr r="Y120" s="39"/>
      </tp>
      <tp t="e">
        <v>#N/A</v>
        <stp/>
        <stp>BDH|5266560961756782147</stp>
        <tr r="T17" s="32"/>
      </tp>
      <tp t="e">
        <v>#N/A</v>
        <stp/>
        <stp>BDH|1106231242496003075</stp>
        <tr r="AA25" s="35"/>
      </tp>
      <tp t="e">
        <v>#N/A</v>
        <stp/>
        <stp>BDH|7330999773899661184</stp>
        <tr r="R20" s="34"/>
      </tp>
      <tp t="e">
        <v>#N/A</v>
        <stp/>
        <stp>BDH|8716654722328051570</stp>
        <tr r="AA36" s="36"/>
      </tp>
      <tp t="e">
        <v>#N/A</v>
        <stp/>
        <stp>BDH|7224863251712019924</stp>
        <tr r="N21" s="22"/>
      </tp>
      <tp t="e">
        <v>#N/A</v>
        <stp/>
        <stp>BDH|8482700606786149849</stp>
        <tr r="T5" s="32"/>
      </tp>
      <tp t="e">
        <v>#N/A</v>
        <stp/>
        <stp>BDH|4960150747506591698</stp>
        <tr r="AB15" s="32"/>
      </tp>
      <tp t="e">
        <v>#N/A</v>
        <stp/>
        <stp>BDH|3132912433008625021</stp>
        <tr r="AJ31" s="36"/>
      </tp>
      <tp t="e">
        <v>#N/A</v>
        <stp/>
        <stp>BDH|4500741634428552974</stp>
        <tr r="Z27" s="22"/>
      </tp>
      <tp t="e">
        <v>#N/A</v>
        <stp/>
        <stp>BDH|8426845214133338301</stp>
        <tr r="Z140" s="39"/>
      </tp>
      <tp t="e">
        <v>#N/A</v>
        <stp/>
        <stp>BDH|6219032202047611025</stp>
        <tr r="AC6" s="32"/>
      </tp>
      <tp t="e">
        <v>#N/A</v>
        <stp/>
        <stp>BDH|3330490954581189287</stp>
        <tr r="Y56" s="32"/>
      </tp>
      <tp t="e">
        <v>#N/A</v>
        <stp/>
        <stp>BDH|3754653242496038679</stp>
        <tr r="AA24" s="36"/>
      </tp>
      <tp t="e">
        <v>#N/A</v>
        <stp/>
        <stp>BDH|3333465654537135478</stp>
        <tr r="D22" s="22"/>
      </tp>
      <tp t="e">
        <v>#N/A</v>
        <stp/>
        <stp>BDH|5174066715066386361</stp>
        <tr r="AA3" s="32"/>
      </tp>
      <tp t="e">
        <v>#N/A</v>
        <stp/>
        <stp>BDH|9583921463334791348</stp>
        <tr r="AD32" s="36"/>
      </tp>
      <tp t="e">
        <v>#N/A</v>
        <stp/>
        <stp>BDH|2472360176003153428</stp>
        <tr r="R87" s="32"/>
      </tp>
      <tp t="e">
        <v>#N/A</v>
        <stp/>
        <stp>BDH|5510344326893554655</stp>
        <tr r="S50" s="32"/>
      </tp>
      <tp t="e">
        <v>#N/A</v>
        <stp/>
        <stp>BDH|6999513829478640804</stp>
        <tr r="T19" s="35"/>
      </tp>
      <tp t="e">
        <v>#N/A</v>
        <stp/>
        <stp>BDH|9000504391775505102</stp>
        <tr r="Z55" s="32"/>
      </tp>
      <tp t="e">
        <v>#N/A</v>
        <stp/>
        <stp>BDH|6878837589551276643</stp>
        <tr r="AH35" s="36"/>
      </tp>
      <tp t="e">
        <v>#N/A</v>
        <stp/>
        <stp>BDH|5512478110645374458</stp>
        <tr r="AA56" s="32"/>
      </tp>
      <tp t="e">
        <v>#N/A</v>
        <stp/>
        <stp>BDH|5442066815796398309</stp>
        <tr r="B23" s="34"/>
      </tp>
      <tp t="e">
        <v>#N/A</v>
        <stp/>
        <stp>BDH|7304609906682300228</stp>
        <tr r="T26" s="22"/>
      </tp>
      <tp t="e">
        <v>#N/A</v>
        <stp/>
        <stp>BDH|1282950592859349923</stp>
        <tr r="Y25" s="32"/>
      </tp>
      <tp t="e">
        <v>#N/A</v>
        <stp/>
        <stp>BDH|9178557406635754815</stp>
        <tr r="H30" s="34"/>
      </tp>
      <tp t="e">
        <v>#N/A</v>
        <stp/>
        <stp>BDH|4428358440661216371</stp>
        <tr r="Q30" s="36"/>
      </tp>
      <tp t="e">
        <v>#N/A</v>
        <stp/>
        <stp>BDH|7063627847956144200</stp>
        <tr r="S10" s="32"/>
      </tp>
      <tp t="e">
        <v>#N/A</v>
        <stp/>
        <stp>BDH|8820295684427289434</stp>
        <tr r="H27" s="37"/>
      </tp>
      <tp t="e">
        <v>#N/A</v>
        <stp/>
        <stp>BDH|8334881974637216185</stp>
        <tr r="Y171" s="39"/>
      </tp>
      <tp t="e">
        <v>#N/A</v>
        <stp/>
        <stp>BDH|3424469977361091002</stp>
        <tr r="R47" s="32"/>
      </tp>
      <tp t="e">
        <v>#N/A</v>
        <stp/>
        <stp>BDH|4759281756673930153</stp>
        <tr r="S166" s="39"/>
      </tp>
      <tp t="e">
        <v>#N/A</v>
        <stp/>
        <stp>BDH|4907553877734850366</stp>
        <tr r="T116" s="39"/>
      </tp>
      <tp t="e">
        <v>#N/A</v>
        <stp/>
        <stp>BDH|1760608879977864638</stp>
        <tr r="T86" s="32"/>
      </tp>
      <tp t="e">
        <v>#N/A</v>
        <stp/>
        <stp>BDH|2491898253328263698</stp>
        <tr r="Z181" s="39"/>
      </tp>
    </main>
    <main first="bofaddin.rtdserver">
      <tp t="e">
        <v>#N/A</v>
        <stp/>
        <stp>BDH|6498796924040391106</stp>
        <tr r="W35" s="32"/>
      </tp>
      <tp t="e">
        <v>#N/A</v>
        <stp/>
        <stp>BDH|6420758894519794386</stp>
        <tr r="AC37" s="36"/>
      </tp>
      <tp t="e">
        <v>#N/A</v>
        <stp/>
        <stp>BDH|3599489060291319243</stp>
        <tr r="Y137" s="39"/>
      </tp>
      <tp t="e">
        <v>#N/A</v>
        <stp/>
        <stp>BDH|2119619163291995100</stp>
        <tr r="AI26" s="36"/>
      </tp>
      <tp t="e">
        <v>#N/A</v>
        <stp/>
        <stp>BDH|8019092835069063067</stp>
        <tr r="X125" s="39"/>
      </tp>
      <tp t="e">
        <v>#N/A</v>
        <stp/>
        <stp>BDH|3056783189007263994</stp>
        <tr r="Y108" s="32"/>
      </tp>
      <tp t="e">
        <v>#N/A</v>
        <stp/>
        <stp>BDH|4227230996444413993</stp>
        <tr r="R6" s="32"/>
      </tp>
      <tp t="e">
        <v>#N/A</v>
        <stp/>
        <stp>BDH|3402166848130152414</stp>
        <tr r="Z28" s="22"/>
      </tp>
      <tp t="e">
        <v>#N/A</v>
        <stp/>
        <stp>BDH|5745641208978612975</stp>
        <tr r="U94" s="32"/>
      </tp>
      <tp t="e">
        <v>#N/A</v>
        <stp/>
        <stp>BDH|9142032597390957268</stp>
        <tr r="T151" s="39"/>
      </tp>
      <tp t="e">
        <v>#N/A</v>
        <stp/>
        <stp>BDH|7135103293949172494</stp>
        <tr r="AF26" s="36"/>
      </tp>
      <tp t="e">
        <v>#N/A</v>
        <stp/>
        <stp>BDH|7450474972727958133</stp>
        <tr r="L28" s="36"/>
      </tp>
      <tp t="e">
        <v>#N/A</v>
        <stp/>
        <stp>BDH|1168190463136465241</stp>
        <tr r="D24" s="34"/>
      </tp>
      <tp t="e">
        <v>#N/A</v>
        <stp/>
        <stp>BDH|9725714132697941867</stp>
        <tr r="R64" s="32"/>
      </tp>
      <tp t="e">
        <v>#N/A</v>
        <stp/>
        <stp>BDH|3378187477647753000</stp>
        <tr r="AA120" s="39"/>
      </tp>
      <tp t="e">
        <v>#N/A</v>
        <stp/>
        <stp>BDH|2749688856975553675</stp>
        <tr r="Z138" s="39"/>
      </tp>
      <tp t="e">
        <v>#N/A</v>
        <stp/>
        <stp>BDH|8828741070158054271</stp>
        <tr r="Y180" s="39"/>
      </tp>
      <tp t="e">
        <v>#N/A</v>
        <stp/>
        <stp>BDH|7486589557193287620</stp>
        <tr r="D18" s="35"/>
      </tp>
      <tp t="e">
        <v>#N/A</v>
        <stp/>
        <stp>BDH|4343353107757844228</stp>
        <tr r="U20" s="35"/>
      </tp>
      <tp t="e">
        <v>#N/A</v>
        <stp/>
        <stp>BDH|7059563720890828253</stp>
        <tr r="I24" s="22"/>
      </tp>
      <tp t="e">
        <v>#N/A</v>
        <stp/>
        <stp>BDH|3842362724419362915</stp>
        <tr r="V126" s="39"/>
      </tp>
      <tp t="e">
        <v>#N/A</v>
        <stp/>
        <stp>BDH|3842846650009295568</stp>
        <tr r="W23" s="32"/>
      </tp>
      <tp t="e">
        <v>#N/A</v>
        <stp/>
        <stp>BDH|3662994352769443417</stp>
        <tr r="Q118" s="39"/>
      </tp>
      <tp t="e">
        <v>#N/A</v>
        <stp/>
        <stp>BDH|4053844993245882272</stp>
        <tr r="W180" s="39"/>
      </tp>
      <tp t="e">
        <v>#N/A</v>
        <stp/>
        <stp>BDH|3901354694102396937</stp>
        <tr r="AD101" s="32"/>
      </tp>
      <tp t="e">
        <v>#N/A</v>
        <stp/>
        <stp>BDH|7284793515333075065</stp>
        <tr r="AA30" s="32"/>
      </tp>
      <tp t="e">
        <v>#N/A</v>
        <stp/>
        <stp>BDH|3786136870824839348</stp>
        <tr r="W107" s="32"/>
      </tp>
      <tp t="e">
        <v>#N/A</v>
        <stp/>
        <stp>BDH|3636687677577742769</stp>
        <tr r="AC101" s="32"/>
      </tp>
      <tp t="e">
        <v>#N/A</v>
        <stp/>
        <stp>BDH|8304660783087882367</stp>
        <tr r="W81" s="32"/>
      </tp>
      <tp t="e">
        <v>#N/A</v>
        <stp/>
        <stp>BDH|8267399797042032242</stp>
        <tr r="H29" s="35"/>
      </tp>
      <tp t="e">
        <v>#N/A</v>
        <stp/>
        <stp>BDH|2703927709558444113</stp>
        <tr r="L27" s="35"/>
      </tp>
      <tp t="e">
        <v>#N/A</v>
        <stp/>
        <stp>BDH|6819223153904788776</stp>
        <tr r="V104" s="32"/>
      </tp>
      <tp t="e">
        <v>#N/A</v>
        <stp/>
        <stp>BDH|7664073708600156512</stp>
        <tr r="V197" s="39"/>
      </tp>
      <tp t="e">
        <v>#N/A</v>
        <stp/>
        <stp>BDH|2527180000532290369</stp>
        <tr r="S34" s="36"/>
      </tp>
      <tp t="e">
        <v>#N/A</v>
        <stp/>
        <stp>BDH|2576975984324775580</stp>
        <tr r="AA74" s="32"/>
      </tp>
      <tp t="e">
        <v>#N/A</v>
        <stp/>
        <stp>BDH|1685789145931776156</stp>
        <tr r="AB214" s="39"/>
        <tr r="AC214" s="39"/>
      </tp>
      <tp t="e">
        <v>#N/A</v>
        <stp/>
        <stp>BDH|8722222997575844438</stp>
        <tr r="C29" s="38"/>
      </tp>
      <tp t="e">
        <v>#N/A</v>
        <stp/>
        <stp>BDH|2695277323330338084</stp>
        <tr r="AB21" s="22"/>
      </tp>
      <tp t="e">
        <v>#N/A</v>
        <stp/>
        <stp>BDH|4155816245448804249</stp>
        <tr r="R116" s="39"/>
      </tp>
      <tp t="e">
        <v>#N/A</v>
        <stp/>
        <stp>BDH|5659788413274017540</stp>
        <tr r="U165" s="39"/>
      </tp>
      <tp t="e">
        <v>#N/A</v>
        <stp/>
        <stp>BDH|5770683309661109091</stp>
        <tr r="T79" s="32"/>
      </tp>
      <tp t="e">
        <v>#N/A</v>
        <stp/>
        <stp>BDH|5639311249597241721</stp>
        <tr r="H27" s="35"/>
      </tp>
      <tp t="e">
        <v>#N/A</v>
        <stp/>
        <stp>BDH|2446692032497708267</stp>
        <tr r="X25" s="35"/>
      </tp>
      <tp t="e">
        <v>#N/A</v>
        <stp/>
        <stp>BDH|2936117866163761477</stp>
        <tr r="H25" s="34"/>
      </tp>
      <tp t="e">
        <v>#N/A</v>
        <stp/>
        <stp>BDH|9116057023500027997</stp>
        <tr r="X23" s="36"/>
      </tp>
      <tp t="e">
        <v>#N/A</v>
        <stp/>
        <stp>BDH|6847100625931371603</stp>
        <tr r="AA18" s="32"/>
      </tp>
      <tp t="e">
        <v>#N/A</v>
        <stp/>
        <stp>BDH|2708902888137526649</stp>
        <tr r="R31" s="32"/>
      </tp>
      <tp t="e">
        <v>#N/A</v>
        <stp/>
        <stp>BDH|1856431860241491017</stp>
        <tr r="T178" s="39"/>
      </tp>
      <tp t="e">
        <v>#N/A</v>
        <stp/>
        <stp>BDH|3888341476346265367</stp>
        <tr r="M20" s="22"/>
      </tp>
      <tp t="e">
        <v>#N/A</v>
        <stp/>
        <stp>BDH|6292490872303714407</stp>
        <tr r="S172" s="39"/>
      </tp>
    </main>
    <main first="bofaddin.rtdserver">
      <tp t="e">
        <v>#N/A</v>
        <stp/>
        <stp>BDH|5399999893723640400</stp>
        <tr r="U33" s="36"/>
      </tp>
      <tp t="e">
        <v>#N/A</v>
        <stp/>
        <stp>BDH|7831005515257721354</stp>
        <tr r="S38" s="32"/>
      </tp>
      <tp t="e">
        <v>#N/A</v>
        <stp/>
        <stp>BDH|4993781405585902428</stp>
        <tr r="AB213" s="39"/>
        <tr r="AC213" s="39"/>
      </tp>
      <tp t="e">
        <v>#N/A</v>
        <stp/>
        <stp>BDH|9213283893391048161</stp>
        <tr r="AA30" s="22"/>
      </tp>
      <tp t="e">
        <v>#N/A</v>
        <stp/>
        <stp>BDH|7998758816746209571</stp>
        <tr r="T22" s="35"/>
      </tp>
      <tp t="e">
        <v>#N/A</v>
        <stp/>
        <stp>BDH|1919231665906978195</stp>
        <tr r="X22" s="22"/>
      </tp>
      <tp t="e">
        <v>#N/A</v>
        <stp/>
        <stp>BDH|9987618396986850291</stp>
        <tr r="Y96" s="32"/>
      </tp>
      <tp t="e">
        <v>#N/A</v>
        <stp/>
        <stp>BDH|4730785572390016629</stp>
        <tr r="U117" s="39"/>
      </tp>
      <tp t="e">
        <v>#N/A</v>
        <stp/>
        <stp>BDH|1357148468660403447</stp>
        <tr r="R139" s="39"/>
      </tp>
      <tp t="e">
        <v>#N/A</v>
        <stp/>
        <stp>BDH|3453141882628957076</stp>
        <tr r="AA55" s="32"/>
      </tp>
      <tp t="e">
        <v>#N/A</v>
        <stp/>
        <stp>BDH|9185280882771062078</stp>
        <tr r="AC35" s="32"/>
      </tp>
      <tp t="e">
        <v>#N/A</v>
        <stp/>
        <stp>BDH|7200264888046827986</stp>
        <tr r="B26" s="34"/>
      </tp>
      <tp t="e">
        <v>#N/A</v>
        <stp/>
        <stp>BDH|8100243276729774680</stp>
        <tr r="T114" s="39"/>
      </tp>
      <tp t="e">
        <v>#N/A</v>
        <stp/>
        <stp>BDH|5234088460819179877</stp>
        <tr r="AC31" s="36"/>
      </tp>
      <tp t="e">
        <v>#N/A</v>
        <stp/>
        <stp>BDH|7153021414156869230</stp>
        <tr r="X106" s="32"/>
      </tp>
      <tp t="e">
        <v>#N/A</v>
        <stp/>
        <stp>BDH|7569316447065633791</stp>
        <tr r="T23" s="35"/>
      </tp>
      <tp t="e">
        <v>#N/A</v>
        <stp/>
        <stp>BDH|3720616615652727489</stp>
        <tr r="D27" s="38"/>
      </tp>
      <tp t="e">
        <v>#N/A</v>
        <stp/>
        <stp>BDH|9644291687105593412</stp>
        <tr r="V93" s="32"/>
      </tp>
      <tp t="e">
        <v>#N/A</v>
        <stp/>
        <stp>BDH|3753637524964595180</stp>
        <tr r="X17" s="32"/>
      </tp>
      <tp t="e">
        <v>#N/A</v>
        <stp/>
        <stp>BDH|7719498593181823988</stp>
        <tr r="Z70" s="32"/>
      </tp>
      <tp t="e">
        <v>#N/A</v>
        <stp/>
        <stp>BDH|4179332416356609207</stp>
        <tr r="E29" s="35"/>
      </tp>
      <tp t="e">
        <v>#N/A</v>
        <stp/>
        <stp>BDH|3779591388749120552</stp>
        <tr r="W172" s="39"/>
      </tp>
      <tp t="e">
        <v>#N/A</v>
        <stp/>
        <stp>BDH|7261461172202765436</stp>
        <tr r="Z174" s="39"/>
      </tp>
      <tp t="e">
        <v>#N/A</v>
        <stp/>
        <stp>BDH|4214170091427624903</stp>
        <tr r="M36" s="36"/>
      </tp>
      <tp t="e">
        <v>#N/A</v>
        <stp/>
        <stp>BDH|7869623919606908487</stp>
        <tr r="U136" s="39"/>
      </tp>
      <tp t="e">
        <v>#N/A</v>
        <stp/>
        <stp>BDH|2124455653592328367</stp>
        <tr r="U135" s="39"/>
      </tp>
      <tp t="e">
        <v>#N/A</v>
        <stp/>
        <stp>BDH|1750338413052601334</stp>
        <tr r="AB63" s="32"/>
      </tp>
      <tp t="e">
        <v>#N/A</v>
        <stp/>
        <stp>BDH|7064068549499946847</stp>
        <tr r="AA9" s="32"/>
      </tp>
      <tp t="e">
        <v>#N/A</v>
        <stp/>
        <stp>BDH|1868168523619955964</stp>
        <tr r="AE33" s="36"/>
      </tp>
      <tp t="e">
        <v>#N/A</v>
        <stp/>
        <stp>BDH|3278645065439194807</stp>
        <tr r="R57" s="32"/>
      </tp>
      <tp t="e">
        <v>#N/A</v>
        <stp/>
        <stp>BDH|5518308301916397253</stp>
        <tr r="M22" s="22"/>
      </tp>
      <tp t="e">
        <v>#N/A</v>
        <stp/>
        <stp>BDH|2313713214746087040</stp>
        <tr r="R68" s="32"/>
      </tp>
      <tp t="e">
        <v>#N/A</v>
        <stp/>
        <stp>BDH|3980361821823890358</stp>
        <tr r="T155" s="39"/>
      </tp>
      <tp t="e">
        <v>#N/A</v>
        <stp/>
        <stp>BDH|5227844301609312672</stp>
        <tr r="AF33" s="36"/>
      </tp>
      <tp t="e">
        <v>#N/A</v>
        <stp/>
        <stp>BDH|1354212335164453601</stp>
        <tr r="U90" s="32"/>
      </tp>
      <tp t="e">
        <v>#N/A</v>
        <stp/>
        <stp>BDH|3615743445427617523</stp>
        <tr r="E26" s="36"/>
      </tp>
      <tp t="e">
        <v>#N/A</v>
        <stp/>
        <stp>BDH|3596261866112175773</stp>
        <tr r="C24" s="36"/>
      </tp>
      <tp t="e">
        <v>#N/A</v>
        <stp/>
        <stp>BDH|6921838483071229584</stp>
        <tr r="Y13" s="32"/>
      </tp>
      <tp t="e">
        <v>#N/A</v>
        <stp/>
        <stp>BDH|6843999020499247602</stp>
        <tr r="G27" s="37"/>
      </tp>
      <tp t="e">
        <v>#N/A</v>
        <stp/>
        <stp>BDH|8259175473284027861</stp>
        <tr r="M27" s="37"/>
      </tp>
      <tp t="e">
        <v>#N/A</v>
        <stp/>
        <stp>BDH|3513409616300585461</stp>
        <tr r="X114" s="39"/>
      </tp>
      <tp t="e">
        <v>#N/A</v>
        <stp/>
        <stp>BDH|7316202407640076740</stp>
        <tr r="D34" s="36"/>
      </tp>
      <tp t="e">
        <v>#N/A</v>
        <stp/>
        <stp>BDH|3437252927304713511</stp>
        <tr r="AC74" s="32"/>
      </tp>
      <tp t="e">
        <v>#N/A</v>
        <stp/>
        <stp>BDH|7005703515355131647</stp>
        <tr r="S36" s="32"/>
      </tp>
      <tp t="e">
        <v>#N/A</v>
        <stp/>
        <stp>BDH|7319873653188630014</stp>
        <tr r="D26" s="22"/>
      </tp>
      <tp t="e">
        <v>#N/A</v>
        <stp/>
        <stp>BDH|2390863021598412207</stp>
        <tr r="H30" s="36"/>
      </tp>
      <tp t="e">
        <v>#N/A</v>
        <stp/>
        <stp>BDH|6233446302125433508</stp>
        <tr r="AA36" s="32"/>
      </tp>
      <tp t="e">
        <v>#N/A</v>
        <stp/>
        <stp>BDH|2325519634313105569</stp>
        <tr r="R7" s="32"/>
      </tp>
      <tp t="e">
        <v>#N/A</v>
        <stp/>
        <stp>BDH|5538356737330352750</stp>
        <tr r="Q26" s="35"/>
      </tp>
      <tp t="e">
        <v>#N/A</v>
        <stp/>
        <stp>BDH|8470065122281825990</stp>
        <tr r="N21" s="35"/>
      </tp>
      <tp t="e">
        <v>#N/A</v>
        <stp/>
        <stp>BDH|6053261661460246041</stp>
        <tr r="Q196" s="39"/>
      </tp>
      <tp t="e">
        <v>#N/A</v>
        <stp/>
        <stp>BDH|3374206877131505504</stp>
        <tr r="T195" s="39"/>
      </tp>
      <tp t="e">
        <v>#N/A</v>
        <stp/>
        <stp>BDH|1425254001544626577</stp>
        <tr r="AD33" s="36"/>
      </tp>
      <tp t="e">
        <v>#N/A</v>
        <stp/>
        <stp>BDH|5156528513300523345</stp>
        <tr r="K21" s="22"/>
      </tp>
      <tp t="e">
        <v>#N/A</v>
        <stp/>
        <stp>BDH|3344661577811701144</stp>
        <tr r="S84" s="32"/>
      </tp>
      <tp t="e">
        <v>#N/A</v>
        <stp/>
        <stp>BDH|6520292178637779628</stp>
        <tr r="W24" s="36"/>
      </tp>
      <tp t="e">
        <v>#N/A</v>
        <stp/>
        <stp>BDH|8267634480157794375</stp>
        <tr r="AD67" s="32"/>
      </tp>
      <tp t="e">
        <v>#N/A</v>
        <stp/>
        <stp>BDH|1671702556258616978</stp>
        <tr r="V25" s="22"/>
      </tp>
      <tp t="e">
        <v>#N/A</v>
        <stp/>
        <stp>BDH|5135824118637477993</stp>
        <tr r="O27" s="34"/>
      </tp>
      <tp t="e">
        <v>#N/A</v>
        <stp/>
        <stp>BDH|1924141263042914616</stp>
        <tr r="AC54" s="32"/>
      </tp>
      <tp t="e">
        <v>#N/A</v>
        <stp/>
        <stp>BDH|6667855486174066033</stp>
        <tr r="AC66" s="32"/>
      </tp>
      <tp t="e">
        <v>#N/A</v>
        <stp/>
        <stp>BDH|4596229871640808380</stp>
        <tr r="T26" s="32"/>
      </tp>
      <tp t="e">
        <v>#N/A</v>
        <stp/>
        <stp>BDH|6616262074841212003</stp>
        <tr r="AC109" s="32"/>
      </tp>
      <tp t="e">
        <v>#N/A</v>
        <stp/>
        <stp>BDH|8564966265361786473</stp>
        <tr r="R204" s="39"/>
      </tp>
      <tp t="e">
        <v>#N/A</v>
        <stp/>
        <stp>BDH|5031519799098670386</stp>
        <tr r="H27" s="36"/>
      </tp>
      <tp t="e">
        <v>#N/A</v>
        <stp/>
        <stp>BDH|5742079451785028772</stp>
        <tr r="AB22" s="32"/>
      </tp>
      <tp t="e">
        <v>#N/A</v>
        <stp/>
        <stp>BDH|4572603013606480740</stp>
        <tr r="AA34" s="22"/>
        <tr r="AA34" s="35"/>
      </tp>
      <tp t="e">
        <v>#N/A</v>
        <stp/>
        <stp>BDH|9221521328838801467</stp>
        <tr r="K18" s="24"/>
      </tp>
      <tp t="e">
        <v>#N/A</v>
        <stp/>
        <stp>BDH|5805899203239458600</stp>
        <tr r="S9" s="32"/>
      </tp>
      <tp t="e">
        <v>#N/A</v>
        <stp/>
        <stp>BDH|7723847038588886656</stp>
        <tr r="G25" s="22"/>
      </tp>
      <tp t="e">
        <v>#N/A</v>
        <stp/>
        <stp>BDH|4245502067614054126</stp>
        <tr r="I28" s="22"/>
      </tp>
      <tp t="e">
        <v>#N/A</v>
        <stp/>
        <stp>BDH|7612036171540087239</stp>
        <tr r="AB158" s="39"/>
        <tr r="AC158" s="39"/>
      </tp>
      <tp t="e">
        <v>#N/A</v>
        <stp/>
        <stp>BDH|4102033311255347270</stp>
        <tr r="V30" s="32"/>
      </tp>
      <tp t="e">
        <v>#N/A</v>
        <stp/>
        <stp>BDH|2281248434012074351</stp>
        <tr r="W66" s="32"/>
      </tp>
      <tp t="e">
        <v>#N/A</v>
        <stp/>
        <stp>BDH|2347630132336195345</stp>
        <tr r="U108" s="32"/>
      </tp>
      <tp t="e">
        <v>#N/A</v>
        <stp/>
        <stp>BDH|6248534088948836165</stp>
        <tr r="AB53" s="32"/>
      </tp>
      <tp t="e">
        <v>#N/A</v>
        <stp/>
        <stp>BDH|6903036320276676082</stp>
        <tr r="X102" s="32"/>
      </tp>
      <tp t="e">
        <v>#N/A</v>
        <stp/>
        <stp>BDH|8362574950058318233</stp>
        <tr r="T154" s="39"/>
      </tp>
      <tp t="e">
        <v>#N/A</v>
        <stp/>
        <stp>BDH|9225196186570940206</stp>
        <tr r="Z186" s="39"/>
      </tp>
      <tp t="e">
        <v>#N/A</v>
        <stp/>
        <stp>BDH|3113632989428647790</stp>
        <tr r="AC31" s="32"/>
      </tp>
      <tp t="e">
        <v>#N/A</v>
        <stp/>
        <stp>BDH|5329312660165011762</stp>
        <tr r="AA119" s="39"/>
      </tp>
      <tp t="e">
        <v>#N/A</v>
        <stp/>
        <stp>BDH|7732680023998174994</stp>
        <tr r="X28" s="36"/>
      </tp>
      <tp t="e">
        <v>#N/A</v>
        <stp/>
        <stp>BDH|3372059715130660014</stp>
        <tr r="I37" s="38"/>
      </tp>
      <tp t="e">
        <v>#N/A</v>
        <stp/>
        <stp>BDH|7890497213262365257</stp>
        <tr r="R59" s="32"/>
      </tp>
      <tp t="e">
        <v>#N/A</v>
        <stp/>
        <stp>BDH|7115219287698445774</stp>
        <tr r="Q27" s="22"/>
      </tp>
      <tp t="e">
        <v>#N/A</v>
        <stp/>
        <stp>BDH|3234072113062012231</stp>
        <tr r="I23" s="24"/>
      </tp>
      <tp t="e">
        <v>#N/A</v>
        <stp/>
        <stp>BDH|5837125228710709401</stp>
        <tr r="M32" s="38"/>
      </tp>
      <tp t="e">
        <v>#N/A</v>
        <stp/>
        <stp>BDH|4549276355448251900</stp>
        <tr r="R51" s="32"/>
      </tp>
      <tp t="e">
        <v>#N/A</v>
        <stp/>
        <stp>BDH|1441325237716567515</stp>
        <tr r="Y69" s="32"/>
      </tp>
      <tp t="e">
        <v>#N/A</v>
        <stp/>
        <stp>BDH|6931987992213110772</stp>
        <tr r="AG27" s="36"/>
      </tp>
      <tp t="e">
        <v>#N/A</v>
        <stp/>
        <stp>BDH|2622472959545874457</stp>
        <tr r="P27" s="34"/>
      </tp>
      <tp t="e">
        <v>#N/A</v>
        <stp/>
        <stp>BDH|4055563703937316439</stp>
        <tr r="H29" s="34"/>
      </tp>
      <tp t="e">
        <v>#N/A</v>
        <stp/>
        <stp>BDH|3835127746996144282</stp>
        <tr r="S22" s="35"/>
      </tp>
    </main>
    <main first="bofaddin.rtdserver">
      <tp t="e">
        <v>#N/A</v>
        <stp/>
        <stp>BDH|8007193389331829326</stp>
        <tr r="T34" s="36"/>
      </tp>
      <tp t="e">
        <v>#N/A</v>
        <stp/>
        <stp>BDH|8322093656726064869</stp>
        <tr r="Z66" s="32"/>
      </tp>
      <tp t="e">
        <v>#N/A</v>
        <stp/>
        <stp>BDH|5524963412879809730</stp>
        <tr r="H28" s="35"/>
      </tp>
      <tp t="e">
        <v>#N/A</v>
        <stp/>
        <stp>BDH|6599085622497372064</stp>
        <tr r="R29" s="22"/>
      </tp>
      <tp t="e">
        <v>#N/A</v>
        <stp/>
        <stp>BDH|3924451053859105841</stp>
        <tr r="Q33" s="36"/>
      </tp>
      <tp t="e">
        <v>#N/A</v>
        <stp/>
        <stp>BDH|4049602079843505564</stp>
        <tr r="S203" s="39"/>
      </tp>
      <tp t="e">
        <v>#N/A</v>
        <stp/>
        <stp>BDH|4499385617085121002</stp>
        <tr r="AB165" s="39"/>
        <tr r="AC165" s="39"/>
      </tp>
      <tp t="e">
        <v>#N/A</v>
        <stp/>
        <stp>BDH|5111751629644143773</stp>
        <tr r="R26" s="34"/>
      </tp>
      <tp t="e">
        <v>#N/A</v>
        <stp/>
        <stp>BDH|2858368993902465922</stp>
        <tr r="AB107" s="32"/>
      </tp>
      <tp t="e">
        <v>#N/A</v>
        <stp/>
        <stp>BDH|1729342203066877733</stp>
        <tr r="Y153" s="39"/>
      </tp>
      <tp t="e">
        <v>#N/A</v>
        <stp/>
        <stp>BDH|8582523009477426914</stp>
        <tr r="AA42" s="32"/>
      </tp>
      <tp t="e">
        <v>#N/A</v>
        <stp/>
        <stp>BDH|8675683389850556594</stp>
        <tr r="Z17" s="32"/>
      </tp>
      <tp t="e">
        <v>#N/A</v>
        <stp/>
        <stp>BDH|2928121640716688261</stp>
        <tr r="N18" s="22"/>
      </tp>
      <tp t="e">
        <v>#N/A</v>
        <stp/>
        <stp>BDH|4619510775891972401</stp>
        <tr r="AA40" s="32"/>
      </tp>
      <tp t="e">
        <v>#N/A</v>
        <stp/>
        <stp>BDH|1912469823747137362</stp>
        <tr r="S177" s="39"/>
      </tp>
      <tp t="e">
        <v>#N/A</v>
        <stp/>
        <stp>BDH|3109054339135562602</stp>
        <tr r="S40" s="32"/>
      </tp>
      <tp t="e">
        <v>#N/A</v>
        <stp/>
        <stp>BDH|4182217067622689194</stp>
        <tr r="V36" s="36"/>
      </tp>
      <tp t="e">
        <v>#N/A</v>
        <stp/>
        <stp>BDH|8725408278499497132</stp>
        <tr r="Z105" s="32"/>
      </tp>
      <tp t="e">
        <v>#N/A</v>
        <stp/>
        <stp>BDH|2716191017152004315</stp>
        <tr r="Z44" s="32"/>
      </tp>
      <tp t="e">
        <v>#N/A</v>
        <stp/>
        <stp>BDH|6905289143345845628</stp>
        <tr r="AE24" s="36"/>
      </tp>
      <tp t="e">
        <v>#N/A</v>
        <stp/>
        <stp>BDH|5160202806291668599</stp>
        <tr r="AI27" s="36"/>
      </tp>
      <tp t="e">
        <v>#N/A</v>
        <stp/>
        <stp>BDH|2860377397429889281</stp>
        <tr r="W139" s="39"/>
      </tp>
      <tp t="e">
        <v>#N/A</v>
        <stp/>
        <stp>BDH|4883642260384524314</stp>
        <tr r="Y73" s="32"/>
      </tp>
      <tp t="e">
        <v>#N/A</v>
        <stp/>
        <stp>BDH|6343682058064982220</stp>
        <tr r="Y219" s="39"/>
      </tp>
      <tp t="e">
        <v>#N/A</v>
        <stp/>
        <stp>BDH|6670940011015911828</stp>
        <tr r="W208" s="39"/>
      </tp>
      <tp t="e">
        <v>#N/A</v>
        <stp/>
        <stp>BDH|2020482947024791507</stp>
        <tr r="D22" s="34"/>
      </tp>
      <tp t="e">
        <v>#N/A</v>
        <stp/>
        <stp>BDH|6845929828966959821</stp>
        <tr r="AA44" s="32"/>
      </tp>
      <tp t="e">
        <v>#N/A</v>
        <stp/>
        <stp>BDH|9096912694388439288</stp>
        <tr r="W184" s="39"/>
      </tp>
      <tp t="e">
        <v>#N/A</v>
        <stp/>
        <stp>BDH|6340588343277855399</stp>
        <tr r="Y27" s="35"/>
      </tp>
      <tp t="e">
        <v>#N/A</v>
        <stp/>
        <stp>BDH|7589399945490378330</stp>
        <tr r="Y104" s="32"/>
      </tp>
      <tp t="e">
        <v>#N/A</v>
        <stp/>
        <stp>BDH|1849576694458262604</stp>
        <tr r="W21" s="32"/>
      </tp>
      <tp t="e">
        <v>#N/A</v>
        <stp/>
        <stp>BDH|7325201549703595160</stp>
        <tr r="E28" s="24"/>
      </tp>
      <tp t="e">
        <v>#N/A</v>
        <stp/>
        <stp>BDH|4982550334680335120</stp>
        <tr r="W77" s="32"/>
      </tp>
      <tp t="e">
        <v>#N/A</v>
        <stp/>
        <stp>BDH|1929246481898669037</stp>
        <tr r="Z3" s="32"/>
      </tp>
      <tp t="e">
        <v>#N/A</v>
        <stp/>
        <stp>BDH|5383788682970703976</stp>
        <tr r="AA69" s="32"/>
      </tp>
      <tp t="e">
        <v>#N/A</v>
        <stp/>
        <stp>BDH|8375220082692843351</stp>
        <tr r="V28" s="22"/>
      </tp>
      <tp t="e">
        <v>#N/A</v>
        <stp/>
        <stp>BDH|3259518849687404602</stp>
        <tr r="AB137" s="39"/>
        <tr r="AC137" s="39"/>
      </tp>
      <tp t="e">
        <v>#N/A</v>
        <stp/>
        <stp>BDH|6432489727423122044</stp>
        <tr r="AD107" s="32"/>
      </tp>
      <tp t="e">
        <v>#N/A</v>
        <stp/>
        <stp>BDH|5854635726717190526</stp>
        <tr r="S35" s="32"/>
      </tp>
      <tp t="e">
        <v>#N/A</v>
        <stp/>
        <stp>BDH|7158055244346990669</stp>
        <tr r="AB36" s="32"/>
      </tp>
      <tp t="e">
        <v>#N/A</v>
        <stp/>
        <stp>BDH|2012048810532272298</stp>
        <tr r="AA180" s="39"/>
      </tp>
      <tp t="e">
        <v>#N/A</v>
        <stp/>
        <stp>BDH|3462538419826900283</stp>
        <tr r="W49" s="32"/>
      </tp>
      <tp t="e">
        <v>#N/A</v>
        <stp/>
        <stp>BDH|8650151277154857937</stp>
        <tr r="S114" s="39"/>
      </tp>
      <tp t="e">
        <v>#N/A</v>
        <stp/>
        <stp>BDH|8271162387252919051</stp>
        <tr r="V26" s="36"/>
      </tp>
      <tp t="e">
        <v>#N/A</v>
        <stp/>
        <stp>BDH|6548187000820228404</stp>
        <tr r="H31" s="37"/>
      </tp>
      <tp t="e">
        <v>#N/A</v>
        <stp/>
        <stp>BDH|8468191880332531078</stp>
        <tr r="W69" s="32"/>
      </tp>
      <tp t="e">
        <v>#N/A</v>
        <stp/>
        <stp>BDH|4893061343280520377</stp>
        <tr r="AC25" s="36"/>
      </tp>
      <tp t="e">
        <v>#N/A</v>
        <stp/>
        <stp>BDH|5970723106756143739</stp>
        <tr r="AB127" s="39"/>
        <tr r="AC127" s="39"/>
      </tp>
      <tp t="e">
        <v>#N/A</v>
        <stp/>
        <stp>BDH|5180548971573958711</stp>
        <tr r="J25" s="36"/>
      </tp>
      <tp t="e">
        <v>#N/A</v>
        <stp/>
        <stp>BDH|1178973996310532295</stp>
        <tr r="R206" s="39"/>
      </tp>
      <tp t="e">
        <v>#N/A</v>
        <stp/>
        <stp>BDH|3011953872718902625</stp>
        <tr r="K24" s="35"/>
      </tp>
      <tp t="e">
        <v>#N/A</v>
        <stp/>
        <stp>BDH|3249888481820072071</stp>
        <tr r="E20" s="34"/>
      </tp>
      <tp t="e">
        <v>#N/A</v>
        <stp/>
        <stp>BDH|4087787129570482297</stp>
        <tr r="AB41" s="32"/>
      </tp>
      <tp t="e">
        <v>#N/A</v>
        <stp/>
        <stp>BDH|7622004838194555374</stp>
        <tr r="W90" s="32"/>
      </tp>
      <tp t="e">
        <v>#N/A</v>
        <stp/>
        <stp>BDH|1925412441143490110</stp>
        <tr r="U150" s="39"/>
      </tp>
      <tp t="e">
        <v>#N/A</v>
        <stp/>
        <stp>BDH|4692211870405911725</stp>
        <tr r="AB128" s="39"/>
        <tr r="AC128" s="39"/>
      </tp>
      <tp t="e">
        <v>#N/A</v>
        <stp/>
        <stp>BDH|2586197512341067021</stp>
        <tr r="AC95" s="32"/>
      </tp>
      <tp t="e">
        <v>#N/A</v>
        <stp/>
        <stp>BDH|6381877205565946844</stp>
        <tr r="AA67" s="32"/>
      </tp>
      <tp t="e">
        <v>#N/A</v>
        <stp/>
        <stp>BDH|5286502653052435494</stp>
        <tr r="L30" s="22"/>
      </tp>
      <tp t="e">
        <v>#N/A</v>
        <stp/>
        <stp>BDH|3332298251224451330</stp>
        <tr r="R190" s="39"/>
      </tp>
      <tp t="e">
        <v>#N/A</v>
        <stp/>
        <stp>BDH|6104033465807335487</stp>
        <tr r="X36" s="32"/>
      </tp>
      <tp t="e">
        <v>#N/A</v>
        <stp/>
        <stp>BDH|6971824662219637220</stp>
        <tr r="Q135" s="39"/>
      </tp>
      <tp t="e">
        <v>#N/A</v>
        <stp/>
        <stp>BDH|8654841445454367394</stp>
        <tr r="AD97" s="32"/>
      </tp>
      <tp t="e">
        <v>#N/A</v>
        <stp/>
        <stp>BDH|6300055328124532365</stp>
        <tr r="D30" s="22"/>
      </tp>
      <tp t="e">
        <v>#N/A</v>
        <stp/>
        <stp>BDH|3433386936533542322</stp>
        <tr r="T21" s="22"/>
      </tp>
      <tp t="e">
        <v>#N/A</v>
        <stp/>
        <stp>BDH|6272256109466154129</stp>
        <tr r="V192" s="39"/>
      </tp>
      <tp t="e">
        <v>#N/A</v>
        <stp/>
        <stp>BDH|6541111058591184000</stp>
        <tr r="V60" s="32"/>
      </tp>
      <tp t="e">
        <v>#N/A</v>
        <stp/>
        <stp>BDH|4471928954583701886</stp>
        <tr r="V205" s="39"/>
      </tp>
      <tp t="e">
        <v>#N/A</v>
        <stp/>
        <stp>BDH|1399283705256327606</stp>
        <tr r="Z20" s="22"/>
      </tp>
      <tp t="e">
        <v>#N/A</v>
        <stp/>
        <stp>BDH|1322497473617582615</stp>
        <tr r="N18" s="34"/>
      </tp>
      <tp t="e">
        <v>#N/A</v>
        <stp/>
        <stp>BDH|2417862504258473105</stp>
        <tr r="R173" s="39"/>
      </tp>
      <tp t="e">
        <v>#N/A</v>
        <stp/>
        <stp>BDH|9597989360700790589</stp>
        <tr r="AD83" s="32"/>
      </tp>
      <tp t="e">
        <v>#N/A</v>
        <stp/>
        <stp>BDH|1638373915270637007</stp>
        <tr r="S18" s="34"/>
      </tp>
      <tp t="e">
        <v>#N/A</v>
        <stp/>
        <stp>BDH|3023544948752611389</stp>
        <tr r="V167" s="39"/>
      </tp>
      <tp t="e">
        <v>#N/A</v>
        <stp/>
        <stp>BDH|4498023811167751126</stp>
        <tr r="V25" s="32"/>
      </tp>
      <tp t="e">
        <v>#N/A</v>
        <stp/>
        <stp>BDH|2778078450461137534</stp>
        <tr r="Y140" s="39"/>
      </tp>
      <tp t="e">
        <v>#N/A</v>
        <stp/>
        <stp>BDH|7119395158662383016</stp>
        <tr r="AA95" s="32"/>
      </tp>
      <tp t="e">
        <v>#N/A</v>
        <stp/>
        <stp>BDH|6457742363375429158</stp>
        <tr r="C30" s="38"/>
      </tp>
      <tp t="e">
        <v>#N/A</v>
        <stp/>
        <stp>BDH|3735312890792055852</stp>
        <tr r="AB25" s="32"/>
      </tp>
      <tp t="e">
        <v>#N/A</v>
        <stp/>
        <stp>BDH|5144763046673210601</stp>
        <tr r="Y172" s="39"/>
      </tp>
      <tp t="e">
        <v>#N/A</v>
        <stp/>
        <stp>BDH|2969455918170525420</stp>
        <tr r="V100" s="32"/>
      </tp>
      <tp t="e">
        <v>#N/A</v>
        <stp/>
        <stp>BDH|6246045633467408125</stp>
        <tr r="W218" s="39"/>
      </tp>
      <tp t="e">
        <v>#N/A</v>
        <stp/>
        <stp>BDH|6801419822716897507</stp>
        <tr r="AJ25" s="36"/>
      </tp>
      <tp t="e">
        <v>#N/A</v>
        <stp/>
        <stp>BDH|8104730147479238147</stp>
        <tr r="N28" s="37"/>
      </tp>
      <tp t="e">
        <v>#N/A</v>
        <stp/>
        <stp>BDH|1733924650219392759</stp>
        <tr r="Z33" s="36"/>
      </tp>
      <tp t="e">
        <v>#N/A</v>
        <stp/>
        <stp>BDH|5835221995209984451</stp>
        <tr r="W22" s="32"/>
      </tp>
      <tp t="e">
        <v>#N/A</v>
        <stp/>
        <stp>BDH|4376218609057807202</stp>
        <tr r="AB100" s="32"/>
      </tp>
      <tp t="e">
        <v>#N/A</v>
        <stp/>
        <stp>BDH|6714497205723972218</stp>
        <tr r="K24" s="24"/>
      </tp>
      <tp t="e">
        <v>#N/A</v>
        <stp/>
        <stp>BDH|3964616866695807558</stp>
        <tr r="C24" s="35"/>
      </tp>
      <tp t="e">
        <v>#N/A</v>
        <stp/>
        <stp>BDH|4007231355493515336</stp>
        <tr r="D28" s="22"/>
      </tp>
      <tp t="e">
        <v>#N/A</v>
        <stp/>
        <stp>BDH|6286306454937136473</stp>
        <tr r="AA17" s="32"/>
      </tp>
      <tp t="e">
        <v>#N/A</v>
        <stp/>
        <stp>BDH|2701103107867466745</stp>
        <tr r="AJ24" s="36"/>
      </tp>
      <tp t="e">
        <v>#N/A</v>
        <stp/>
        <stp>BDH|7598920617835116918</stp>
        <tr r="R17" s="32"/>
      </tp>
      <tp t="e">
        <v>#N/A</v>
        <stp/>
        <stp>BDH|6569485128986477516</stp>
        <tr r="C19" s="24"/>
      </tp>
      <tp t="e">
        <v>#N/A</v>
        <stp/>
        <stp>BDH|2171625911133516579</stp>
        <tr r="R50" s="32"/>
      </tp>
      <tp t="e">
        <v>#N/A</v>
        <stp/>
        <stp>BDH|5286879685074920299</stp>
        <tr r="U173" s="39"/>
      </tp>
      <tp t="e">
        <v>#N/A</v>
        <stp/>
        <stp>BDH|8357629368259160282</stp>
        <tr r="C28" s="38"/>
      </tp>
      <tp t="e">
        <v>#N/A</v>
        <stp/>
        <stp>BDH|2979087825981528216</stp>
        <tr r="F20" s="22"/>
      </tp>
      <tp t="e">
        <v>#N/A</v>
        <stp/>
        <stp>BDH|6698142127474130240</stp>
        <tr r="R13" s="32"/>
      </tp>
      <tp t="e">
        <v>#N/A</v>
        <stp/>
        <stp>BDH|7189853785612916680</stp>
        <tr r="F26" s="37"/>
      </tp>
      <tp t="e">
        <v>#N/A</v>
        <stp/>
        <stp>BDH|6770319056385340636</stp>
        <tr r="S135" s="39"/>
      </tp>
      <tp t="e">
        <v>#N/A</v>
        <stp/>
        <stp>BDH|9740150370098102425</stp>
        <tr r="N33" s="37"/>
      </tp>
      <tp t="e">
        <v>#N/A</v>
        <stp/>
        <stp>BDH|4214199158985431667</stp>
        <tr r="T174" s="39"/>
      </tp>
      <tp t="e">
        <v>#N/A</v>
        <stp/>
        <stp>BDH|8346128213838720341</stp>
        <tr r="D28" s="36"/>
      </tp>
      <tp t="e">
        <v>#N/A</v>
        <stp/>
        <stp>BDH|1429619020146342073</stp>
        <tr r="Z25" s="36"/>
      </tp>
      <tp t="e">
        <v>#N/A</v>
        <stp/>
        <stp>BDH|9872740986397387280</stp>
        <tr r="Z13" s="32"/>
      </tp>
      <tp t="e">
        <v>#N/A</v>
        <stp/>
        <stp>BDH|9323969730308420805</stp>
        <tr r="E19" s="24"/>
      </tp>
      <tp t="e">
        <v>#N/A</v>
        <stp/>
        <stp>BDH|4623097427990129581</stp>
        <tr r="AD84" s="32"/>
      </tp>
      <tp t="e">
        <v>#N/A</v>
        <stp/>
        <stp>BDH|5869691768122919419</stp>
        <tr r="I22" s="34"/>
      </tp>
      <tp t="e">
        <v>#N/A</v>
        <stp/>
        <stp>BDH|3600246364014804084</stp>
        <tr r="AA71" s="32"/>
      </tp>
      <tp t="e">
        <v>#N/A</v>
        <stp/>
        <stp>BDH|7731779359405691395</stp>
        <tr r="R137" s="39"/>
      </tp>
      <tp t="e">
        <v>#N/A</v>
        <stp/>
        <stp>BDH|1277359110942338226</stp>
        <tr r="J33" s="36"/>
      </tp>
      <tp t="e">
        <v>#N/A</v>
        <stp/>
        <stp>BDH|4181948356659693238</stp>
        <tr r="S61" s="32"/>
      </tp>
      <tp t="e">
        <v>#N/A</v>
        <stp/>
        <stp>BDH|5159037860884502412</stp>
        <tr r="F33" s="38"/>
      </tp>
      <tp t="e">
        <v>#N/A</v>
        <stp/>
        <stp>BDH|7559009771631136233</stp>
        <tr r="T152" s="39"/>
      </tp>
      <tp t="e">
        <v>#N/A</v>
        <stp/>
        <stp>BDH|6704397940090989211</stp>
        <tr r="Z126" s="39"/>
      </tp>
      <tp t="e">
        <v>#N/A</v>
        <stp/>
        <stp>BDH|4724760547270878489</stp>
        <tr r="P25" s="36"/>
      </tp>
      <tp t="e">
        <v>#N/A</v>
        <stp/>
        <stp>BDH|3249950051658984489</stp>
        <tr r="X160" s="39"/>
      </tp>
      <tp t="e">
        <v>#N/A</v>
        <stp/>
        <stp>BDH|2547882884936721799</stp>
        <tr r="W86" s="32"/>
      </tp>
      <tp t="e">
        <v>#N/A</v>
        <stp/>
        <stp>BDH|1901114805251953237</stp>
        <tr r="J37" s="37"/>
      </tp>
      <tp t="e">
        <v>#N/A</v>
        <stp/>
        <stp>BDH|4755645425185470652</stp>
        <tr r="C30" s="34"/>
      </tp>
      <tp t="e">
        <v>#N/A</v>
        <stp/>
        <stp>BDH|9656969815241217308</stp>
        <tr r="N36" s="38"/>
      </tp>
      <tp t="e">
        <v>#N/A</v>
        <stp/>
        <stp>BDH|3120227736709638846</stp>
        <tr r="V23" s="36"/>
      </tp>
      <tp t="e">
        <v>#N/A</v>
        <stp/>
        <stp>BDH|5388317697668430461</stp>
        <tr r="R79" s="32"/>
      </tp>
      <tp t="e">
        <v>#N/A</v>
        <stp/>
        <stp>BDH|6724878399490974473</stp>
        <tr r="Z26" s="35"/>
      </tp>
      <tp t="e">
        <v>#N/A</v>
        <stp/>
        <stp>BDH|5244715650644118059</stp>
        <tr r="Z148" s="39"/>
      </tp>
      <tp t="e">
        <v>#N/A</v>
        <stp/>
        <stp>BDH|6741792774316607384</stp>
        <tr r="AB25" s="35"/>
      </tp>
      <tp t="e">
        <v>#N/A</v>
        <stp/>
        <stp>BDH|5328687605370306097</stp>
        <tr r="AA26" s="35"/>
      </tp>
      <tp t="e">
        <v>#N/A</v>
        <stp/>
        <stp>BDH|1322063251622338534</stp>
        <tr r="E26" s="35"/>
      </tp>
      <tp t="e">
        <v>#N/A</v>
        <stp/>
        <stp>BDH|4026241045509128841</stp>
        <tr r="AB195" s="39"/>
        <tr r="AC195" s="39"/>
      </tp>
      <tp t="e">
        <v>#N/A</v>
        <stp/>
        <stp>BDH|4201760441601807592</stp>
        <tr r="E25" s="35"/>
      </tp>
      <tp t="e">
        <v>#N/A</v>
        <stp/>
        <stp>BDH|8617801535436620611</stp>
        <tr r="R83" s="32"/>
      </tp>
      <tp t="e">
        <v>#N/A</v>
        <stp/>
        <stp>BDH|9456039903909068309</stp>
        <tr r="AA35" s="32"/>
      </tp>
      <tp t="e">
        <v>#N/A</v>
        <stp/>
        <stp>BDH|2083130872622768522</stp>
        <tr r="AB216" s="39"/>
        <tr r="AC216" s="39"/>
      </tp>
      <tp t="e">
        <v>#N/A</v>
        <stp/>
        <stp>BDH|8308549203847558941</stp>
        <tr r="Y39" s="32"/>
      </tp>
      <tp t="e">
        <v>#N/A</v>
        <stp/>
        <stp>BDH|2603672649383954041</stp>
        <tr r="Y90" s="32"/>
      </tp>
      <tp t="e">
        <v>#N/A</v>
        <stp/>
        <stp>BDH|9106030290092173160</stp>
        <tr r="T81" s="32"/>
      </tp>
      <tp t="e">
        <v>#N/A</v>
        <stp/>
        <stp>BDH|9031922821014152572</stp>
        <tr r="N22" s="22"/>
      </tp>
      <tp t="e">
        <v>#N/A</v>
        <stp/>
        <stp>BDH|2524420121864104322</stp>
        <tr r="D18" s="22"/>
      </tp>
      <tp t="e">
        <v>#N/A</v>
        <stp/>
        <stp>BDH|3224664636105471038</stp>
        <tr r="AA217" s="39"/>
      </tp>
      <tp t="e">
        <v>#N/A</v>
        <stp/>
        <stp>BDH|2219501854382096332</stp>
        <tr r="AA28" s="22"/>
      </tp>
      <tp t="e">
        <v>#N/A</v>
        <stp/>
        <stp>BDH|4828581901552043049</stp>
        <tr r="I23" s="35"/>
      </tp>
    </main>
    <main first="bofaddin.rtdserver">
      <tp t="e">
        <v>#N/A</v>
        <stp/>
        <stp>BDH|88325791541311570</stp>
        <tr r="H29" s="36"/>
      </tp>
    </main>
    <main first="bofaddin.rtdserver">
      <tp t="e">
        <v>#N/A</v>
        <stp/>
        <stp>BDH|827450851746613261</stp>
        <tr r="U80" s="32"/>
      </tp>
      <tp t="e">
        <v>#N/A</v>
        <stp/>
        <stp>BDH|704445340196691385</stp>
        <tr r="Q128" s="39"/>
      </tp>
      <tp t="e">
        <v>#N/A</v>
        <stp/>
        <stp>BDH|633623328807012615</stp>
        <tr r="T72" s="32"/>
      </tp>
      <tp t="e">
        <v>#N/A</v>
        <stp/>
        <stp>BDH|888468888939286092</stp>
        <tr r="X143" s="39"/>
      </tp>
      <tp t="e">
        <v>#N/A</v>
        <stp/>
        <stp>BDH|958090070082413090</stp>
        <tr r="Y163" s="39"/>
      </tp>
    </main>
    <main first="bofaddin.rtdserver">
      <tp t="e">
        <v>#N/A</v>
        <stp/>
        <stp>BDH|772688381943907896</stp>
        <tr r="Y28" s="32"/>
      </tp>
      <tp t="e">
        <v>#N/A</v>
        <stp/>
        <stp>BDH|296422139283103169</stp>
        <tr r="R44" s="32"/>
      </tp>
      <tp t="e">
        <v>#N/A</v>
        <stp/>
        <stp>BDH|129737472802718784</stp>
        <tr r="D23" s="35"/>
      </tp>
      <tp t="e">
        <v>#N/A</v>
        <stp/>
        <stp>BDH|569827483777457293</stp>
        <tr r="Y203" s="39"/>
      </tp>
      <tp t="e">
        <v>#N/A</v>
        <stp/>
        <stp>BDH|161042520450706794</stp>
        <tr r="T82" s="32"/>
      </tp>
      <tp t="e">
        <v>#N/A</v>
        <stp/>
        <stp>BDH|290266268622969312</stp>
        <tr r="U44" s="32"/>
      </tp>
      <tp t="e">
        <v>#N/A</v>
        <stp/>
        <stp>BDH|261243066787795603</stp>
        <tr r="D30" s="34"/>
      </tp>
      <tp t="e">
        <v>#N/A</v>
        <stp/>
        <stp>BDH|821646067557919239</stp>
        <tr r="AA43" s="38"/>
        <tr r="AA43" s="37"/>
      </tp>
      <tp t="e">
        <v>#N/A</v>
        <stp/>
        <stp>BDH|238872492593712710</stp>
        <tr r="AA212" s="39"/>
      </tp>
      <tp t="e">
        <v>#N/A</v>
        <stp/>
        <stp>BDH|679294916087281073</stp>
        <tr r="K22" s="35"/>
      </tp>
    </main>
    <main first="bofaddin.rtdserver">
      <tp t="e">
        <v>#N/A</v>
        <stp/>
        <stp>BDH|871426424832649064</stp>
        <tr r="U177" s="39"/>
      </tp>
      <tp t="e">
        <v>#N/A</v>
        <stp/>
        <stp>BDH|171501509181068070</stp>
        <tr r="G25" s="34"/>
      </tp>
      <tp t="e">
        <v>#N/A</v>
        <stp/>
        <stp>BDH|542694803886123462</stp>
        <tr r="Z146" s="39"/>
      </tp>
      <tp t="e">
        <v>#N/A</v>
        <stp/>
        <stp>BDH|897102526607508030</stp>
        <tr r="C5" s="29"/>
      </tp>
      <tp t="e">
        <v>#N/A</v>
        <stp/>
        <stp>BDH|479558417078893877</stp>
        <tr r="Q34" s="36"/>
      </tp>
      <tp t="e">
        <v>#N/A</v>
        <stp/>
        <stp>BDH|509646543223894538</stp>
        <tr r="X133" s="39"/>
      </tp>
      <tp t="e">
        <v>#N/A</v>
        <stp/>
        <stp>BDH|558780688422677982</stp>
        <tr r="S200" s="39"/>
      </tp>
      <tp t="e">
        <v>#N/A</v>
        <stp/>
        <stp>BDH|501837328287009995</stp>
        <tr r="R180" s="39"/>
      </tp>
      <tp t="e">
        <v>#N/A</v>
        <stp/>
        <stp>BDH|151295039092020719</stp>
        <tr r="AE27" s="36"/>
      </tp>
      <tp t="e">
        <v>#N/A</v>
        <stp/>
        <stp>BDH|139752325020259139</stp>
        <tr r="D27" s="22"/>
      </tp>
      <tp t="e">
        <v>#N/A</v>
        <stp/>
        <stp>BDH|605801895312375705</stp>
        <tr r="Z219" s="39"/>
      </tp>
      <tp t="e">
        <v>#N/A</v>
        <stp/>
        <stp>BDH|522695398872604928</stp>
        <tr r="S143" s="39"/>
      </tp>
      <tp t="e">
        <v>#N/A</v>
        <stp/>
        <stp>BDH|552704595418757253</stp>
        <tr r="R132" s="39"/>
      </tp>
      <tp t="e">
        <v>#N/A</v>
        <stp/>
        <stp>BDH|750393418277203174</stp>
        <tr r="AA102" s="32"/>
      </tp>
      <tp t="e">
        <v>#N/A</v>
        <stp/>
        <stp>BDH|409539580911219864</stp>
        <tr r="I30" s="38"/>
      </tp>
    </main>
    <main first="bofaddin.rtdserver">
      <tp t="e">
        <v>#N/A</v>
        <stp/>
        <stp>BDH|422297457311598127</stp>
        <tr r="U147" s="39"/>
      </tp>
      <tp t="e">
        <v>#N/A</v>
        <stp/>
        <stp>BDH|171545672704176188</stp>
        <tr r="U23" s="32"/>
      </tp>
      <tp t="e">
        <v>#N/A</v>
        <stp/>
        <stp>BDH|498678808838038953</stp>
        <tr r="L30" s="35"/>
      </tp>
      <tp t="e">
        <v>#N/A</v>
        <stp/>
        <stp>BDH|274611166134281393</stp>
        <tr r="Z82" s="32"/>
      </tp>
      <tp t="e">
        <v>#N/A</v>
        <stp/>
        <stp>BDH|333258629132729506</stp>
        <tr r="AC108" s="32"/>
      </tp>
      <tp t="e">
        <v>#N/A</v>
        <stp/>
        <stp>BDH|804145330530546510</stp>
        <tr r="I27" s="36"/>
      </tp>
      <tp t="e">
        <v>#N/A</v>
        <stp/>
        <stp>BDH|965027812600495644</stp>
        <tr r="Q197" s="39"/>
      </tp>
      <tp t="e">
        <v>#N/A</v>
        <stp/>
        <stp>BDH|864391708641598553</stp>
        <tr r="R48" s="32"/>
      </tp>
      <tp t="e">
        <v>#N/A</v>
        <stp/>
        <stp>BDH|529728218456553736</stp>
        <tr r="Y23" s="36"/>
      </tp>
      <tp t="e">
        <v>#N/A</v>
        <stp/>
        <stp>BDH|741766211224399596</stp>
        <tr r="X161" s="39"/>
      </tp>
      <tp t="e">
        <v>#N/A</v>
        <stp/>
        <stp>BDH|486582923333070351</stp>
        <tr r="L31" s="38"/>
      </tp>
      <tp t="e">
        <v>#N/A</v>
        <stp/>
        <stp>BDH|655098715547370139</stp>
        <tr r="T103" s="32"/>
      </tp>
      <tp t="e">
        <v>#N/A</v>
        <stp/>
        <stp>BDH|663252317041096509</stp>
        <tr r="J22" s="35"/>
      </tp>
      <tp t="e">
        <v>#N/A</v>
        <stp/>
        <stp>BDH|421800033999052524</stp>
        <tr r="R33" s="36"/>
      </tp>
      <tp t="e">
        <v>#N/A</v>
        <stp/>
        <stp>BDH|380089654547380597</stp>
        <tr r="Y119" s="39"/>
      </tp>
      <tp t="e">
        <v>#N/A</v>
        <stp/>
        <stp>BDH|926247909994905188</stp>
        <tr r="AA22" s="35"/>
      </tp>
      <tp t="e">
        <v>#N/A</v>
        <stp/>
        <stp>BDH|105565405606333478</stp>
        <tr r="W201" s="39"/>
      </tp>
      <tp t="e">
        <v>#N/A</v>
        <stp/>
        <stp>BDH|287042472683031328</stp>
        <tr r="AC15" s="32"/>
      </tp>
      <tp t="e">
        <v>#N/A</v>
        <stp/>
        <stp>BDH|271249333552263465</stp>
        <tr r="AC21" s="32"/>
      </tp>
      <tp t="e">
        <v>#N/A</v>
        <stp/>
        <stp>BDH|849356513404927169</stp>
        <tr r="W82" s="32"/>
      </tp>
      <tp t="e">
        <v>#N/A</v>
        <stp/>
        <stp>BDH|188304374223161058</stp>
        <tr r="F28" s="36"/>
      </tp>
      <tp t="e">
        <v>#N/A</v>
        <stp/>
        <stp>BDH|196115055274271747</stp>
        <tr r="Z203" s="39"/>
      </tp>
      <tp t="e">
        <v>#N/A</v>
        <stp/>
        <stp>BDH|942062124867941219</stp>
        <tr r="C19" s="22"/>
      </tp>
    </main>
    <main first="bofaddin.rtdserver">
      <tp t="e">
        <v>#N/A</v>
        <stp/>
        <stp>BDH|874382954369869906</stp>
        <tr r="R186" s="39"/>
      </tp>
    </main>
    <main first="bofaddin.rtdserver">
      <tp t="e">
        <v>#N/A</v>
        <stp/>
        <stp>BDH|881915382621217668</stp>
        <tr r="Z27" s="35"/>
      </tp>
      <tp t="e">
        <v>#N/A</v>
        <stp/>
        <stp>BDH|471749013863824322</stp>
        <tr r="H35" s="38"/>
      </tp>
      <tp t="e">
        <v>#N/A</v>
        <stp/>
        <stp>BDH|245082275970184148</stp>
        <tr r="AC11" s="32"/>
      </tp>
      <tp t="e">
        <v>#N/A</v>
        <stp/>
        <stp>BDH|909794343937562222</stp>
        <tr r="W29" s="36"/>
      </tp>
      <tp t="e">
        <v>#N/A</v>
        <stp/>
        <stp>BDH|294588788789083276</stp>
        <tr r="K27" s="38"/>
      </tp>
      <tp t="e">
        <v>#N/A</v>
        <stp/>
        <stp>BDH|366073607697609101</stp>
        <tr r="H35" s="37"/>
      </tp>
      <tp t="e">
        <v>#N/A</v>
        <stp/>
        <stp>BDH|607604384711017946</stp>
        <tr r="Y217" s="39"/>
      </tp>
      <tp t="e">
        <v>#N/A</v>
        <stp/>
        <stp>BDH|625713201963143203</stp>
        <tr r="V108" s="32"/>
      </tp>
      <tp t="e">
        <v>#N/A</v>
        <stp/>
        <stp>BDH|182149284939751610</stp>
        <tr r="X172" s="39"/>
      </tp>
      <tp t="e">
        <v>#N/A</v>
        <stp/>
        <stp>BDH|412336575096344460</stp>
        <tr r="W45" s="32"/>
      </tp>
    </main>
    <main first="bofaddin.rtdserver">
      <tp t="e">
        <v>#N/A</v>
        <stp/>
        <stp>BDH|808018972431367749</stp>
        <tr r="W17" s="32"/>
      </tp>
      <tp t="e">
        <v>#N/A</v>
        <stp/>
        <stp>BDH|809713516096634149</stp>
        <tr r="U174" s="39"/>
      </tp>
      <tp t="e">
        <v>#N/A</v>
        <stp/>
        <stp>BDH|469045319245476505</stp>
        <tr r="U19" s="32"/>
      </tp>
      <tp t="e">
        <v>#N/A</v>
        <stp/>
        <stp>BDH|199397569811574597</stp>
        <tr r="M26" s="35"/>
      </tp>
      <tp t="e">
        <v>#N/A</v>
        <stp/>
        <stp>BDH|589565595558847563</stp>
        <tr r="H31" s="36"/>
      </tp>
      <tp t="e">
        <v>#N/A</v>
        <stp/>
        <stp>BDH|942337858204180390</stp>
        <tr r="AB143" s="39"/>
        <tr r="AC143" s="39"/>
      </tp>
      <tp t="e">
        <v>#N/A</v>
        <stp/>
        <stp>BDH|308174209752334240</stp>
        <tr r="U203" s="39"/>
      </tp>
      <tp t="e">
        <v>#N/A</v>
        <stp/>
        <stp>BDH|357365508654033674</stp>
        <tr r="AA29" s="35"/>
      </tp>
      <tp t="e">
        <v>#N/A</v>
        <stp/>
        <stp>BDH|390981832428043329</stp>
        <tr r="AC64" s="32"/>
      </tp>
      <tp t="e">
        <v>#N/A</v>
        <stp/>
        <stp>BDH|825063105132377330</stp>
        <tr r="AC30" s="36"/>
      </tp>
      <tp t="e">
        <v>#N/A</v>
        <stp/>
        <stp>BDH|538779046071229316</stp>
        <tr r="T32" s="32"/>
      </tp>
      <tp t="e">
        <v>#N/A</v>
        <stp/>
        <stp>BDH|253662656276168439</stp>
        <tr r="F30" s="37"/>
      </tp>
      <tp t="e">
        <v>#N/A</v>
        <stp/>
        <stp>BDH|887027309497634651</stp>
        <tr r="U31" s="32"/>
      </tp>
      <tp t="e">
        <v>#N/A</v>
        <stp/>
        <stp>BDH|277837741264085905</stp>
        <tr r="AD87" s="32"/>
      </tp>
      <tp t="e">
        <v>#N/A</v>
        <stp/>
        <stp>BDH|710003100372585338</stp>
        <tr r="Q194" s="39"/>
      </tp>
      <tp t="e">
        <v>#N/A</v>
        <stp/>
        <stp>BDH|143501013617811282</stp>
        <tr r="J23" s="36"/>
      </tp>
      <tp t="e">
        <v>#N/A</v>
        <stp/>
        <stp>BDH|358340854653605464</stp>
        <tr r="T8" s="32"/>
      </tp>
    </main>
    <main first="bofaddin.rtdserver">
      <tp t="e">
        <v>#N/A</v>
        <stp/>
        <stp>BDH|126970785507462688</stp>
        <tr r="G22" s="22"/>
      </tp>
      <tp t="e">
        <v>#N/A</v>
        <stp/>
        <stp>BDH|729069610675869466</stp>
        <tr r="U219" s="39"/>
      </tp>
      <tp t="e">
        <v>#N/A</v>
        <stp/>
        <stp>BDH|898761821997414233</stp>
        <tr r="J27" s="36"/>
      </tp>
      <tp t="e">
        <v>#N/A</v>
        <stp/>
        <stp>BDH|873385844005903246</stp>
        <tr r="V84" s="32"/>
      </tp>
      <tp t="e">
        <v>#N/A</v>
        <stp/>
        <stp>BDH|177311221440100140</stp>
        <tr r="AA116" s="39"/>
      </tp>
      <tp t="e">
        <v>#N/A</v>
        <stp/>
        <stp>BDH|575048617105386416</stp>
        <tr r="Z206" s="39"/>
      </tp>
      <tp t="e">
        <v>#N/A</v>
        <stp/>
        <stp>BDH|724676036324319112</stp>
        <tr r="Z190" s="39"/>
      </tp>
      <tp t="e">
        <v>#N/A</v>
        <stp/>
        <stp>BDH|983339178417576328</stp>
        <tr r="D31" s="37"/>
      </tp>
      <tp t="e">
        <v>#N/A</v>
        <stp/>
        <stp>BDH|788381724147854669</stp>
        <tr r="W169" s="39"/>
      </tp>
      <tp t="e">
        <v>#N/A</v>
        <stp/>
        <stp>BDH|619561944075049435</stp>
        <tr r="V121" s="39"/>
      </tp>
      <tp t="e">
        <v>#N/A</v>
        <stp/>
        <stp>BDH|492741235443188733</stp>
        <tr r="M30" s="37"/>
      </tp>
      <tp t="e">
        <v>#N/A</v>
        <stp/>
        <stp>BDH|263032360085144316</stp>
        <tr r="AB207" s="39"/>
        <tr r="AC207" s="39"/>
      </tp>
      <tp t="e">
        <v>#N/A</v>
        <stp/>
        <stp>BDH|120136131892466056</stp>
        <tr r="J28" s="34"/>
      </tp>
    </main>
    <main first="bofaddin.rtdserver">
      <tp t="e">
        <v>#N/A</v>
        <stp/>
        <stp>BDH|713539058290508340</stp>
        <tr r="AK31" s="36"/>
      </tp>
      <tp t="e">
        <v>#N/A</v>
        <stp/>
        <stp>BDH|852180267396130280</stp>
        <tr r="D28" s="37"/>
      </tp>
      <tp t="e">
        <v>#N/A</v>
        <stp/>
        <stp>BDH|739195432645283463</stp>
        <tr r="AB44" s="32"/>
      </tp>
      <tp t="e">
        <v>#N/A</v>
        <stp/>
        <stp>BDH|281984573404396924</stp>
        <tr r="K34" s="37"/>
      </tp>
      <tp t="e">
        <v>#N/A</v>
        <stp/>
        <stp>BDH|304636059801608164</stp>
        <tr r="W19" s="32"/>
      </tp>
      <tp t="e">
        <v>#N/A</v>
        <stp/>
        <stp>BDH|941939380076874488</stp>
        <tr r="L26" s="22"/>
      </tp>
      <tp t="e">
        <v>#N/A</v>
        <stp/>
        <stp>BDH|556217341192735760</stp>
        <tr r="R193" s="39"/>
      </tp>
      <tp t="e">
        <v>#N/A</v>
        <stp/>
        <stp>BDH|120032547341470650</stp>
        <tr r="T127" s="39"/>
      </tp>
      <tp t="e">
        <v>#N/A</v>
        <stp/>
        <stp>BDH|221786517875847009</stp>
        <tr r="M20" s="35"/>
      </tp>
      <tp t="e">
        <v>#N/A</v>
        <stp/>
        <stp>BDH|356537154991435270</stp>
        <tr r="AC8" s="32"/>
      </tp>
      <tp t="e">
        <v>#N/A</v>
        <stp/>
        <stp>BDH|250538584079567775</stp>
        <tr r="AB45" s="32"/>
      </tp>
      <tp t="e">
        <v>#N/A</v>
        <stp/>
        <stp>BDH|280348832857758442</stp>
        <tr r="Z132" s="39"/>
      </tp>
      <tp t="e">
        <v>#N/A</v>
        <stp/>
        <stp>BDH|277657802143375614</stp>
        <tr r="R219" s="39"/>
      </tp>
      <tp t="e">
        <v>#N/A</v>
        <stp/>
        <stp>BDH|533306742302054603</stp>
        <tr r="C38" s="38"/>
      </tp>
      <tp t="e">
        <v>#N/A</v>
        <stp/>
        <stp>BDH|604262971672118472</stp>
        <tr r="Y130" s="39"/>
      </tp>
      <tp t="e">
        <v>#N/A</v>
        <stp/>
        <stp>BDH|457982848786266860</stp>
        <tr r="S179" s="39"/>
      </tp>
      <tp t="e">
        <v>#N/A</v>
        <stp/>
        <stp>BDH|797738301905195158</stp>
        <tr r="X5" s="32"/>
      </tp>
      <tp t="e">
        <v>#N/A</v>
        <stp/>
        <stp>BDH|646095905486226599</stp>
        <tr r="Z85" s="32"/>
      </tp>
      <tp t="e">
        <v>#N/A</v>
        <stp/>
        <stp>BDH|281533030115378002</stp>
        <tr r="U30" s="35"/>
      </tp>
      <tp t="e">
        <v>#N/A</v>
        <stp/>
        <stp>BDH|707518365453193304</stp>
        <tr r="U207" s="39"/>
      </tp>
    </main>
    <main first="bofaddin.rtdserver">
      <tp t="e">
        <v>#N/A</v>
        <stp/>
        <stp>BDH|619685522394905290</stp>
        <tr r="W138" s="39"/>
      </tp>
      <tp t="e">
        <v>#N/A</v>
        <stp/>
        <stp>BDH|283047707517117582</stp>
        <tr r="O30" s="36"/>
      </tp>
      <tp t="e">
        <v>#N/A</v>
        <stp/>
        <stp>BDH|629141035889977962</stp>
        <tr r="U149" s="39"/>
      </tp>
      <tp t="e">
        <v>#N/A</v>
        <stp/>
        <stp>BDH|129380183931625854</stp>
        <tr r="Y199" s="39"/>
      </tp>
      <tp t="e">
        <v>#N/A</v>
        <stp/>
        <stp>BDH|552630849603750320</stp>
        <tr r="S191" s="39"/>
      </tp>
      <tp t="e">
        <v>#N/A</v>
        <stp/>
        <stp>BDH|886088161217261388</stp>
        <tr r="Z114" s="39"/>
      </tp>
      <tp t="e">
        <v>#N/A</v>
        <stp/>
        <stp>BDH|831476131975879029</stp>
        <tr r="R154" s="39"/>
      </tp>
      <tp t="e">
        <v>#N/A</v>
        <stp/>
        <stp>BDH|671858167779180539</stp>
        <tr r="U209" s="39"/>
      </tp>
      <tp t="e">
        <v>#N/A</v>
        <stp/>
        <stp>BDH|368928682742514109</stp>
        <tr r="T18" s="34"/>
      </tp>
      <tp t="e">
        <v>#N/A</v>
        <stp/>
        <stp>BDH|762442661766745631</stp>
        <tr r="AB96" s="32"/>
      </tp>
      <tp t="e">
        <v>#N/A</v>
        <stp/>
        <stp>BDH|331898586610316280</stp>
        <tr r="AA86" s="32"/>
      </tp>
      <tp t="e">
        <v>#N/A</v>
        <stp/>
        <stp>BDH|199433302914749274</stp>
        <tr r="G18" s="35"/>
      </tp>
      <tp t="e">
        <v>#N/A</v>
        <stp/>
        <stp>BDH|116032365994399045</stp>
        <tr r="N35" s="37"/>
      </tp>
      <tp t="e">
        <v>#N/A</v>
        <stp/>
        <stp>BDH|986595835320023449</stp>
        <tr r="AD38" s="32"/>
      </tp>
      <tp t="e">
        <v>#N/A</v>
        <stp/>
        <stp>BDH|310060451112658500</stp>
        <tr r="P31" s="36"/>
      </tp>
      <tp t="e">
        <v>#N/A</v>
        <stp/>
        <stp>BDH|456709016381737564</stp>
        <tr r="V77" s="32"/>
      </tp>
    </main>
    <main first="bofaddin.rtdserver">
      <tp t="e">
        <v>#N/A</v>
        <stp/>
        <stp>BDH|640376639684792933</stp>
        <tr r="L20" s="34"/>
      </tp>
      <tp t="e">
        <v>#N/A</v>
        <stp/>
        <stp>BDH|820364986686758031</stp>
        <tr r="X25" s="22"/>
      </tp>
      <tp t="e">
        <v>#N/A</v>
        <stp/>
        <stp>BDH|208872249133385224</stp>
        <tr r="AC35" s="36"/>
      </tp>
      <tp t="e">
        <v>#N/A</v>
        <stp/>
        <stp>BDH|643600807079709282</stp>
        <tr r="D38" s="38"/>
      </tp>
      <tp t="e">
        <v>#N/A</v>
        <stp/>
        <stp>BDH|619080078282898864</stp>
        <tr r="G35" s="38"/>
      </tp>
      <tp t="e">
        <v>#N/A</v>
        <stp/>
        <stp>BDH|299520282704812403</stp>
        <tr r="U10" s="32"/>
      </tp>
      <tp t="e">
        <v>#N/A</v>
        <stp/>
        <stp>BDH|673242825665074831</stp>
        <tr r="Z152" s="39"/>
      </tp>
      <tp t="e">
        <v>#N/A</v>
        <stp/>
        <stp>BDH|706729956979025651</stp>
        <tr r="AA124" s="39"/>
      </tp>
      <tp t="e">
        <v>#N/A</v>
        <stp/>
        <stp>BDH|534978700632209670</stp>
        <tr r="T32" s="36"/>
      </tp>
      <tp t="e">
        <v>#N/A</v>
        <stp/>
        <stp>BDH|315548787124359448</stp>
        <tr r="W24" s="35"/>
      </tp>
      <tp t="e">
        <v>#N/A</v>
        <stp/>
        <stp>BDH|605762183654355602</stp>
        <tr r="Q26" s="34"/>
      </tp>
      <tp t="e">
        <v>#N/A</v>
        <stp/>
        <stp>BDH|847948752990926153</stp>
        <tr r="Z211" s="39"/>
      </tp>
    </main>
    <main first="bofaddin.rtdserver">
      <tp t="e">
        <v>#N/A</v>
        <stp/>
        <stp>BDH|941639657958300732</stp>
        <tr r="AB126" s="39"/>
        <tr r="AC126" s="39"/>
      </tp>
      <tp t="e">
        <v>#N/A</v>
        <stp/>
        <stp>BDH|901109283511166456</stp>
        <tr r="W26" s="35"/>
      </tp>
      <tp t="e">
        <v>#N/A</v>
        <stp/>
        <stp>BDH|709525290793977327</stp>
        <tr r="F32" s="36"/>
      </tp>
      <tp t="e">
        <v>#N/A</v>
        <stp/>
        <stp>BDH|127723786354965752</stp>
        <tr r="R194" s="39"/>
      </tp>
      <tp t="e">
        <v>#N/A</v>
        <stp/>
        <stp>BDH|945791818829700350</stp>
        <tr r="V124" s="39"/>
      </tp>
      <tp t="e">
        <v>#N/A</v>
        <stp/>
        <stp>BDH|526551447385475885</stp>
        <tr r="K34" s="36"/>
      </tp>
      <tp t="e">
        <v>#N/A</v>
        <stp/>
        <stp>BDH|673508519358218081</stp>
        <tr r="D26" s="36"/>
      </tp>
      <tp t="e">
        <v>#N/A</v>
        <stp/>
        <stp>BDH|455176545359941099</stp>
        <tr r="Y26" s="32"/>
      </tp>
      <tp t="e">
        <v>#N/A</v>
        <stp/>
        <stp>BDH|330612855247814881</stp>
        <tr r="C29" s="37"/>
      </tp>
      <tp t="e">
        <v>#N/A</v>
        <stp/>
        <stp>BDH|954187690930607452</stp>
        <tr r="X26" s="22"/>
      </tp>
      <tp t="e">
        <v>#N/A</v>
        <stp/>
        <stp>BDH|206006399094065199</stp>
        <tr r="J36" s="37"/>
      </tp>
      <tp t="e">
        <v>#N/A</v>
        <stp/>
        <stp>BDH|197690687501921352</stp>
        <tr r="AL27" s="36"/>
      </tp>
    </main>
    <main first="bofaddin.rtdserver">
      <tp t="e">
        <v>#N/A</v>
        <stp/>
        <stp>BDH|731038843199892228</stp>
        <tr r="AI35" s="36"/>
      </tp>
      <tp t="e">
        <v>#N/A</v>
        <stp/>
        <stp>BDH|289976478962239328</stp>
        <tr r="S218" s="39"/>
      </tp>
      <tp t="e">
        <v>#N/A</v>
        <stp/>
        <stp>BDH|806257235716450814</stp>
        <tr r="AB50" s="32"/>
      </tp>
      <tp t="e">
        <v>#N/A</v>
        <stp/>
        <stp>BDH|370888730371538562</stp>
        <tr r="Q141" s="39"/>
      </tp>
      <tp t="e">
        <v>#N/A</v>
        <stp/>
        <stp>BDH|118749703271948967</stp>
        <tr r="S80" s="32"/>
      </tp>
      <tp t="e">
        <v>#N/A</v>
        <stp/>
        <stp>BDH|984314797062527733</stp>
        <tr r="T35" s="36"/>
      </tp>
      <tp t="e">
        <v>#N/A</v>
        <stp/>
        <stp>BDH|832761663788749633</stp>
        <tr r="T135" s="39"/>
      </tp>
    </main>
    <main first="bofaddin.rtdserver">
      <tp t="e">
        <v>#N/A</v>
        <stp/>
        <stp>BDH|493989083989435715</stp>
        <tr r="AC75" s="32"/>
      </tp>
      <tp t="e">
        <v>#N/A</v>
        <stp/>
        <stp>BDH|301109255673885841</stp>
        <tr r="P37" s="36"/>
      </tp>
    </main>
    <main first="bofaddin.rtdserver">
      <tp t="e">
        <v>#N/A</v>
        <stp/>
        <stp>BDH|610458295442026007</stp>
        <tr r="T21" s="32"/>
      </tp>
      <tp t="e">
        <v>#N/A</v>
        <stp/>
        <stp>BDH|784053266200147926</stp>
        <tr r="X126" s="39"/>
      </tp>
      <tp t="e">
        <v>#N/A</v>
        <stp/>
        <stp>BDH|854955461546951646</stp>
        <tr r="V137" s="39"/>
      </tp>
    </main>
    <main first="bofaddin.rtdserver">
      <tp t="e">
        <v>#N/A</v>
        <stp/>
        <stp>BDH|164862554426760585</stp>
        <tr r="S207" s="39"/>
      </tp>
      <tp t="e">
        <v>#N/A</v>
        <stp/>
        <stp>BDH|152498707958362201</stp>
        <tr r="AK24" s="36"/>
      </tp>
      <tp t="e">
        <v>#N/A</v>
        <stp/>
        <stp>BDH|959148361311395879</stp>
        <tr r="B18" s="34"/>
      </tp>
      <tp t="e">
        <v>#N/A</v>
        <stp/>
        <stp>BDH|928355632139811762</stp>
        <tr r="AB196" s="39"/>
        <tr r="AC196" s="39"/>
      </tp>
      <tp t="e">
        <v>#N/A</v>
        <stp/>
        <stp>BDH|168660483578144840</stp>
        <tr r="U142" s="39"/>
      </tp>
      <tp t="e">
        <v>#N/A</v>
        <stp/>
        <stp>BDH|904689753824006908</stp>
        <tr r="R23" s="36"/>
      </tp>
      <tp t="e">
        <v>#N/A</v>
        <stp/>
        <stp>BDH|188736387288199965</stp>
        <tr r="W124" s="39"/>
      </tp>
    </main>
    <main first="bofaddin.rtdserver">
      <tp t="e">
        <v>#N/A</v>
        <stp/>
        <stp>BDH|515810403429804839</stp>
        <tr r="U192" s="39"/>
      </tp>
      <tp t="e">
        <v>#N/A</v>
        <stp/>
        <stp>BDH|616606349912679946</stp>
        <tr r="Q165" s="39"/>
      </tp>
      <tp t="e">
        <v>#N/A</v>
        <stp/>
        <stp>BDH|142952825327967529</stp>
        <tr r="AA42" s="38"/>
        <tr r="AA42" s="37"/>
      </tp>
      <tp t="e">
        <v>#N/A</v>
        <stp/>
        <stp>BDH|888705464088718014</stp>
        <tr r="S156" s="39"/>
      </tp>
      <tp t="e">
        <v>#N/A</v>
        <stp/>
        <stp>BDH|372032644259968466</stp>
        <tr r="X207" s="39"/>
      </tp>
      <tp t="e">
        <v>#N/A</v>
        <stp/>
        <stp>BDH|639844003320251179</stp>
        <tr r="D35" s="37"/>
      </tp>
      <tp t="e">
        <v>#N/A</v>
        <stp/>
        <stp>BDH|142019689350955142</stp>
        <tr r="AC105" s="32"/>
      </tp>
      <tp t="e">
        <v>#N/A</v>
        <stp/>
        <stp>BDH|465936371755798257</stp>
        <tr r="M30" s="22"/>
      </tp>
      <tp t="e">
        <v>#N/A</v>
        <stp/>
        <stp>BDH|420802405181035042</stp>
        <tr r="AD37" s="32"/>
      </tp>
      <tp t="e">
        <v>#N/A</v>
        <stp/>
        <stp>BDH|231818755680556421</stp>
        <tr r="R61" s="32"/>
      </tp>
      <tp t="e">
        <v>#N/A</v>
        <stp/>
        <stp>BDH|905169870056515981</stp>
        <tr r="Z23" s="35"/>
      </tp>
      <tp t="e">
        <v>#N/A</v>
        <stp/>
        <stp>BDH|203966657090132506</stp>
        <tr r="AB144" s="39"/>
        <tr r="AC144" s="39"/>
      </tp>
      <tp t="e">
        <v>#N/A</v>
        <stp/>
        <stp>BDH|345475279003929978</stp>
        <tr r="V5" s="32"/>
      </tp>
    </main>
    <main first="bofaddin.rtdserver">
      <tp t="e">
        <v>#N/A</v>
        <stp/>
        <stp>BDH|219491962283230939</stp>
        <tr r="Z200" s="39"/>
      </tp>
      <tp t="e">
        <v>#N/A</v>
        <stp/>
        <stp>BDH|677162069809610665</stp>
        <tr r="T30" s="36"/>
      </tp>
      <tp t="e">
        <v>#N/A</v>
        <stp/>
        <stp>BDH|879668856339343210</stp>
        <tr r="T96" s="32"/>
      </tp>
      <tp t="e">
        <v>#N/A</v>
        <stp/>
        <stp>BDH|851574993057501335</stp>
        <tr r="S178" s="39"/>
      </tp>
      <tp t="e">
        <v>#N/A</v>
        <stp/>
        <stp>BDH|882040180717078794</stp>
        <tr r="Z23" s="36"/>
      </tp>
      <tp t="e">
        <v>#N/A</v>
        <stp/>
        <stp>BDH|236104918129665193</stp>
        <tr r="V22" s="35"/>
      </tp>
      <tp t="e">
        <v>#N/A</v>
        <stp/>
        <stp>BDH|479194023468829303</stp>
        <tr r="AI37" s="36"/>
      </tp>
      <tp t="e">
        <v>#N/A</v>
        <stp/>
        <stp>BDH|477846117665094405</stp>
        <tr r="AA201" s="39"/>
      </tp>
      <tp t="e">
        <v>#N/A</v>
        <stp/>
        <stp>BDH|682364797902623062</stp>
        <tr r="S195" s="39"/>
      </tp>
      <tp t="e">
        <v>#N/A</v>
        <stp/>
        <stp>BDH|447634173531338803</stp>
        <tr r="C11" s="29"/>
      </tp>
      <tp t="e">
        <v>#N/A</v>
        <stp/>
        <stp>BDH|528853215258302968</stp>
        <tr r="Z24" s="36"/>
      </tp>
      <tp t="e">
        <v>#N/A</v>
        <stp/>
        <stp>BDH|257807702709022901</stp>
        <tr r="R172" s="39"/>
      </tp>
      <tp t="e">
        <v>#N/A</v>
        <stp/>
        <stp>BDH|959330798795462762</stp>
        <tr r="U92" s="32"/>
      </tp>
      <tp t="e">
        <v>#N/A</v>
        <stp/>
        <stp>BDH|808143852464681889</stp>
        <tr r="AB181" s="39"/>
        <tr r="AC181" s="39"/>
      </tp>
      <tp t="e">
        <v>#N/A</v>
        <stp/>
        <stp>BDH|843254594506907522</stp>
        <tr r="U155" s="39"/>
      </tp>
      <tp t="e">
        <v>#N/A</v>
        <stp/>
        <stp>BDH|534141177909655495</stp>
        <tr r="V47" s="32"/>
      </tp>
      <tp t="e">
        <v>#N/A</v>
        <stp/>
        <stp>BDH|231844445735978230</stp>
        <tr r="J20" s="22"/>
      </tp>
      <tp t="e">
        <v>#N/A</v>
        <stp/>
        <stp>BDH|599136351619443687</stp>
        <tr r="Z25" s="32"/>
      </tp>
      <tp t="e">
        <v>#N/A</v>
        <stp/>
        <stp>BDH|749627053000680845</stp>
        <tr r="U35" s="32"/>
      </tp>
      <tp t="e">
        <v>#N/A</v>
        <stp/>
        <stp>BDH|124411094382586454</stp>
        <tr r="S19" s="22"/>
      </tp>
      <tp t="e">
        <v>#N/A</v>
        <stp/>
        <stp>BDH|234051293983755149</stp>
        <tr r="Z178" s="39"/>
      </tp>
      <tp t="e">
        <v>#N/A</v>
        <stp/>
        <stp>BDH|140760110695375832</stp>
        <tr r="J35" s="36"/>
      </tp>
      <tp t="e">
        <v>#N/A</v>
        <stp/>
        <stp>BDH|731188318419177267</stp>
        <tr r="C21" s="34"/>
      </tp>
      <tp t="e">
        <v>#N/A</v>
        <stp/>
        <stp>BDH|957982679776959303</stp>
        <tr r="H18" s="24"/>
      </tp>
      <tp t="e">
        <v>#N/A</v>
        <stp/>
        <stp>BDH|373671572462492813</stp>
        <tr r="X150" s="39"/>
      </tp>
      <tp t="e">
        <v>#N/A</v>
        <stp/>
        <stp>BDH|622913016667792451</stp>
        <tr r="AD27" s="36"/>
      </tp>
    </main>
    <main first="bofaddin.rtdserver">
      <tp t="e">
        <v>#N/A</v>
        <stp/>
        <stp>BDH|802113683260659318</stp>
        <tr r="C30" s="37"/>
      </tp>
    </main>
    <main first="bofaddin.rtdserver">
      <tp t="e">
        <v>#N/A</v>
        <stp/>
        <stp>BDH|535740784690450593</stp>
        <tr r="T183" s="39"/>
      </tp>
      <tp t="e">
        <v>#N/A</v>
        <stp/>
        <stp>BDH|375753478739791305</stp>
        <tr r="R133" s="39"/>
      </tp>
      <tp t="e">
        <v>#N/A</v>
        <stp/>
        <stp>BDH|897818722745138530</stp>
        <tr r="V71" s="32"/>
      </tp>
      <tp t="e">
        <v>#N/A</v>
        <stp/>
        <stp>BDH|755467758653266811</stp>
        <tr r="R15" s="32"/>
      </tp>
      <tp t="e">
        <v>#N/A</v>
        <stp/>
        <stp>BDH|421155008778542379</stp>
        <tr r="N26" s="22"/>
      </tp>
      <tp t="e">
        <v>#N/A</v>
        <stp/>
        <stp>BDH|783427773030307907</stp>
        <tr r="Z136" s="39"/>
      </tp>
      <tp t="e">
        <v>#N/A</v>
        <stp/>
        <stp>BDH|874797658360580895</stp>
        <tr r="L29" s="22"/>
      </tp>
      <tp t="e">
        <v>#N/A</v>
        <stp/>
        <stp>BDH|127947292752604871</stp>
        <tr r="S21" s="34"/>
      </tp>
      <tp t="e">
        <v>#N/A</v>
        <stp/>
        <stp>BDH|137795499912116609</stp>
        <tr r="AA208" s="39"/>
      </tp>
      <tp t="e">
        <v>#N/A</v>
        <stp/>
        <stp>BDH|251690344461825976</stp>
        <tr r="H30" s="37"/>
      </tp>
      <tp t="e">
        <v>#N/A</v>
        <stp/>
        <stp>BDH|731332598256442682</stp>
        <tr r="AA144" s="39"/>
      </tp>
      <tp t="e">
        <v>#N/A</v>
        <stp/>
        <stp>BDH|753836879143841643</stp>
        <tr r="X87" s="32"/>
      </tp>
      <tp t="e">
        <v>#N/A</v>
        <stp/>
        <stp>BDH|488152768939386488</stp>
        <tr r="AB3" s="32"/>
      </tp>
    </main>
    <main first="bofaddin.rtdserver">
      <tp t="e">
        <v>#N/A</v>
        <stp/>
        <stp>BDH|781070469055335</stp>
        <tr r="AD56" s="3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KRW/IRS Swaption ATM Normal Volatility Surface (BBIR)</a:t>
            </a:r>
            <a:endParaRPr lang="ko-K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20867138447712E-2"/>
          <c:y val="0.10957762157162758"/>
          <c:w val="0.88472701192778791"/>
          <c:h val="0.80455031441544533"/>
        </c:manualLayout>
      </c:layout>
      <c:surface3DChart>
        <c:wireframe val="0"/>
        <c:ser>
          <c:idx val="0"/>
          <c:order val="0"/>
          <c:tx>
            <c:strRef>
              <c:f>'1-1)Swaption_Matrix'!$C$17</c:f>
              <c:strCache>
                <c:ptCount val="1"/>
                <c:pt idx="0">
                  <c:v>1Y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'1-1)Swaption_Matrix'!$C$18:$C$30</c:f>
              <c:numCache>
                <c:formatCode>General</c:formatCode>
                <c:ptCount val="13"/>
                <c:pt idx="0">
                  <c:v>70.488500000000002</c:v>
                </c:pt>
                <c:pt idx="1">
                  <c:v>75.105900000000005</c:v>
                </c:pt>
                <c:pt idx="2">
                  <c:v>73.194500000000005</c:v>
                </c:pt>
                <c:pt idx="3">
                  <c:v>74.062200000000004</c:v>
                </c:pt>
                <c:pt idx="4">
                  <c:v>78.019099999999995</c:v>
                </c:pt>
                <c:pt idx="5">
                  <c:v>71.901799999999994</c:v>
                </c:pt>
                <c:pt idx="6">
                  <c:v>65.886399999999995</c:v>
                </c:pt>
                <c:pt idx="7">
                  <c:v>59.921900000000001</c:v>
                </c:pt>
                <c:pt idx="8">
                  <c:v>54.449100000000001</c:v>
                </c:pt>
                <c:pt idx="9">
                  <c:v>53.2361</c:v>
                </c:pt>
                <c:pt idx="10">
                  <c:v>49.607500000000002</c:v>
                </c:pt>
                <c:pt idx="11">
                  <c:v>35.693300000000001</c:v>
                </c:pt>
                <c:pt idx="12">
                  <c:v>35.317900000000002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A-4DD8-AF85-3886CF70E353}"/>
            </c:ext>
          </c:extLst>
        </c:ser>
        <c:ser>
          <c:idx val="1"/>
          <c:order val="1"/>
          <c:tx>
            <c:strRef>
              <c:f>'1-1)Swaption_Matrix'!$D$17</c:f>
              <c:strCache>
                <c:ptCount val="1"/>
                <c:pt idx="0">
                  <c:v>2Y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'1-1)Swaption_Matrix'!$D$18:$D$30</c:f>
              <c:numCache>
                <c:formatCode>General</c:formatCode>
                <c:ptCount val="13"/>
                <c:pt idx="0">
                  <c:v>71.984300000000005</c:v>
                </c:pt>
                <c:pt idx="1">
                  <c:v>78.814499999999995</c:v>
                </c:pt>
                <c:pt idx="2">
                  <c:v>74.125</c:v>
                </c:pt>
                <c:pt idx="3">
                  <c:v>71.578500000000005</c:v>
                </c:pt>
                <c:pt idx="4">
                  <c:v>77.264600000000002</c:v>
                </c:pt>
                <c:pt idx="5">
                  <c:v>69.718400000000003</c:v>
                </c:pt>
                <c:pt idx="6">
                  <c:v>64.006699999999995</c:v>
                </c:pt>
                <c:pt idx="7">
                  <c:v>57.8123</c:v>
                </c:pt>
                <c:pt idx="8">
                  <c:v>54.386000000000003</c:v>
                </c:pt>
                <c:pt idx="9">
                  <c:v>51.839199999999998</c:v>
                </c:pt>
                <c:pt idx="10">
                  <c:v>48.854100000000003</c:v>
                </c:pt>
                <c:pt idx="11">
                  <c:v>35.165500000000002</c:v>
                </c:pt>
                <c:pt idx="12">
                  <c:v>34.824599999999997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A-4DD8-AF85-3886CF70E353}"/>
            </c:ext>
          </c:extLst>
        </c:ser>
        <c:ser>
          <c:idx val="2"/>
          <c:order val="2"/>
          <c:tx>
            <c:strRef>
              <c:f>'1-1)Swaption_Matrix'!$E$17</c:f>
              <c:strCache>
                <c:ptCount val="1"/>
                <c:pt idx="0">
                  <c:v>3Y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'1-1)Swaption_Matrix'!$E$18:$E$30</c:f>
              <c:numCache>
                <c:formatCode>General</c:formatCode>
                <c:ptCount val="13"/>
                <c:pt idx="0">
                  <c:v>73.847099999999998</c:v>
                </c:pt>
                <c:pt idx="1">
                  <c:v>72.906700000000001</c:v>
                </c:pt>
                <c:pt idx="2">
                  <c:v>75.114400000000003</c:v>
                </c:pt>
                <c:pt idx="3">
                  <c:v>70.978999999999999</c:v>
                </c:pt>
                <c:pt idx="4">
                  <c:v>74.655100000000004</c:v>
                </c:pt>
                <c:pt idx="5">
                  <c:v>66.839200000000005</c:v>
                </c:pt>
                <c:pt idx="6">
                  <c:v>61.83</c:v>
                </c:pt>
                <c:pt idx="7">
                  <c:v>57.313299999999998</c:v>
                </c:pt>
                <c:pt idx="8">
                  <c:v>55.303899999999999</c:v>
                </c:pt>
                <c:pt idx="9">
                  <c:v>53.9011</c:v>
                </c:pt>
                <c:pt idx="10">
                  <c:v>49.588999999999999</c:v>
                </c:pt>
                <c:pt idx="11">
                  <c:v>36.578499999999998</c:v>
                </c:pt>
                <c:pt idx="12">
                  <c:v>36.206000000000003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2A-4DD8-AF85-3886CF70E353}"/>
            </c:ext>
          </c:extLst>
        </c:ser>
        <c:ser>
          <c:idx val="3"/>
          <c:order val="3"/>
          <c:tx>
            <c:strRef>
              <c:f>'1-1)Swaption_Matrix'!$F$17</c:f>
              <c:strCache>
                <c:ptCount val="1"/>
                <c:pt idx="0">
                  <c:v>4Y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'1-1)Swaption_Matrix'!$F$18:$F$30</c:f>
              <c:numCache>
                <c:formatCode>General</c:formatCode>
                <c:ptCount val="13"/>
                <c:pt idx="0">
                  <c:v>75.58</c:v>
                </c:pt>
                <c:pt idx="1">
                  <c:v>74.123599999999996</c:v>
                </c:pt>
                <c:pt idx="2">
                  <c:v>72.3279</c:v>
                </c:pt>
                <c:pt idx="3">
                  <c:v>70.417000000000002</c:v>
                </c:pt>
                <c:pt idx="4">
                  <c:v>67.498000000000005</c:v>
                </c:pt>
                <c:pt idx="5">
                  <c:v>60.3521</c:v>
                </c:pt>
                <c:pt idx="6">
                  <c:v>59.599800000000002</c:v>
                </c:pt>
                <c:pt idx="7">
                  <c:v>55.128799999999998</c:v>
                </c:pt>
                <c:pt idx="8">
                  <c:v>52.412300000000002</c:v>
                </c:pt>
                <c:pt idx="9">
                  <c:v>50.435499999999998</c:v>
                </c:pt>
                <c:pt idx="10">
                  <c:v>50.115200000000002</c:v>
                </c:pt>
                <c:pt idx="11">
                  <c:v>37.434899999999999</c:v>
                </c:pt>
                <c:pt idx="12">
                  <c:v>37.024799999999999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2A-4DD8-AF85-3886CF70E353}"/>
            </c:ext>
          </c:extLst>
        </c:ser>
        <c:ser>
          <c:idx val="4"/>
          <c:order val="4"/>
          <c:tx>
            <c:strRef>
              <c:f>'1-1)Swaption_Matrix'!$G$17</c:f>
              <c:strCache>
                <c:ptCount val="1"/>
                <c:pt idx="0">
                  <c:v>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'1-1)Swaption_Matrix'!$G$18:$G$30</c:f>
              <c:numCache>
                <c:formatCode>General</c:formatCode>
                <c:ptCount val="13"/>
                <c:pt idx="0">
                  <c:v>77.343000000000004</c:v>
                </c:pt>
                <c:pt idx="1">
                  <c:v>75.3489</c:v>
                </c:pt>
                <c:pt idx="2">
                  <c:v>72.514300000000006</c:v>
                </c:pt>
                <c:pt idx="3">
                  <c:v>69.792400000000001</c:v>
                </c:pt>
                <c:pt idx="4">
                  <c:v>65.899900000000002</c:v>
                </c:pt>
                <c:pt idx="5">
                  <c:v>62.013199999999998</c:v>
                </c:pt>
                <c:pt idx="6">
                  <c:v>55.803699999999999</c:v>
                </c:pt>
                <c:pt idx="7">
                  <c:v>53.653399999999998</c:v>
                </c:pt>
                <c:pt idx="8">
                  <c:v>52.361699999999999</c:v>
                </c:pt>
                <c:pt idx="9">
                  <c:v>52.148099999999999</c:v>
                </c:pt>
                <c:pt idx="10">
                  <c:v>54.069699999999997</c:v>
                </c:pt>
                <c:pt idx="11">
                  <c:v>40.611800000000002</c:v>
                </c:pt>
                <c:pt idx="12">
                  <c:v>40.088099999999997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2A-4DD8-AF85-3886CF70E353}"/>
            </c:ext>
          </c:extLst>
        </c:ser>
        <c:ser>
          <c:idx val="5"/>
          <c:order val="5"/>
          <c:tx>
            <c:strRef>
              <c:f>'1-1)Swaption_Matrix'!$H$17</c:f>
              <c:strCache>
                <c:ptCount val="1"/>
                <c:pt idx="0">
                  <c:v>6Y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'1-1)Swaption_Matrix'!$H$18:$H$30</c:f>
              <c:numCache>
                <c:formatCode>General</c:formatCode>
                <c:ptCount val="13"/>
                <c:pt idx="0">
                  <c:v>78.207899999999995</c:v>
                </c:pt>
                <c:pt idx="1">
                  <c:v>75.866</c:v>
                </c:pt>
                <c:pt idx="2">
                  <c:v>73.173299999999998</c:v>
                </c:pt>
                <c:pt idx="3">
                  <c:v>70.700100000000006</c:v>
                </c:pt>
                <c:pt idx="4">
                  <c:v>66.301900000000003</c:v>
                </c:pt>
                <c:pt idx="5">
                  <c:v>59.987699999999997</c:v>
                </c:pt>
                <c:pt idx="6">
                  <c:v>55.691800000000001</c:v>
                </c:pt>
                <c:pt idx="7">
                  <c:v>53.972999999999999</c:v>
                </c:pt>
                <c:pt idx="8">
                  <c:v>53.063699999999997</c:v>
                </c:pt>
                <c:pt idx="9">
                  <c:v>51.567799999999998</c:v>
                </c:pt>
                <c:pt idx="10">
                  <c:v>50.881399999999999</c:v>
                </c:pt>
                <c:pt idx="11">
                  <c:v>39.680799999999998</c:v>
                </c:pt>
                <c:pt idx="12">
                  <c:v>39.195900000000002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2A-4DD8-AF85-3886CF70E353}"/>
            </c:ext>
          </c:extLst>
        </c:ser>
        <c:ser>
          <c:idx val="6"/>
          <c:order val="6"/>
          <c:tx>
            <c:strRef>
              <c:f>'1-1)Swaption_Matrix'!$I$17</c:f>
              <c:strCache>
                <c:ptCount val="1"/>
                <c:pt idx="0">
                  <c:v>7Y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'1-1)Swaption_Matrix'!$I$18:$I$30</c:f>
              <c:numCache>
                <c:formatCode>General</c:formatCode>
                <c:ptCount val="13"/>
                <c:pt idx="0">
                  <c:v>79.121200000000002</c:v>
                </c:pt>
                <c:pt idx="1">
                  <c:v>76.457700000000003</c:v>
                </c:pt>
                <c:pt idx="2">
                  <c:v>73.923199999999994</c:v>
                </c:pt>
                <c:pt idx="3">
                  <c:v>71.698400000000007</c:v>
                </c:pt>
                <c:pt idx="4">
                  <c:v>66.8005</c:v>
                </c:pt>
                <c:pt idx="5">
                  <c:v>58.030299999999997</c:v>
                </c:pt>
                <c:pt idx="6">
                  <c:v>55.600200000000001</c:v>
                </c:pt>
                <c:pt idx="7">
                  <c:v>54.534799999999997</c:v>
                </c:pt>
                <c:pt idx="8">
                  <c:v>53.6813</c:v>
                </c:pt>
                <c:pt idx="9">
                  <c:v>51.1143</c:v>
                </c:pt>
                <c:pt idx="10">
                  <c:v>48.252299999999998</c:v>
                </c:pt>
                <c:pt idx="11">
                  <c:v>38.726399999999998</c:v>
                </c:pt>
                <c:pt idx="12">
                  <c:v>38.2804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A-4DD8-AF85-3886CF70E353}"/>
            </c:ext>
          </c:extLst>
        </c:ser>
        <c:ser>
          <c:idx val="7"/>
          <c:order val="7"/>
          <c:tx>
            <c:strRef>
              <c:f>'1-1)Swaption_Matrix'!$J$17</c:f>
              <c:strCache>
                <c:ptCount val="1"/>
                <c:pt idx="0">
                  <c:v>8Y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'1-1)Swaption_Matrix'!$J$18:$J$30</c:f>
              <c:numCache>
                <c:formatCode>General</c:formatCode>
                <c:ptCount val="13"/>
                <c:pt idx="0">
                  <c:v>79.934700000000007</c:v>
                </c:pt>
                <c:pt idx="1">
                  <c:v>76.8917</c:v>
                </c:pt>
                <c:pt idx="2">
                  <c:v>74.595299999999995</c:v>
                </c:pt>
                <c:pt idx="3">
                  <c:v>72.434399999999997</c:v>
                </c:pt>
                <c:pt idx="4">
                  <c:v>67.388599999999997</c:v>
                </c:pt>
                <c:pt idx="5">
                  <c:v>58.5974</c:v>
                </c:pt>
                <c:pt idx="6">
                  <c:v>56.1736</c:v>
                </c:pt>
                <c:pt idx="7">
                  <c:v>55.140300000000003</c:v>
                </c:pt>
                <c:pt idx="8">
                  <c:v>53.696599999999997</c:v>
                </c:pt>
                <c:pt idx="9">
                  <c:v>51.295099999999998</c:v>
                </c:pt>
                <c:pt idx="10">
                  <c:v>47.022100000000002</c:v>
                </c:pt>
                <c:pt idx="11">
                  <c:v>38.568199999999997</c:v>
                </c:pt>
                <c:pt idx="12">
                  <c:v>38.122999999999998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2A-4DD8-AF85-3886CF70E353}"/>
            </c:ext>
          </c:extLst>
        </c:ser>
        <c:ser>
          <c:idx val="8"/>
          <c:order val="8"/>
          <c:tx>
            <c:strRef>
              <c:f>'1-1)Swaption_Matrix'!$K$17</c:f>
              <c:strCache>
                <c:ptCount val="1"/>
                <c:pt idx="0">
                  <c:v>9Y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'1-1)Swaption_Matrix'!$K$18:$K$30</c:f>
              <c:numCache>
                <c:formatCode>General</c:formatCode>
                <c:ptCount val="13"/>
                <c:pt idx="0">
                  <c:v>80.762799999999999</c:v>
                </c:pt>
                <c:pt idx="1">
                  <c:v>77.352400000000003</c:v>
                </c:pt>
                <c:pt idx="2">
                  <c:v>75.303799999999995</c:v>
                </c:pt>
                <c:pt idx="3">
                  <c:v>73.209599999999995</c:v>
                </c:pt>
                <c:pt idx="4">
                  <c:v>68.013900000000007</c:v>
                </c:pt>
                <c:pt idx="5">
                  <c:v>59.380400000000002</c:v>
                </c:pt>
                <c:pt idx="6">
                  <c:v>56.703099999999999</c:v>
                </c:pt>
                <c:pt idx="7">
                  <c:v>55.2911</c:v>
                </c:pt>
                <c:pt idx="8">
                  <c:v>53.774799999999999</c:v>
                </c:pt>
                <c:pt idx="9">
                  <c:v>50.512700000000002</c:v>
                </c:pt>
                <c:pt idx="10">
                  <c:v>46.0047</c:v>
                </c:pt>
                <c:pt idx="11">
                  <c:v>38.391500000000001</c:v>
                </c:pt>
                <c:pt idx="12">
                  <c:v>37.9529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2A-4DD8-AF85-3886CF70E353}"/>
            </c:ext>
          </c:extLst>
        </c:ser>
        <c:ser>
          <c:idx val="9"/>
          <c:order val="9"/>
          <c:tx>
            <c:strRef>
              <c:f>'1-1)Swaption_Matrix'!$L$17</c:f>
              <c:strCache>
                <c:ptCount val="1"/>
                <c:pt idx="0">
                  <c:v>10Y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'1-1)Swaption_Matrix'!$L$18:$L$30</c:f>
              <c:numCache>
                <c:formatCode>General</c:formatCode>
                <c:ptCount val="13"/>
                <c:pt idx="0">
                  <c:v>81.622600000000006</c:v>
                </c:pt>
                <c:pt idx="1">
                  <c:v>77.892300000000006</c:v>
                </c:pt>
                <c:pt idx="2">
                  <c:v>76.151600000000002</c:v>
                </c:pt>
                <c:pt idx="3">
                  <c:v>74.177700000000002</c:v>
                </c:pt>
                <c:pt idx="4">
                  <c:v>68.864199999999997</c:v>
                </c:pt>
                <c:pt idx="5">
                  <c:v>60.136800000000001</c:v>
                </c:pt>
                <c:pt idx="6">
                  <c:v>56.828099999999999</c:v>
                </c:pt>
                <c:pt idx="7">
                  <c:v>55.492899999999999</c:v>
                </c:pt>
                <c:pt idx="8">
                  <c:v>53.898899999999998</c:v>
                </c:pt>
                <c:pt idx="9">
                  <c:v>49.910400000000003</c:v>
                </c:pt>
                <c:pt idx="10">
                  <c:v>45.125300000000003</c:v>
                </c:pt>
                <c:pt idx="11">
                  <c:v>38.201099999999997</c:v>
                </c:pt>
                <c:pt idx="12">
                  <c:v>37.770499999999998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2A-4DD8-AF85-3886CF70E353}"/>
            </c:ext>
          </c:extLst>
        </c:ser>
        <c:ser>
          <c:idx val="10"/>
          <c:order val="10"/>
          <c:tx>
            <c:strRef>
              <c:f>'1-1)Swaption_Matrix'!$M$17</c:f>
              <c:strCache>
                <c:ptCount val="1"/>
                <c:pt idx="0">
                  <c:v>15Y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'1-1)Swaption_Matrix'!$M$18:$M$30</c:f>
              <c:numCache>
                <c:formatCode>General</c:formatCode>
                <c:ptCount val="13"/>
                <c:pt idx="0">
                  <c:v>82.245099999999994</c:v>
                </c:pt>
                <c:pt idx="1">
                  <c:v>80.56</c:v>
                </c:pt>
                <c:pt idx="2">
                  <c:v>78.728099999999998</c:v>
                </c:pt>
                <c:pt idx="3">
                  <c:v>76.951999999999998</c:v>
                </c:pt>
                <c:pt idx="4">
                  <c:v>69.961600000000004</c:v>
                </c:pt>
                <c:pt idx="5">
                  <c:v>61.729700000000001</c:v>
                </c:pt>
                <c:pt idx="6">
                  <c:v>58.442799999999998</c:v>
                </c:pt>
                <c:pt idx="7">
                  <c:v>55.596299999999999</c:v>
                </c:pt>
                <c:pt idx="8">
                  <c:v>53.884900000000002</c:v>
                </c:pt>
                <c:pt idx="9">
                  <c:v>50.555599999999998</c:v>
                </c:pt>
                <c:pt idx="10">
                  <c:v>45.0304</c:v>
                </c:pt>
                <c:pt idx="11">
                  <c:v>39.7973</c:v>
                </c:pt>
                <c:pt idx="12">
                  <c:v>39.311500000000002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2A-4DD8-AF85-3886CF70E353}"/>
            </c:ext>
          </c:extLst>
        </c:ser>
        <c:ser>
          <c:idx val="11"/>
          <c:order val="11"/>
          <c:tx>
            <c:strRef>
              <c:f>'1-1)Swaption_Matrix'!$N$17</c:f>
              <c:strCache>
                <c:ptCount val="1"/>
                <c:pt idx="0">
                  <c:v>20Y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'1-1)Swaption_Matrix'!$N$18:$N$30</c:f>
              <c:numCache>
                <c:formatCode>General</c:formatCode>
                <c:ptCount val="13"/>
                <c:pt idx="0">
                  <c:v>82.388800000000003</c:v>
                </c:pt>
                <c:pt idx="1">
                  <c:v>83.002799999999993</c:v>
                </c:pt>
                <c:pt idx="2">
                  <c:v>81.601900000000001</c:v>
                </c:pt>
                <c:pt idx="3">
                  <c:v>80.162199999999999</c:v>
                </c:pt>
                <c:pt idx="4">
                  <c:v>77.920900000000003</c:v>
                </c:pt>
                <c:pt idx="5">
                  <c:v>58.749499999999998</c:v>
                </c:pt>
                <c:pt idx="6">
                  <c:v>54.5899</c:v>
                </c:pt>
                <c:pt idx="7">
                  <c:v>52.378500000000003</c:v>
                </c:pt>
                <c:pt idx="8">
                  <c:v>50.668900000000001</c:v>
                </c:pt>
                <c:pt idx="9">
                  <c:v>47.845199999999998</c:v>
                </c:pt>
                <c:pt idx="10">
                  <c:v>42.831800000000001</c:v>
                </c:pt>
                <c:pt idx="11">
                  <c:v>38.762</c:v>
                </c:pt>
                <c:pt idx="12">
                  <c:v>38.312100000000001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2A-4DD8-AF85-3886CF70E35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86366424"/>
        <c:axId val="1286386432"/>
        <c:axId val="1277702936"/>
      </c:surface3DChart>
      <c:catAx>
        <c:axId val="128636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  <c:auto val="1"/>
        <c:lblAlgn val="ctr"/>
        <c:lblOffset val="100"/>
        <c:noMultiLvlLbl val="0"/>
      </c:catAx>
      <c:valAx>
        <c:axId val="12863864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66424"/>
        <c:crosses val="autoZero"/>
        <c:crossBetween val="midCat"/>
      </c:valAx>
      <c:serAx>
        <c:axId val="1277702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KRW/IRS Swaption ATM Black Volatility  (TRHK)</a:t>
            </a:r>
            <a:endParaRPr lang="ko-K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'1-1)Swaption_Matrix'!$Q$17</c:f>
              <c:strCache>
                <c:ptCount val="1"/>
                <c:pt idx="0">
                  <c:v>1Y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'1-1)Swaption_Matrix'!$Q$18:$Q$30</c:f>
              <c:numCache>
                <c:formatCode>General</c:formatCode>
                <c:ptCount val="13"/>
                <c:pt idx="0">
                  <c:v>32.869999999999997</c:v>
                </c:pt>
                <c:pt idx="1">
                  <c:v>30.809000000000001</c:v>
                </c:pt>
                <c:pt idx="2">
                  <c:v>29.123000000000001</c:v>
                </c:pt>
                <c:pt idx="3">
                  <c:v>27.85</c:v>
                </c:pt>
                <c:pt idx="4">
                  <c:v>27.364000000000001</c:v>
                </c:pt>
                <c:pt idx="5">
                  <c:v>25.238</c:v>
                </c:pt>
                <c:pt idx="6">
                  <c:v>24.356999999999999</c:v>
                </c:pt>
                <c:pt idx="7">
                  <c:v>22.98</c:v>
                </c:pt>
                <c:pt idx="8">
                  <c:v>20.873000000000001</c:v>
                </c:pt>
                <c:pt idx="9">
                  <c:v>19.32</c:v>
                </c:pt>
                <c:pt idx="10">
                  <c:v>17.47</c:v>
                </c:pt>
                <c:pt idx="11">
                  <c:v>21.712</c:v>
                </c:pt>
                <c:pt idx="12">
                  <c:v>30.074999999999999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E-4681-A797-F36EDB955E5B}"/>
            </c:ext>
          </c:extLst>
        </c:ser>
        <c:ser>
          <c:idx val="1"/>
          <c:order val="1"/>
          <c:tx>
            <c:strRef>
              <c:f>'1-1)Swaption_Matrix'!$R$17</c:f>
              <c:strCache>
                <c:ptCount val="1"/>
                <c:pt idx="0">
                  <c:v>2Y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'1-1)Swaption_Matrix'!$R$18:$R$30</c:f>
              <c:numCache>
                <c:formatCode>General</c:formatCode>
                <c:ptCount val="13"/>
                <c:pt idx="0">
                  <c:v>25.36</c:v>
                </c:pt>
                <c:pt idx="1">
                  <c:v>27.905000000000001</c:v>
                </c:pt>
                <c:pt idx="2">
                  <c:v>26.800999999999998</c:v>
                </c:pt>
                <c:pt idx="3">
                  <c:v>26.670999999999999</c:v>
                </c:pt>
                <c:pt idx="4">
                  <c:v>27.079000000000001</c:v>
                </c:pt>
                <c:pt idx="5">
                  <c:v>25.071000000000002</c:v>
                </c:pt>
                <c:pt idx="6">
                  <c:v>23.998000000000001</c:v>
                </c:pt>
                <c:pt idx="7">
                  <c:v>22.41</c:v>
                </c:pt>
                <c:pt idx="8">
                  <c:v>21.158999999999999</c:v>
                </c:pt>
                <c:pt idx="9">
                  <c:v>20.16</c:v>
                </c:pt>
                <c:pt idx="10">
                  <c:v>18.100000000000001</c:v>
                </c:pt>
                <c:pt idx="11">
                  <c:v>23.814</c:v>
                </c:pt>
                <c:pt idx="12">
                  <c:v>29.364000000000001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7E-4681-A797-F36EDB955E5B}"/>
            </c:ext>
          </c:extLst>
        </c:ser>
        <c:ser>
          <c:idx val="2"/>
          <c:order val="2"/>
          <c:tx>
            <c:strRef>
              <c:f>'1-1)Swaption_Matrix'!$S$17</c:f>
              <c:strCache>
                <c:ptCount val="1"/>
                <c:pt idx="0">
                  <c:v>3Y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'1-1)Swaption_Matrix'!$S$18:$S$30</c:f>
              <c:numCache>
                <c:formatCode>General</c:formatCode>
                <c:ptCount val="13"/>
                <c:pt idx="0">
                  <c:v>28.14</c:v>
                </c:pt>
                <c:pt idx="1">
                  <c:v>28.512</c:v>
                </c:pt>
                <c:pt idx="2">
                  <c:v>27.085000000000001</c:v>
                </c:pt>
                <c:pt idx="3">
                  <c:v>26.401</c:v>
                </c:pt>
                <c:pt idx="4">
                  <c:v>26.576000000000001</c:v>
                </c:pt>
                <c:pt idx="5">
                  <c:v>24.498000000000001</c:v>
                </c:pt>
                <c:pt idx="6">
                  <c:v>23.484999999999999</c:v>
                </c:pt>
                <c:pt idx="7">
                  <c:v>22.17</c:v>
                </c:pt>
                <c:pt idx="8">
                  <c:v>21.503</c:v>
                </c:pt>
                <c:pt idx="9">
                  <c:v>20.98</c:v>
                </c:pt>
                <c:pt idx="10">
                  <c:v>19.100000000000001</c:v>
                </c:pt>
                <c:pt idx="11">
                  <c:v>26.638000000000002</c:v>
                </c:pt>
                <c:pt idx="12">
                  <c:v>29.863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7E-4681-A797-F36EDB955E5B}"/>
            </c:ext>
          </c:extLst>
        </c:ser>
        <c:ser>
          <c:idx val="3"/>
          <c:order val="3"/>
          <c:tx>
            <c:strRef>
              <c:f>'1-1)Swaption_Matrix'!$T$17</c:f>
              <c:strCache>
                <c:ptCount val="1"/>
                <c:pt idx="0">
                  <c:v>4Y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'1-1)Swaption_Matrix'!$T$18:$T$30</c:f>
              <c:numCache>
                <c:formatCode>General</c:formatCode>
                <c:ptCount val="13"/>
                <c:pt idx="0">
                  <c:v>30.76</c:v>
                </c:pt>
                <c:pt idx="1">
                  <c:v>28.66</c:v>
                </c:pt>
                <c:pt idx="2">
                  <c:v>26.3</c:v>
                </c:pt>
                <c:pt idx="3">
                  <c:v>25.228999999999999</c:v>
                </c:pt>
                <c:pt idx="4">
                  <c:v>24.41</c:v>
                </c:pt>
                <c:pt idx="5">
                  <c:v>22.39</c:v>
                </c:pt>
                <c:pt idx="6">
                  <c:v>21.74</c:v>
                </c:pt>
                <c:pt idx="7">
                  <c:v>21.09</c:v>
                </c:pt>
                <c:pt idx="8">
                  <c:v>20.350000000000001</c:v>
                </c:pt>
                <c:pt idx="9">
                  <c:v>19.350000000000001</c:v>
                </c:pt>
                <c:pt idx="10">
                  <c:v>19.693000000000001</c:v>
                </c:pt>
                <c:pt idx="11">
                  <c:v>28.954999999999998</c:v>
                </c:pt>
                <c:pt idx="12">
                  <c:v>29.356000000000002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7E-4681-A797-F36EDB955E5B}"/>
            </c:ext>
          </c:extLst>
        </c:ser>
        <c:ser>
          <c:idx val="4"/>
          <c:order val="4"/>
          <c:tx>
            <c:strRef>
              <c:f>'1-1)Swaption_Matrix'!$U$17</c:f>
              <c:strCache>
                <c:ptCount val="1"/>
                <c:pt idx="0">
                  <c:v>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7E-4681-A797-F36EDB955E5B}"/>
            </c:ext>
          </c:extLst>
        </c:ser>
        <c:ser>
          <c:idx val="5"/>
          <c:order val="5"/>
          <c:tx>
            <c:strRef>
              <c:f>'1-1)Swaption_Matrix'!$V$17</c:f>
              <c:strCache>
                <c:ptCount val="1"/>
                <c:pt idx="0">
                  <c:v>6Y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'1-1)Swaption_Matrix'!$V$18:$V$30</c:f>
              <c:numCache>
                <c:formatCode>General</c:formatCode>
                <c:ptCount val="13"/>
                <c:pt idx="0">
                  <c:v>32.503999999999998</c:v>
                </c:pt>
                <c:pt idx="1">
                  <c:v>29.567</c:v>
                </c:pt>
                <c:pt idx="2">
                  <c:v>27.286000000000001</c:v>
                </c:pt>
                <c:pt idx="3">
                  <c:v>25.370999999999999</c:v>
                </c:pt>
                <c:pt idx="4">
                  <c:v>24.036000000000001</c:v>
                </c:pt>
                <c:pt idx="5">
                  <c:v>21.654</c:v>
                </c:pt>
                <c:pt idx="6">
                  <c:v>21.161999999999999</c:v>
                </c:pt>
                <c:pt idx="7">
                  <c:v>20.782</c:v>
                </c:pt>
                <c:pt idx="8">
                  <c:v>20.370999999999999</c:v>
                </c:pt>
                <c:pt idx="9">
                  <c:v>20.251999999999999</c:v>
                </c:pt>
                <c:pt idx="10">
                  <c:v>20.774999999999999</c:v>
                </c:pt>
                <c:pt idx="11">
                  <c:v>31.01</c:v>
                </c:pt>
                <c:pt idx="12">
                  <c:v>27.059000000000001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7E-4681-A797-F36EDB955E5B}"/>
            </c:ext>
          </c:extLst>
        </c:ser>
        <c:ser>
          <c:idx val="6"/>
          <c:order val="6"/>
          <c:tx>
            <c:strRef>
              <c:f>'1-1)Swaption_Matrix'!$W$17</c:f>
              <c:strCache>
                <c:ptCount val="1"/>
                <c:pt idx="0">
                  <c:v>7Y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'1-1)Swaption_Matrix'!$W$18:$W$30</c:f>
              <c:numCache>
                <c:formatCode>General</c:formatCode>
                <c:ptCount val="13"/>
                <c:pt idx="0">
                  <c:v>31.6</c:v>
                </c:pt>
                <c:pt idx="1">
                  <c:v>29.420999999999999</c:v>
                </c:pt>
                <c:pt idx="2">
                  <c:v>27.504000000000001</c:v>
                </c:pt>
                <c:pt idx="3">
                  <c:v>26.14</c:v>
                </c:pt>
                <c:pt idx="4">
                  <c:v>24.792999999999999</c:v>
                </c:pt>
                <c:pt idx="5">
                  <c:v>21.879000000000001</c:v>
                </c:pt>
                <c:pt idx="6">
                  <c:v>21.317</c:v>
                </c:pt>
                <c:pt idx="7">
                  <c:v>20.95</c:v>
                </c:pt>
                <c:pt idx="8">
                  <c:v>20.547000000000001</c:v>
                </c:pt>
                <c:pt idx="9">
                  <c:v>19.940000000000001</c:v>
                </c:pt>
                <c:pt idx="10">
                  <c:v>21.21</c:v>
                </c:pt>
                <c:pt idx="11">
                  <c:v>30.748000000000001</c:v>
                </c:pt>
                <c:pt idx="12">
                  <c:v>25.628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7E-4681-A797-F36EDB955E5B}"/>
            </c:ext>
          </c:extLst>
        </c:ser>
        <c:ser>
          <c:idx val="7"/>
          <c:order val="7"/>
          <c:tx>
            <c:strRef>
              <c:f>'1-1)Swaption_Matrix'!$X$17</c:f>
              <c:strCache>
                <c:ptCount val="1"/>
                <c:pt idx="0">
                  <c:v>8Y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'1-1)Swaption_Matrix'!$X$18:$X$30</c:f>
              <c:numCache>
                <c:formatCode>General</c:formatCode>
                <c:ptCount val="13"/>
                <c:pt idx="0">
                  <c:v>30.841000000000001</c:v>
                </c:pt>
                <c:pt idx="1">
                  <c:v>29.32</c:v>
                </c:pt>
                <c:pt idx="2">
                  <c:v>28.384</c:v>
                </c:pt>
                <c:pt idx="3">
                  <c:v>26.128</c:v>
                </c:pt>
                <c:pt idx="4">
                  <c:v>24.943000000000001</c:v>
                </c:pt>
                <c:pt idx="5">
                  <c:v>22.14</c:v>
                </c:pt>
                <c:pt idx="6">
                  <c:v>21.486000000000001</c:v>
                </c:pt>
                <c:pt idx="7">
                  <c:v>21.126000000000001</c:v>
                </c:pt>
                <c:pt idx="8">
                  <c:v>20.763999999999999</c:v>
                </c:pt>
                <c:pt idx="9">
                  <c:v>20.55</c:v>
                </c:pt>
                <c:pt idx="10">
                  <c:v>21.777999999999999</c:v>
                </c:pt>
                <c:pt idx="11">
                  <c:v>30.109000000000002</c:v>
                </c:pt>
                <c:pt idx="12">
                  <c:v>24.327000000000002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7E-4681-A797-F36EDB955E5B}"/>
            </c:ext>
          </c:extLst>
        </c:ser>
        <c:ser>
          <c:idx val="8"/>
          <c:order val="8"/>
          <c:tx>
            <c:strRef>
              <c:f>'1-1)Swaption_Matrix'!$Y$17</c:f>
              <c:strCache>
                <c:ptCount val="1"/>
                <c:pt idx="0">
                  <c:v>9Y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'1-1)Swaption_Matrix'!$Y$18:$Y$30</c:f>
              <c:numCache>
                <c:formatCode>General</c:formatCode>
                <c:ptCount val="13"/>
                <c:pt idx="0">
                  <c:v>30.416</c:v>
                </c:pt>
                <c:pt idx="1">
                  <c:v>29.338000000000001</c:v>
                </c:pt>
                <c:pt idx="2">
                  <c:v>28.38</c:v>
                </c:pt>
                <c:pt idx="3">
                  <c:v>26.475999999999999</c:v>
                </c:pt>
                <c:pt idx="4">
                  <c:v>25.335999999999999</c:v>
                </c:pt>
                <c:pt idx="5">
                  <c:v>22.381</c:v>
                </c:pt>
                <c:pt idx="6">
                  <c:v>21.651</c:v>
                </c:pt>
                <c:pt idx="7">
                  <c:v>21.318000000000001</c:v>
                </c:pt>
                <c:pt idx="8">
                  <c:v>21.007999999999999</c:v>
                </c:pt>
                <c:pt idx="9">
                  <c:v>20.597000000000001</c:v>
                </c:pt>
                <c:pt idx="10">
                  <c:v>22.413</c:v>
                </c:pt>
                <c:pt idx="11">
                  <c:v>29.282</c:v>
                </c:pt>
                <c:pt idx="12">
                  <c:v>23.207000000000001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7E-4681-A797-F36EDB955E5B}"/>
            </c:ext>
          </c:extLst>
        </c:ser>
        <c:ser>
          <c:idx val="9"/>
          <c:order val="9"/>
          <c:tx>
            <c:strRef>
              <c:f>'1-1)Swaption_Matrix'!$Z$17</c:f>
              <c:strCache>
                <c:ptCount val="1"/>
                <c:pt idx="0">
                  <c:v>10Y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7E-4681-A797-F36EDB955E5B}"/>
            </c:ext>
          </c:extLst>
        </c:ser>
        <c:ser>
          <c:idx val="10"/>
          <c:order val="10"/>
          <c:tx>
            <c:strRef>
              <c:f>'1-1)Swaption_Matrix'!$AA$17</c:f>
              <c:strCache>
                <c:ptCount val="1"/>
                <c:pt idx="0">
                  <c:v>15Y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'1-1)Swaption_Matrix'!$AA$18:$AA$30</c:f>
              <c:numCache>
                <c:formatCode>General</c:formatCode>
                <c:ptCount val="13"/>
                <c:pt idx="0">
                  <c:v>31.9</c:v>
                </c:pt>
                <c:pt idx="1">
                  <c:v>31.100999999999999</c:v>
                </c:pt>
                <c:pt idx="2">
                  <c:v>30.231000000000002</c:v>
                </c:pt>
                <c:pt idx="3">
                  <c:v>28.646000000000001</c:v>
                </c:pt>
                <c:pt idx="4">
                  <c:v>27.119</c:v>
                </c:pt>
                <c:pt idx="5">
                  <c:v>24.678000000000001</c:v>
                </c:pt>
                <c:pt idx="6">
                  <c:v>24.146999999999998</c:v>
                </c:pt>
                <c:pt idx="7">
                  <c:v>23.67</c:v>
                </c:pt>
                <c:pt idx="8">
                  <c:v>23.6</c:v>
                </c:pt>
                <c:pt idx="9">
                  <c:v>23.47</c:v>
                </c:pt>
                <c:pt idx="10">
                  <c:v>23.07</c:v>
                </c:pt>
                <c:pt idx="11">
                  <c:v>23.844999999999999</c:v>
                </c:pt>
                <c:pt idx="12">
                  <c:v>18.927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E-4681-A797-F36EDB955E5B}"/>
            </c:ext>
          </c:extLst>
        </c:ser>
        <c:ser>
          <c:idx val="11"/>
          <c:order val="11"/>
          <c:tx>
            <c:strRef>
              <c:f>'1-1)Swaption_Matrix'!$AB$17</c:f>
              <c:strCache>
                <c:ptCount val="1"/>
                <c:pt idx="0">
                  <c:v>20Y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'1-1)Swaption_Matrix'!$AB$18:$AB$30</c:f>
              <c:numCache>
                <c:formatCode>General</c:formatCode>
                <c:ptCount val="13"/>
                <c:pt idx="0">
                  <c:v>36.433999999999997</c:v>
                </c:pt>
                <c:pt idx="1">
                  <c:v>35.546999999999997</c:v>
                </c:pt>
                <c:pt idx="2">
                  <c:v>34.945</c:v>
                </c:pt>
                <c:pt idx="3">
                  <c:v>33.406999999999996</c:v>
                </c:pt>
                <c:pt idx="4">
                  <c:v>31.291</c:v>
                </c:pt>
                <c:pt idx="5">
                  <c:v>28.045999999999999</c:v>
                </c:pt>
                <c:pt idx="6">
                  <c:v>26.571000000000002</c:v>
                </c:pt>
                <c:pt idx="7">
                  <c:v>25.35</c:v>
                </c:pt>
                <c:pt idx="8">
                  <c:v>23.738</c:v>
                </c:pt>
                <c:pt idx="9">
                  <c:v>23.18</c:v>
                </c:pt>
                <c:pt idx="10">
                  <c:v>21.1</c:v>
                </c:pt>
                <c:pt idx="11">
                  <c:v>20.436</c:v>
                </c:pt>
                <c:pt idx="12">
                  <c:v>16.353000000000002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47E-4681-A797-F36EDB955E5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623602376"/>
        <c:axId val="1623596472"/>
        <c:axId val="1247073000"/>
      </c:surface3DChart>
      <c:catAx>
        <c:axId val="1623602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596472"/>
        <c:crosses val="autoZero"/>
        <c:auto val="1"/>
        <c:lblAlgn val="ctr"/>
        <c:lblOffset val="100"/>
        <c:noMultiLvlLbl val="0"/>
      </c:catAx>
      <c:valAx>
        <c:axId val="162359647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602376"/>
        <c:crosses val="autoZero"/>
        <c:crossBetween val="midCat"/>
      </c:valAx>
      <c:serAx>
        <c:axId val="12470730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5964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1"/>
              <a:t>Diagonal</a:t>
            </a:r>
            <a:r>
              <a:rPr lang="en-US" altLang="ko-KR" sz="1800" b="1" baseline="0"/>
              <a:t> Matrix Value of Volatility</a:t>
            </a:r>
            <a:endParaRPr lang="ko-KR" alt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458981906964685"/>
          <c:y val="0.13767685635711546"/>
          <c:w val="0.77082036186070624"/>
          <c:h val="0.70973731947780905"/>
        </c:manualLayout>
      </c:layout>
      <c:lineChart>
        <c:grouping val="standard"/>
        <c:varyColors val="0"/>
        <c:ser>
          <c:idx val="0"/>
          <c:order val="0"/>
          <c:tx>
            <c:strRef>
              <c:f>'1-1)Swaption_Matrix'!$B$32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'1-1)Swaption_Matrix'!$A$33:$A$41</c:f>
              <c:strCache>
                <c:ptCount val="9"/>
                <c:pt idx="0">
                  <c:v>20Y1Y</c:v>
                </c:pt>
                <c:pt idx="1">
                  <c:v>15Y2Y</c:v>
                </c:pt>
                <c:pt idx="2">
                  <c:v>10Y3Y</c:v>
                </c:pt>
                <c:pt idx="3">
                  <c:v>7Y4Y</c:v>
                </c:pt>
                <c:pt idx="4">
                  <c:v>5Y5Y</c:v>
                </c:pt>
                <c:pt idx="5">
                  <c:v>4Y7Y</c:v>
                </c:pt>
                <c:pt idx="6">
                  <c:v>3Y10Y</c:v>
                </c:pt>
                <c:pt idx="7">
                  <c:v>2Y15Y</c:v>
                </c:pt>
                <c:pt idx="8">
                  <c:v>1Y20Y</c:v>
                </c:pt>
              </c:strCache>
            </c:strRef>
          </c:cat>
          <c:val>
            <c:numRef>
              <c:f>'1-1)Swaption_Matrix'!$B$33:$B$41</c:f>
              <c:numCache>
                <c:formatCode>0.00</c:formatCode>
                <c:ptCount val="9"/>
                <c:pt idx="0">
                  <c:v>35.317900000000002</c:v>
                </c:pt>
                <c:pt idx="1">
                  <c:v>35.165500000000002</c:v>
                </c:pt>
                <c:pt idx="2">
                  <c:v>49.588999999999999</c:v>
                </c:pt>
                <c:pt idx="3">
                  <c:v>50.435499999999998</c:v>
                </c:pt>
                <c:pt idx="4">
                  <c:v>52.361699999999999</c:v>
                </c:pt>
                <c:pt idx="5">
                  <c:v>54.534799999999997</c:v>
                </c:pt>
                <c:pt idx="6">
                  <c:v>56.828099999999999</c:v>
                </c:pt>
                <c:pt idx="7">
                  <c:v>61.729700000000001</c:v>
                </c:pt>
                <c:pt idx="8">
                  <c:v>77.920900000000003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ED-4834-BAA7-3AFB1AC9D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580936"/>
        <c:axId val="1064581920"/>
      </c:lineChart>
      <c:lineChart>
        <c:grouping val="standard"/>
        <c:varyColors val="0"/>
        <c:ser>
          <c:idx val="1"/>
          <c:order val="1"/>
          <c:tx>
            <c:strRef>
              <c:f>'1-1)Swaption_Matrix'!$C$32</c:f>
              <c:strCache>
                <c:ptCount val="1"/>
                <c:pt idx="0">
                  <c:v>Black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'1-1)Swaption_Matrix'!$A$33:$A$41</c:f>
              <c:strCache>
                <c:ptCount val="9"/>
                <c:pt idx="0">
                  <c:v>20Y1Y</c:v>
                </c:pt>
                <c:pt idx="1">
                  <c:v>15Y2Y</c:v>
                </c:pt>
                <c:pt idx="2">
                  <c:v>10Y3Y</c:v>
                </c:pt>
                <c:pt idx="3">
                  <c:v>7Y4Y</c:v>
                </c:pt>
                <c:pt idx="4">
                  <c:v>5Y5Y</c:v>
                </c:pt>
                <c:pt idx="5">
                  <c:v>4Y7Y</c:v>
                </c:pt>
                <c:pt idx="6">
                  <c:v>3Y10Y</c:v>
                </c:pt>
                <c:pt idx="7">
                  <c:v>2Y15Y</c:v>
                </c:pt>
                <c:pt idx="8">
                  <c:v>1Y20Y</c:v>
                </c:pt>
              </c:strCache>
            </c:strRef>
          </c:cat>
          <c:val>
            <c:numRef>
              <c:f>'1-1)Swaption_Matrix'!$C$33:$C$41</c:f>
              <c:numCache>
                <c:formatCode>0.00</c:formatCode>
                <c:ptCount val="9"/>
                <c:pt idx="0">
                  <c:v>30.074999999999999</c:v>
                </c:pt>
                <c:pt idx="1">
                  <c:v>23.814</c:v>
                </c:pt>
                <c:pt idx="2">
                  <c:v>19.100000000000001</c:v>
                </c:pt>
                <c:pt idx="3">
                  <c:v>19.350000000000001</c:v>
                </c:pt>
                <c:pt idx="4">
                  <c:v>20.321999999999999</c:v>
                </c:pt>
                <c:pt idx="5">
                  <c:v>20.95</c:v>
                </c:pt>
                <c:pt idx="6">
                  <c:v>21.763000000000002</c:v>
                </c:pt>
                <c:pt idx="7">
                  <c:v>24.678000000000001</c:v>
                </c:pt>
                <c:pt idx="8">
                  <c:v>31.291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ED-4834-BAA7-3AFB1AC9D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4445760"/>
        <c:axId val="1154453632"/>
      </c:lineChart>
      <c:valAx>
        <c:axId val="1064581920"/>
        <c:scaling>
          <c:orientation val="minMax"/>
          <c:min val="3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4580936"/>
        <c:crosses val="max"/>
        <c:crossBetween val="between"/>
      </c:valAx>
      <c:catAx>
        <c:axId val="106458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4581920"/>
        <c:crosses val="autoZero"/>
        <c:auto val="1"/>
        <c:lblAlgn val="ctr"/>
        <c:lblOffset val="100"/>
        <c:noMultiLvlLbl val="0"/>
      </c:catAx>
      <c:valAx>
        <c:axId val="1154453632"/>
        <c:scaling>
          <c:orientation val="minMax"/>
          <c:min val="15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45760"/>
        <c:crosses val="autoZero"/>
        <c:crossBetween val="between"/>
      </c:valAx>
      <c:catAx>
        <c:axId val="115444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445363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</a:t>
            </a:r>
            <a:r>
              <a:rPr lang="en-US" altLang="ko-KR" sz="1800"/>
              <a:t>1Y</a:t>
            </a:r>
          </a:p>
        </c:rich>
      </c:tx>
      <c:layout>
        <c:manualLayout>
          <c:xMode val="edge"/>
          <c:yMode val="edge"/>
          <c:x val="0.2407171923393627"/>
          <c:y val="3.5170361631627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'1-1)Swaption_Matrix'!$B$22</c:f>
              <c:strCache>
                <c:ptCount val="1"/>
                <c:pt idx="0">
                  <c:v>1Y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'1-1)Swaption_Matrix'!$C$22:$N$22</c:f>
              <c:numCache>
                <c:formatCode>General</c:formatCode>
                <c:ptCount val="12"/>
                <c:pt idx="0">
                  <c:v>78.019099999999995</c:v>
                </c:pt>
                <c:pt idx="1">
                  <c:v>77.264600000000002</c:v>
                </c:pt>
                <c:pt idx="2">
                  <c:v>74.655100000000004</c:v>
                </c:pt>
                <c:pt idx="3">
                  <c:v>67.498000000000005</c:v>
                </c:pt>
                <c:pt idx="4">
                  <c:v>65.899900000000002</c:v>
                </c:pt>
                <c:pt idx="5">
                  <c:v>66.301900000000003</c:v>
                </c:pt>
                <c:pt idx="6">
                  <c:v>66.8005</c:v>
                </c:pt>
                <c:pt idx="7">
                  <c:v>67.388599999999997</c:v>
                </c:pt>
                <c:pt idx="8">
                  <c:v>68.013900000000007</c:v>
                </c:pt>
                <c:pt idx="9">
                  <c:v>68.864199999999997</c:v>
                </c:pt>
                <c:pt idx="10">
                  <c:v>69.961600000000004</c:v>
                </c:pt>
                <c:pt idx="11">
                  <c:v>77.920900000000003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D5-4317-A144-CB6DBD66F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84656"/>
        <c:axId val="1407784328"/>
      </c:lineChart>
      <c:catAx>
        <c:axId val="140778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328"/>
        <c:crosses val="autoZero"/>
        <c:auto val="1"/>
        <c:lblAlgn val="ctr"/>
        <c:lblOffset val="100"/>
        <c:noMultiLvlLbl val="0"/>
      </c:catAx>
      <c:valAx>
        <c:axId val="1407784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10Y</a:t>
            </a:r>
            <a:endParaRPr lang="ko-KR" alt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'1-1)Swaption_Matrix'!$C$28:$N$28</c:f>
              <c:numCache>
                <c:formatCode>General</c:formatCode>
                <c:ptCount val="12"/>
                <c:pt idx="0">
                  <c:v>49.607500000000002</c:v>
                </c:pt>
                <c:pt idx="1">
                  <c:v>48.854100000000003</c:v>
                </c:pt>
                <c:pt idx="2">
                  <c:v>49.588999999999999</c:v>
                </c:pt>
                <c:pt idx="3">
                  <c:v>50.115200000000002</c:v>
                </c:pt>
                <c:pt idx="4">
                  <c:v>54.069699999999997</c:v>
                </c:pt>
                <c:pt idx="5">
                  <c:v>50.881399999999999</c:v>
                </c:pt>
                <c:pt idx="6">
                  <c:v>48.252299999999998</c:v>
                </c:pt>
                <c:pt idx="7">
                  <c:v>47.022100000000002</c:v>
                </c:pt>
                <c:pt idx="8">
                  <c:v>46.0047</c:v>
                </c:pt>
                <c:pt idx="9">
                  <c:v>45.125300000000003</c:v>
                </c:pt>
                <c:pt idx="10">
                  <c:v>45.0304</c:v>
                </c:pt>
                <c:pt idx="11">
                  <c:v>42.831800000000001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7-4805-9088-A46DCD003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98760"/>
        <c:axId val="1407799744"/>
      </c:lineChart>
      <c:catAx>
        <c:axId val="1407798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9744"/>
        <c:crosses val="autoZero"/>
        <c:auto val="1"/>
        <c:lblAlgn val="ctr"/>
        <c:lblOffset val="100"/>
        <c:noMultiLvlLbl val="0"/>
      </c:catAx>
      <c:valAx>
        <c:axId val="1407799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20Y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4445307054340251"/>
          <c:y val="3.5623398963134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'1-1)Swaption_Matrix'!$C$30:$N$30</c:f>
              <c:numCache>
                <c:formatCode>General</c:formatCode>
                <c:ptCount val="12"/>
                <c:pt idx="0">
                  <c:v>35.317900000000002</c:v>
                </c:pt>
                <c:pt idx="1">
                  <c:v>34.824599999999997</c:v>
                </c:pt>
                <c:pt idx="2">
                  <c:v>36.206000000000003</c:v>
                </c:pt>
                <c:pt idx="3">
                  <c:v>37.024799999999999</c:v>
                </c:pt>
                <c:pt idx="4">
                  <c:v>40.088099999999997</c:v>
                </c:pt>
                <c:pt idx="5">
                  <c:v>39.195900000000002</c:v>
                </c:pt>
                <c:pt idx="6">
                  <c:v>38.2804</c:v>
                </c:pt>
                <c:pt idx="7">
                  <c:v>38.122999999999998</c:v>
                </c:pt>
                <c:pt idx="8">
                  <c:v>37.9529</c:v>
                </c:pt>
                <c:pt idx="9">
                  <c:v>37.770499999999998</c:v>
                </c:pt>
                <c:pt idx="10">
                  <c:v>39.311500000000002</c:v>
                </c:pt>
                <c:pt idx="11">
                  <c:v>38.312100000000001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8A-4B74-851E-0F5F7DD46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8104"/>
        <c:axId val="1281310232"/>
      </c:lineChart>
      <c:catAx>
        <c:axId val="1281318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0232"/>
        <c:crosses val="autoZero"/>
        <c:auto val="1"/>
        <c:lblAlgn val="ctr"/>
        <c:lblOffset val="100"/>
        <c:noMultiLvlLbl val="0"/>
      </c:catAx>
      <c:valAx>
        <c:axId val="1281310232"/>
        <c:scaling>
          <c:orientation val="minMax"/>
          <c:max val="42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3Y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9512246896794486"/>
          <c:y val="4.49582189465262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'1-1)Swaption_Matrix'!$C$24:$N$24</c:f>
              <c:numCache>
                <c:formatCode>General</c:formatCode>
                <c:ptCount val="12"/>
                <c:pt idx="0">
                  <c:v>65.886399999999995</c:v>
                </c:pt>
                <c:pt idx="1">
                  <c:v>64.006699999999995</c:v>
                </c:pt>
                <c:pt idx="2">
                  <c:v>61.83</c:v>
                </c:pt>
                <c:pt idx="3">
                  <c:v>59.599800000000002</c:v>
                </c:pt>
                <c:pt idx="4">
                  <c:v>55.803699999999999</c:v>
                </c:pt>
                <c:pt idx="5">
                  <c:v>55.691800000000001</c:v>
                </c:pt>
                <c:pt idx="6">
                  <c:v>55.600200000000001</c:v>
                </c:pt>
                <c:pt idx="7">
                  <c:v>56.1736</c:v>
                </c:pt>
                <c:pt idx="8">
                  <c:v>56.703099999999999</c:v>
                </c:pt>
                <c:pt idx="9">
                  <c:v>56.828099999999999</c:v>
                </c:pt>
                <c:pt idx="10">
                  <c:v>58.442799999999998</c:v>
                </c:pt>
                <c:pt idx="11">
                  <c:v>54.5899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F7-445D-A78D-84F5FB19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88840"/>
        <c:axId val="1203985560"/>
      </c:lineChart>
      <c:catAx>
        <c:axId val="120398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5560"/>
        <c:crosses val="autoZero"/>
        <c:auto val="1"/>
        <c:lblAlgn val="ctr"/>
        <c:lblOffset val="100"/>
        <c:noMultiLvlLbl val="0"/>
      </c:catAx>
      <c:valAx>
        <c:axId val="120398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1M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'1-1)Swaption_Matrix'!$C$18:$N$18</c:f>
              <c:numCache>
                <c:formatCode>General</c:formatCode>
                <c:ptCount val="12"/>
                <c:pt idx="0">
                  <c:v>70.488500000000002</c:v>
                </c:pt>
                <c:pt idx="1">
                  <c:v>71.984300000000005</c:v>
                </c:pt>
                <c:pt idx="2">
                  <c:v>73.847099999999998</c:v>
                </c:pt>
                <c:pt idx="3">
                  <c:v>75.58</c:v>
                </c:pt>
                <c:pt idx="4">
                  <c:v>77.343000000000004</c:v>
                </c:pt>
                <c:pt idx="5">
                  <c:v>78.207899999999995</c:v>
                </c:pt>
                <c:pt idx="6">
                  <c:v>79.121200000000002</c:v>
                </c:pt>
                <c:pt idx="7">
                  <c:v>79.934700000000007</c:v>
                </c:pt>
                <c:pt idx="8">
                  <c:v>80.762799999999999</c:v>
                </c:pt>
                <c:pt idx="9">
                  <c:v>81.622600000000006</c:v>
                </c:pt>
                <c:pt idx="10">
                  <c:v>82.245099999999994</c:v>
                </c:pt>
                <c:pt idx="11">
                  <c:v>82.388800000000003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71-4F74-A2F1-02F913016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006928"/>
        <c:axId val="954004304"/>
      </c:lineChart>
      <c:catAx>
        <c:axId val="95400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4304"/>
        <c:crosses val="autoZero"/>
        <c:auto val="1"/>
        <c:lblAlgn val="ctr"/>
        <c:lblOffset val="100"/>
        <c:noMultiLvlLbl val="0"/>
      </c:catAx>
      <c:valAx>
        <c:axId val="9540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Normal Vol,</a:t>
            </a:r>
            <a:r>
              <a:rPr lang="en-US" altLang="ko-KR" baseline="0"/>
              <a:t> </a:t>
            </a:r>
            <a:r>
              <a:rPr lang="en-US" altLang="ko-KR"/>
              <a:t>Tenor :</a:t>
            </a:r>
            <a:r>
              <a:rPr lang="en-US" altLang="ko-KR" baseline="0"/>
              <a:t> 1Y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759357476707852E-2"/>
          <c:y val="0.19693342038775319"/>
          <c:w val="0.86904795954683922"/>
          <c:h val="0.703846975039414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'1-1)Swaption_Matrix'!$C$18:$C$30</c:f>
              <c:numCache>
                <c:formatCode>General</c:formatCode>
                <c:ptCount val="13"/>
                <c:pt idx="0">
                  <c:v>70.488500000000002</c:v>
                </c:pt>
                <c:pt idx="1">
                  <c:v>75.105900000000005</c:v>
                </c:pt>
                <c:pt idx="2">
                  <c:v>73.194500000000005</c:v>
                </c:pt>
                <c:pt idx="3">
                  <c:v>74.062200000000004</c:v>
                </c:pt>
                <c:pt idx="4">
                  <c:v>78.019099999999995</c:v>
                </c:pt>
                <c:pt idx="5">
                  <c:v>71.901799999999994</c:v>
                </c:pt>
                <c:pt idx="6">
                  <c:v>65.886399999999995</c:v>
                </c:pt>
                <c:pt idx="7">
                  <c:v>59.921900000000001</c:v>
                </c:pt>
                <c:pt idx="8">
                  <c:v>54.449100000000001</c:v>
                </c:pt>
                <c:pt idx="9">
                  <c:v>53.2361</c:v>
                </c:pt>
                <c:pt idx="10">
                  <c:v>49.607500000000002</c:v>
                </c:pt>
                <c:pt idx="11">
                  <c:v>35.693300000000001</c:v>
                </c:pt>
                <c:pt idx="12">
                  <c:v>35.317900000000002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FC-4549-A820-8E934A5A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1218400"/>
        <c:axId val="1221216760"/>
      </c:lineChart>
      <c:catAx>
        <c:axId val="12212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6760"/>
        <c:crosses val="autoZero"/>
        <c:auto val="1"/>
        <c:lblAlgn val="ctr"/>
        <c:lblOffset val="100"/>
        <c:noMultiLvlLbl val="0"/>
      </c:catAx>
      <c:valAx>
        <c:axId val="1221216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 : 3Y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7703706493241519E-2"/>
          <c:y val="0.16568612672443991"/>
          <c:w val="0.87518987462724152"/>
          <c:h val="0.723221680108649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'1-1)Swaption_Matrix'!$E$18:$E$30</c:f>
              <c:numCache>
                <c:formatCode>General</c:formatCode>
                <c:ptCount val="13"/>
                <c:pt idx="0">
                  <c:v>73.847099999999998</c:v>
                </c:pt>
                <c:pt idx="1">
                  <c:v>72.906700000000001</c:v>
                </c:pt>
                <c:pt idx="2">
                  <c:v>75.114400000000003</c:v>
                </c:pt>
                <c:pt idx="3">
                  <c:v>70.978999999999999</c:v>
                </c:pt>
                <c:pt idx="4">
                  <c:v>74.655100000000004</c:v>
                </c:pt>
                <c:pt idx="5">
                  <c:v>66.839200000000005</c:v>
                </c:pt>
                <c:pt idx="6">
                  <c:v>61.83</c:v>
                </c:pt>
                <c:pt idx="7">
                  <c:v>57.313299999999998</c:v>
                </c:pt>
                <c:pt idx="8">
                  <c:v>55.303899999999999</c:v>
                </c:pt>
                <c:pt idx="9">
                  <c:v>53.9011</c:v>
                </c:pt>
                <c:pt idx="10">
                  <c:v>49.588999999999999</c:v>
                </c:pt>
                <c:pt idx="11">
                  <c:v>36.578499999999998</c:v>
                </c:pt>
                <c:pt idx="12">
                  <c:v>36.206000000000003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E-4AEF-AF29-5DB52A2CC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422792"/>
        <c:axId val="1194422464"/>
      </c:lineChart>
      <c:catAx>
        <c:axId val="1194422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464"/>
        <c:crosses val="autoZero"/>
        <c:auto val="1"/>
        <c:lblAlgn val="ctr"/>
        <c:lblOffset val="100"/>
        <c:noMultiLvlLbl val="0"/>
      </c:catAx>
      <c:valAx>
        <c:axId val="1194422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</a:t>
            </a:r>
            <a:r>
              <a:rPr lang="en-US" altLang="ko-KR" baseline="0"/>
              <a:t> : 20Y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'1-1)Swaption_Matrix'!$N$18:$N$30</c:f>
              <c:numCache>
                <c:formatCode>General</c:formatCode>
                <c:ptCount val="13"/>
                <c:pt idx="0">
                  <c:v>82.388800000000003</c:v>
                </c:pt>
                <c:pt idx="1">
                  <c:v>83.002799999999993</c:v>
                </c:pt>
                <c:pt idx="2">
                  <c:v>81.601900000000001</c:v>
                </c:pt>
                <c:pt idx="3">
                  <c:v>80.162199999999999</c:v>
                </c:pt>
                <c:pt idx="4">
                  <c:v>77.920900000000003</c:v>
                </c:pt>
                <c:pt idx="5">
                  <c:v>58.749499999999998</c:v>
                </c:pt>
                <c:pt idx="6">
                  <c:v>54.5899</c:v>
                </c:pt>
                <c:pt idx="7">
                  <c:v>52.378500000000003</c:v>
                </c:pt>
                <c:pt idx="8">
                  <c:v>50.668900000000001</c:v>
                </c:pt>
                <c:pt idx="9">
                  <c:v>47.845199999999998</c:v>
                </c:pt>
                <c:pt idx="10">
                  <c:v>42.831800000000001</c:v>
                </c:pt>
                <c:pt idx="11">
                  <c:v>38.762</c:v>
                </c:pt>
                <c:pt idx="12">
                  <c:v>38.312100000000001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28-4FCE-891A-412531F17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25096"/>
        <c:axId val="1154425424"/>
      </c:lineChart>
      <c:catAx>
        <c:axId val="115442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424"/>
        <c:crosses val="autoZero"/>
        <c:auto val="1"/>
        <c:lblAlgn val="ctr"/>
        <c:lblOffset val="100"/>
        <c:noMultiLvlLbl val="0"/>
      </c:catAx>
      <c:valAx>
        <c:axId val="1154425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5Y</a:t>
            </a:r>
            <a:endParaRPr lang="ko-KR" altLang="ko-KR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'1-1)Swaption_Matrix'!$G$18:$G$30</c:f>
              <c:numCache>
                <c:formatCode>General</c:formatCode>
                <c:ptCount val="13"/>
                <c:pt idx="0">
                  <c:v>77.343000000000004</c:v>
                </c:pt>
                <c:pt idx="1">
                  <c:v>75.3489</c:v>
                </c:pt>
                <c:pt idx="2">
                  <c:v>72.514300000000006</c:v>
                </c:pt>
                <c:pt idx="3">
                  <c:v>69.792400000000001</c:v>
                </c:pt>
                <c:pt idx="4">
                  <c:v>65.899900000000002</c:v>
                </c:pt>
                <c:pt idx="5">
                  <c:v>62.013199999999998</c:v>
                </c:pt>
                <c:pt idx="6">
                  <c:v>55.803699999999999</c:v>
                </c:pt>
                <c:pt idx="7">
                  <c:v>53.653399999999998</c:v>
                </c:pt>
                <c:pt idx="8">
                  <c:v>52.361699999999999</c:v>
                </c:pt>
                <c:pt idx="9">
                  <c:v>52.148099999999999</c:v>
                </c:pt>
                <c:pt idx="10">
                  <c:v>54.069699999999997</c:v>
                </c:pt>
                <c:pt idx="11">
                  <c:v>40.611800000000002</c:v>
                </c:pt>
                <c:pt idx="12">
                  <c:v>40.088099999999997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53-4A5E-A77C-E5431F28E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405896"/>
        <c:axId val="1168412784"/>
      </c:lineChart>
      <c:catAx>
        <c:axId val="116840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12784"/>
        <c:crosses val="autoZero"/>
        <c:auto val="1"/>
        <c:lblAlgn val="ctr"/>
        <c:lblOffset val="100"/>
        <c:noMultiLvlLbl val="0"/>
      </c:catAx>
      <c:valAx>
        <c:axId val="1168412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0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10Y</a:t>
            </a:r>
            <a:endParaRPr lang="ko-KR" altLang="ko-KR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'1-1)Swaption_Matrix'!$L$18:$L$30</c:f>
              <c:numCache>
                <c:formatCode>General</c:formatCode>
                <c:ptCount val="13"/>
                <c:pt idx="0">
                  <c:v>81.622600000000006</c:v>
                </c:pt>
                <c:pt idx="1">
                  <c:v>77.892300000000006</c:v>
                </c:pt>
                <c:pt idx="2">
                  <c:v>76.151600000000002</c:v>
                </c:pt>
                <c:pt idx="3">
                  <c:v>74.177700000000002</c:v>
                </c:pt>
                <c:pt idx="4">
                  <c:v>68.864199999999997</c:v>
                </c:pt>
                <c:pt idx="5">
                  <c:v>60.136800000000001</c:v>
                </c:pt>
                <c:pt idx="6">
                  <c:v>56.828099999999999</c:v>
                </c:pt>
                <c:pt idx="7">
                  <c:v>55.492899999999999</c:v>
                </c:pt>
                <c:pt idx="8">
                  <c:v>53.898899999999998</c:v>
                </c:pt>
                <c:pt idx="9">
                  <c:v>49.910400000000003</c:v>
                </c:pt>
                <c:pt idx="10">
                  <c:v>45.125300000000003</c:v>
                </c:pt>
                <c:pt idx="11">
                  <c:v>38.201099999999997</c:v>
                </c:pt>
                <c:pt idx="12">
                  <c:v>37.770499999999998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E1F-B11C-20134D5EB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33296"/>
        <c:axId val="1154433624"/>
      </c:lineChart>
      <c:catAx>
        <c:axId val="115443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624"/>
        <c:crosses val="autoZero"/>
        <c:auto val="1"/>
        <c:lblAlgn val="ctr"/>
        <c:lblOffset val="100"/>
        <c:noMultiLvlLbl val="0"/>
      </c:catAx>
      <c:valAx>
        <c:axId val="1154433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'1-1)Swaption_Matrix'!$Q$18:$Q$30</c:f>
              <c:numCache>
                <c:formatCode>General</c:formatCode>
                <c:ptCount val="13"/>
                <c:pt idx="0">
                  <c:v>32.869999999999997</c:v>
                </c:pt>
                <c:pt idx="1">
                  <c:v>30.809000000000001</c:v>
                </c:pt>
                <c:pt idx="2">
                  <c:v>29.123000000000001</c:v>
                </c:pt>
                <c:pt idx="3">
                  <c:v>27.85</c:v>
                </c:pt>
                <c:pt idx="4">
                  <c:v>27.364000000000001</c:v>
                </c:pt>
                <c:pt idx="5">
                  <c:v>25.238</c:v>
                </c:pt>
                <c:pt idx="6">
                  <c:v>24.356999999999999</c:v>
                </c:pt>
                <c:pt idx="7">
                  <c:v>22.98</c:v>
                </c:pt>
                <c:pt idx="8">
                  <c:v>20.873000000000001</c:v>
                </c:pt>
                <c:pt idx="9">
                  <c:v>19.32</c:v>
                </c:pt>
                <c:pt idx="10">
                  <c:v>17.47</c:v>
                </c:pt>
                <c:pt idx="11">
                  <c:v>21.712</c:v>
                </c:pt>
                <c:pt idx="12">
                  <c:v>30.074999999999999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40-446B-A3DE-563BF62FF16B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'1-1)Swaption_Matrix'!$Q$18:$Q$30</c:f>
              <c:numCache>
                <c:formatCode>General</c:formatCode>
                <c:ptCount val="13"/>
                <c:pt idx="0">
                  <c:v>32.869999999999997</c:v>
                </c:pt>
                <c:pt idx="1">
                  <c:v>30.809000000000001</c:v>
                </c:pt>
                <c:pt idx="2">
                  <c:v>29.123000000000001</c:v>
                </c:pt>
                <c:pt idx="3">
                  <c:v>27.85</c:v>
                </c:pt>
                <c:pt idx="4">
                  <c:v>27.364000000000001</c:v>
                </c:pt>
                <c:pt idx="5">
                  <c:v>25.238</c:v>
                </c:pt>
                <c:pt idx="6">
                  <c:v>24.356999999999999</c:v>
                </c:pt>
                <c:pt idx="7">
                  <c:v>22.98</c:v>
                </c:pt>
                <c:pt idx="8">
                  <c:v>20.873000000000001</c:v>
                </c:pt>
                <c:pt idx="9">
                  <c:v>19.32</c:v>
                </c:pt>
                <c:pt idx="10">
                  <c:v>17.47</c:v>
                </c:pt>
                <c:pt idx="11">
                  <c:v>21.712</c:v>
                </c:pt>
                <c:pt idx="12">
                  <c:v>30.074999999999999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40-446B-A3DE-563BF62FF16B}"/>
            </c:ext>
          </c:extLst>
        </c:ser>
        <c:ser>
          <c:idx val="1"/>
          <c:order val="2"/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'1-1)Swaption_Matrix'!$Q$18:$Q$30</c:f>
              <c:numCache>
                <c:formatCode>General</c:formatCode>
                <c:ptCount val="13"/>
                <c:pt idx="0">
                  <c:v>32.869999999999997</c:v>
                </c:pt>
                <c:pt idx="1">
                  <c:v>30.809000000000001</c:v>
                </c:pt>
                <c:pt idx="2">
                  <c:v>29.123000000000001</c:v>
                </c:pt>
                <c:pt idx="3">
                  <c:v>27.85</c:v>
                </c:pt>
                <c:pt idx="4">
                  <c:v>27.364000000000001</c:v>
                </c:pt>
                <c:pt idx="5">
                  <c:v>25.238</c:v>
                </c:pt>
                <c:pt idx="6">
                  <c:v>24.356999999999999</c:v>
                </c:pt>
                <c:pt idx="7">
                  <c:v>22.98</c:v>
                </c:pt>
                <c:pt idx="8">
                  <c:v>20.873000000000001</c:v>
                </c:pt>
                <c:pt idx="9">
                  <c:v>19.32</c:v>
                </c:pt>
                <c:pt idx="10">
                  <c:v>17.47</c:v>
                </c:pt>
                <c:pt idx="11">
                  <c:v>21.712</c:v>
                </c:pt>
                <c:pt idx="12">
                  <c:v>30.074999999999999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40-446B-A3DE-563BF62FF16B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'1-1)Swaption_Matrix'!$Q$18:$Q$30</c:f>
              <c:numCache>
                <c:formatCode>General</c:formatCode>
                <c:ptCount val="13"/>
                <c:pt idx="0">
                  <c:v>32.869999999999997</c:v>
                </c:pt>
                <c:pt idx="1">
                  <c:v>30.809000000000001</c:v>
                </c:pt>
                <c:pt idx="2">
                  <c:v>29.123000000000001</c:v>
                </c:pt>
                <c:pt idx="3">
                  <c:v>27.85</c:v>
                </c:pt>
                <c:pt idx="4">
                  <c:v>27.364000000000001</c:v>
                </c:pt>
                <c:pt idx="5">
                  <c:v>25.238</c:v>
                </c:pt>
                <c:pt idx="6">
                  <c:v>24.356999999999999</c:v>
                </c:pt>
                <c:pt idx="7">
                  <c:v>22.98</c:v>
                </c:pt>
                <c:pt idx="8">
                  <c:v>20.873000000000001</c:v>
                </c:pt>
                <c:pt idx="9">
                  <c:v>19.32</c:v>
                </c:pt>
                <c:pt idx="10">
                  <c:v>17.47</c:v>
                </c:pt>
                <c:pt idx="11">
                  <c:v>21.712</c:v>
                </c:pt>
                <c:pt idx="12">
                  <c:v>30.074999999999999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40-446B-A3DE-563BF62FF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3Y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'1-1)Swaption_Matrix'!$S$18:$S$30</c:f>
              <c:numCache>
                <c:formatCode>General</c:formatCode>
                <c:ptCount val="13"/>
                <c:pt idx="0">
                  <c:v>28.14</c:v>
                </c:pt>
                <c:pt idx="1">
                  <c:v>28.512</c:v>
                </c:pt>
                <c:pt idx="2">
                  <c:v>27.085000000000001</c:v>
                </c:pt>
                <c:pt idx="3">
                  <c:v>26.401</c:v>
                </c:pt>
                <c:pt idx="4">
                  <c:v>26.576000000000001</c:v>
                </c:pt>
                <c:pt idx="5">
                  <c:v>24.498000000000001</c:v>
                </c:pt>
                <c:pt idx="6">
                  <c:v>23.484999999999999</c:v>
                </c:pt>
                <c:pt idx="7">
                  <c:v>22.17</c:v>
                </c:pt>
                <c:pt idx="8">
                  <c:v>21.503</c:v>
                </c:pt>
                <c:pt idx="9">
                  <c:v>20.98</c:v>
                </c:pt>
                <c:pt idx="10">
                  <c:v>19.100000000000001</c:v>
                </c:pt>
                <c:pt idx="11">
                  <c:v>26.638000000000002</c:v>
                </c:pt>
                <c:pt idx="12">
                  <c:v>29.863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7-4F03-AF8F-68731CC64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5Y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4-4426-980B-FF6421C95187}"/>
            </c:ext>
          </c:extLst>
        </c:ser>
        <c:ser>
          <c:idx val="5"/>
          <c:order val="1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4-4426-980B-FF6421C95187}"/>
            </c:ext>
          </c:extLst>
        </c:ser>
        <c:ser>
          <c:idx val="6"/>
          <c:order val="2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4-4426-980B-FF6421C95187}"/>
            </c:ext>
          </c:extLst>
        </c:ser>
        <c:ser>
          <c:idx val="7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4-4426-980B-FF6421C95187}"/>
            </c:ext>
          </c:extLst>
        </c:ser>
        <c:ser>
          <c:idx val="8"/>
          <c:order val="4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4-4426-980B-FF6421C95187}"/>
            </c:ext>
          </c:extLst>
        </c:ser>
        <c:ser>
          <c:idx val="9"/>
          <c:order val="5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4-4426-980B-FF6421C95187}"/>
            </c:ext>
          </c:extLst>
        </c:ser>
        <c:ser>
          <c:idx val="10"/>
          <c:order val="6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4-4426-980B-FF6421C95187}"/>
            </c:ext>
          </c:extLst>
        </c:ser>
        <c:ser>
          <c:idx val="11"/>
          <c:order val="7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4-4426-980B-FF6421C95187}"/>
            </c:ext>
          </c:extLst>
        </c:ser>
        <c:ser>
          <c:idx val="2"/>
          <c:order val="8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4-4426-980B-FF6421C95187}"/>
            </c:ext>
          </c:extLst>
        </c:ser>
        <c:ser>
          <c:idx val="3"/>
          <c:order val="9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4-4426-980B-FF6421C95187}"/>
            </c:ext>
          </c:extLst>
        </c:ser>
        <c:ser>
          <c:idx val="1"/>
          <c:order val="1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4-4426-980B-FF6421C95187}"/>
            </c:ext>
          </c:extLst>
        </c:ser>
        <c:ser>
          <c:idx val="0"/>
          <c:order val="11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'1-1)Swaption_Matrix'!$U$18:$U$30</c:f>
              <c:numCache>
                <c:formatCode>General</c:formatCode>
                <c:ptCount val="13"/>
                <c:pt idx="0">
                  <c:v>31.74</c:v>
                </c:pt>
                <c:pt idx="1">
                  <c:v>29.238</c:v>
                </c:pt>
                <c:pt idx="2">
                  <c:v>26.632999999999999</c:v>
                </c:pt>
                <c:pt idx="3">
                  <c:v>25.344999999999999</c:v>
                </c:pt>
                <c:pt idx="4">
                  <c:v>24.120999999999999</c:v>
                </c:pt>
                <c:pt idx="5">
                  <c:v>21.693999999999999</c:v>
                </c:pt>
                <c:pt idx="6">
                  <c:v>20.98</c:v>
                </c:pt>
                <c:pt idx="7">
                  <c:v>20.75</c:v>
                </c:pt>
                <c:pt idx="8">
                  <c:v>20.321999999999999</c:v>
                </c:pt>
                <c:pt idx="9">
                  <c:v>19.88</c:v>
                </c:pt>
                <c:pt idx="10">
                  <c:v>20.38</c:v>
                </c:pt>
                <c:pt idx="11">
                  <c:v>30.530999999999999</c:v>
                </c:pt>
                <c:pt idx="12">
                  <c:v>27.632999999999999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4-4426-980B-FF6421C9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4"/>
          <c:order val="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CF00-4B24-A2E8-4C2745DAEBE0}"/>
            </c:ext>
          </c:extLst>
        </c:ser>
        <c:ser>
          <c:idx val="25"/>
          <c:order val="1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CF00-4B24-A2E8-4C2745DAEBE0}"/>
            </c:ext>
          </c:extLst>
        </c:ser>
        <c:ser>
          <c:idx val="26"/>
          <c:order val="2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CF00-4B24-A2E8-4C2745DAEBE0}"/>
            </c:ext>
          </c:extLst>
        </c:ser>
        <c:ser>
          <c:idx val="27"/>
          <c:order val="3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CF00-4B24-A2E8-4C2745DAEBE0}"/>
            </c:ext>
          </c:extLst>
        </c:ser>
        <c:ser>
          <c:idx val="28"/>
          <c:order val="4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CF00-4B24-A2E8-4C2745DAEBE0}"/>
            </c:ext>
          </c:extLst>
        </c:ser>
        <c:ser>
          <c:idx val="29"/>
          <c:order val="5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CF00-4B24-A2E8-4C2745DAEBE0}"/>
            </c:ext>
          </c:extLst>
        </c:ser>
        <c:ser>
          <c:idx val="30"/>
          <c:order val="6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CF00-4B24-A2E8-4C2745DAEBE0}"/>
            </c:ext>
          </c:extLst>
        </c:ser>
        <c:ser>
          <c:idx val="31"/>
          <c:order val="7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CF00-4B24-A2E8-4C2745DAEBE0}"/>
            </c:ext>
          </c:extLst>
        </c:ser>
        <c:ser>
          <c:idx val="32"/>
          <c:order val="8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CF00-4B24-A2E8-4C2745DAEBE0}"/>
            </c:ext>
          </c:extLst>
        </c:ser>
        <c:ser>
          <c:idx val="33"/>
          <c:order val="9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CF00-4B24-A2E8-4C2745DAEBE0}"/>
            </c:ext>
          </c:extLst>
        </c:ser>
        <c:ser>
          <c:idx val="34"/>
          <c:order val="1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CF00-4B24-A2E8-4C2745DAEBE0}"/>
            </c:ext>
          </c:extLst>
        </c:ser>
        <c:ser>
          <c:idx val="35"/>
          <c:order val="11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CF00-4B24-A2E8-4C2745DAEBE0}"/>
            </c:ext>
          </c:extLst>
        </c:ser>
        <c:ser>
          <c:idx val="36"/>
          <c:order val="12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CF00-4B24-A2E8-4C2745DAEBE0}"/>
            </c:ext>
          </c:extLst>
        </c:ser>
        <c:ser>
          <c:idx val="37"/>
          <c:order val="13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CF00-4B24-A2E8-4C2745DAEBE0}"/>
            </c:ext>
          </c:extLst>
        </c:ser>
        <c:ser>
          <c:idx val="38"/>
          <c:order val="14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CF00-4B24-A2E8-4C2745DAEBE0}"/>
            </c:ext>
          </c:extLst>
        </c:ser>
        <c:ser>
          <c:idx val="39"/>
          <c:order val="15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CF00-4B24-A2E8-4C2745DAEBE0}"/>
            </c:ext>
          </c:extLst>
        </c:ser>
        <c:ser>
          <c:idx val="40"/>
          <c:order val="16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CF00-4B24-A2E8-4C2745DAEBE0}"/>
            </c:ext>
          </c:extLst>
        </c:ser>
        <c:ser>
          <c:idx val="41"/>
          <c:order val="17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CF00-4B24-A2E8-4C2745DAEBE0}"/>
            </c:ext>
          </c:extLst>
        </c:ser>
        <c:ser>
          <c:idx val="42"/>
          <c:order val="18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CF00-4B24-A2E8-4C2745DAEBE0}"/>
            </c:ext>
          </c:extLst>
        </c:ser>
        <c:ser>
          <c:idx val="43"/>
          <c:order val="19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CF00-4B24-A2E8-4C2745DAEBE0}"/>
            </c:ext>
          </c:extLst>
        </c:ser>
        <c:ser>
          <c:idx val="44"/>
          <c:order val="2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CF00-4B24-A2E8-4C2745DAEBE0}"/>
            </c:ext>
          </c:extLst>
        </c:ser>
        <c:ser>
          <c:idx val="45"/>
          <c:order val="21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CF00-4B24-A2E8-4C2745DAEBE0}"/>
            </c:ext>
          </c:extLst>
        </c:ser>
        <c:ser>
          <c:idx val="46"/>
          <c:order val="22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CF00-4B24-A2E8-4C2745DAEBE0}"/>
            </c:ext>
          </c:extLst>
        </c:ser>
        <c:ser>
          <c:idx val="47"/>
          <c:order val="23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CF00-4B24-A2E8-4C2745DAEBE0}"/>
            </c:ext>
          </c:extLst>
        </c:ser>
        <c:ser>
          <c:idx val="4"/>
          <c:order val="24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CF00-4B24-A2E8-4C2745DAEBE0}"/>
            </c:ext>
          </c:extLst>
        </c:ser>
        <c:ser>
          <c:idx val="5"/>
          <c:order val="25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CF00-4B24-A2E8-4C2745DAEBE0}"/>
            </c:ext>
          </c:extLst>
        </c:ser>
        <c:ser>
          <c:idx val="6"/>
          <c:order val="26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CF00-4B24-A2E8-4C2745DAEBE0}"/>
            </c:ext>
          </c:extLst>
        </c:ser>
        <c:ser>
          <c:idx val="7"/>
          <c:order val="27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CF00-4B24-A2E8-4C2745DAEBE0}"/>
            </c:ext>
          </c:extLst>
        </c:ser>
        <c:ser>
          <c:idx val="8"/>
          <c:order val="28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CF00-4B24-A2E8-4C2745DAEBE0}"/>
            </c:ext>
          </c:extLst>
        </c:ser>
        <c:ser>
          <c:idx val="9"/>
          <c:order val="29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CF00-4B24-A2E8-4C2745DAEBE0}"/>
            </c:ext>
          </c:extLst>
        </c:ser>
        <c:ser>
          <c:idx val="10"/>
          <c:order val="3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CF00-4B24-A2E8-4C2745DAEBE0}"/>
            </c:ext>
          </c:extLst>
        </c:ser>
        <c:ser>
          <c:idx val="11"/>
          <c:order val="31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CF00-4B24-A2E8-4C2745DAEBE0}"/>
            </c:ext>
          </c:extLst>
        </c:ser>
        <c:ser>
          <c:idx val="12"/>
          <c:order val="32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CF00-4B24-A2E8-4C2745DAEBE0}"/>
            </c:ext>
          </c:extLst>
        </c:ser>
        <c:ser>
          <c:idx val="13"/>
          <c:order val="33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CF00-4B24-A2E8-4C2745DAEBE0}"/>
            </c:ext>
          </c:extLst>
        </c:ser>
        <c:ser>
          <c:idx val="14"/>
          <c:order val="34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CF00-4B24-A2E8-4C2745DAEBE0}"/>
            </c:ext>
          </c:extLst>
        </c:ser>
        <c:ser>
          <c:idx val="15"/>
          <c:order val="35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CF00-4B24-A2E8-4C2745DAEBE0}"/>
            </c:ext>
          </c:extLst>
        </c:ser>
        <c:ser>
          <c:idx val="16"/>
          <c:order val="36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CF00-4B24-A2E8-4C2745DAEBE0}"/>
            </c:ext>
          </c:extLst>
        </c:ser>
        <c:ser>
          <c:idx val="17"/>
          <c:order val="37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CF00-4B24-A2E8-4C2745DAEBE0}"/>
            </c:ext>
          </c:extLst>
        </c:ser>
        <c:ser>
          <c:idx val="18"/>
          <c:order val="38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CF00-4B24-A2E8-4C2745DAEBE0}"/>
            </c:ext>
          </c:extLst>
        </c:ser>
        <c:ser>
          <c:idx val="19"/>
          <c:order val="39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CF00-4B24-A2E8-4C2745DAEBE0}"/>
            </c:ext>
          </c:extLst>
        </c:ser>
        <c:ser>
          <c:idx val="20"/>
          <c:order val="40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CF00-4B24-A2E8-4C2745DAEBE0}"/>
            </c:ext>
          </c:extLst>
        </c:ser>
        <c:ser>
          <c:idx val="21"/>
          <c:order val="41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CF00-4B24-A2E8-4C2745DAEBE0}"/>
            </c:ext>
          </c:extLst>
        </c:ser>
        <c:ser>
          <c:idx val="22"/>
          <c:order val="42"/>
          <c:spPr>
            <a:ln w="25400"/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'1-1)Swaption_Matrix'!$Z$18:$Z$30</c:f>
              <c:numCache>
                <c:formatCode>General</c:formatCode>
                <c:ptCount val="13"/>
                <c:pt idx="0">
                  <c:v>30.36</c:v>
                </c:pt>
                <c:pt idx="1">
                  <c:v>29.561</c:v>
                </c:pt>
                <c:pt idx="2">
                  <c:v>28.533000000000001</c:v>
                </c:pt>
                <c:pt idx="3">
                  <c:v>26.95</c:v>
                </c:pt>
                <c:pt idx="4">
                  <c:v>25.707000000000001</c:v>
                </c:pt>
                <c:pt idx="5">
                  <c:v>22.614999999999998</c:v>
                </c:pt>
                <c:pt idx="6">
                  <c:v>21.763000000000002</c:v>
                </c:pt>
                <c:pt idx="7">
                  <c:v>21.53</c:v>
                </c:pt>
                <c:pt idx="8">
                  <c:v>21.094000000000001</c:v>
                </c:pt>
                <c:pt idx="9">
                  <c:v>20.97</c:v>
                </c:pt>
                <c:pt idx="10">
                  <c:v>23.04</c:v>
                </c:pt>
                <c:pt idx="11">
                  <c:v>28.385999999999999</c:v>
                </c:pt>
                <c:pt idx="12">
                  <c:v>21.920999999999999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CF00-4B24-A2E8-4C2745DAE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20Y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2"/>
          <c:order val="0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'1-1)Swaption_Matrix'!$AB$18:$AB$30</c:f>
              <c:numCache>
                <c:formatCode>General</c:formatCode>
                <c:ptCount val="13"/>
                <c:pt idx="0">
                  <c:v>36.433999999999997</c:v>
                </c:pt>
                <c:pt idx="1">
                  <c:v>35.546999999999997</c:v>
                </c:pt>
                <c:pt idx="2">
                  <c:v>34.945</c:v>
                </c:pt>
                <c:pt idx="3">
                  <c:v>33.406999999999996</c:v>
                </c:pt>
                <c:pt idx="4">
                  <c:v>31.291</c:v>
                </c:pt>
                <c:pt idx="5">
                  <c:v>28.045999999999999</c:v>
                </c:pt>
                <c:pt idx="6">
                  <c:v>26.571000000000002</c:v>
                </c:pt>
                <c:pt idx="7">
                  <c:v>25.35</c:v>
                </c:pt>
                <c:pt idx="8">
                  <c:v>23.738</c:v>
                </c:pt>
                <c:pt idx="9">
                  <c:v>23.18</c:v>
                </c:pt>
                <c:pt idx="10">
                  <c:v>21.1</c:v>
                </c:pt>
                <c:pt idx="11">
                  <c:v>20.436</c:v>
                </c:pt>
                <c:pt idx="12">
                  <c:v>16.353000000000002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9B5D-4108-827A-6B1AF7EF4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KRW/IRS Swaption ATM Normal Volatility Surface (BBIR)</a:t>
            </a:r>
            <a:endParaRPr lang="ko-K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20867138447712E-2"/>
          <c:y val="0.10957762157162758"/>
          <c:w val="0.88472701192778791"/>
          <c:h val="0.80455031441544533"/>
        </c:manualLayout>
      </c:layout>
      <c:surface3DChart>
        <c:wireframe val="0"/>
        <c:ser>
          <c:idx val="0"/>
          <c:order val="0"/>
          <c:tx>
            <c:strRef>
              <c:f>'1-1)Swaption_Matrix_prev'!$C$17</c:f>
              <c:strCache>
                <c:ptCount val="1"/>
                <c:pt idx="0">
                  <c:v>1Y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'1-1)Swaption_Matrix_prev'!$C$18:$C$30</c:f>
              <c:numCache>
                <c:formatCode>General</c:formatCode>
                <c:ptCount val="13"/>
                <c:pt idx="0">
                  <c:v>100</c:v>
                </c:pt>
                <c:pt idx="1">
                  <c:v>98.824799999999996</c:v>
                </c:pt>
                <c:pt idx="2">
                  <c:v>80.298599999999993</c:v>
                </c:pt>
                <c:pt idx="3">
                  <c:v>84.539100000000005</c:v>
                </c:pt>
                <c:pt idx="4">
                  <c:v>90.2821</c:v>
                </c:pt>
                <c:pt idx="5">
                  <c:v>79.827200000000005</c:v>
                </c:pt>
                <c:pt idx="6">
                  <c:v>73.229600000000005</c:v>
                </c:pt>
                <c:pt idx="7">
                  <c:v>68.508499999999998</c:v>
                </c:pt>
                <c:pt idx="8">
                  <c:v>64.522599999999997</c:v>
                </c:pt>
                <c:pt idx="9">
                  <c:v>62.555799999999998</c:v>
                </c:pt>
                <c:pt idx="10">
                  <c:v>57.139000000000003</c:v>
                </c:pt>
                <c:pt idx="11">
                  <c:v>39.088099999999997</c:v>
                </c:pt>
                <c:pt idx="12">
                  <c:v>38.517899999999997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9-4392-A7AA-BB4DDF647933}"/>
            </c:ext>
          </c:extLst>
        </c:ser>
        <c:ser>
          <c:idx val="1"/>
          <c:order val="1"/>
          <c:tx>
            <c:strRef>
              <c:f>'1-1)Swaption_Matrix_prev'!$D$17</c:f>
              <c:strCache>
                <c:ptCount val="1"/>
                <c:pt idx="0">
                  <c:v>2Y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'1-1)Swaption_Matrix_prev'!$D$18:$D$30</c:f>
              <c:numCache>
                <c:formatCode>General</c:formatCode>
                <c:ptCount val="13"/>
                <c:pt idx="0">
                  <c:v>76.465699999999998</c:v>
                </c:pt>
                <c:pt idx="1">
                  <c:v>83.718400000000003</c:v>
                </c:pt>
                <c:pt idx="2">
                  <c:v>90.921400000000006</c:v>
                </c:pt>
                <c:pt idx="3">
                  <c:v>79.963999999999999</c:v>
                </c:pt>
                <c:pt idx="4">
                  <c:v>87.588800000000006</c:v>
                </c:pt>
                <c:pt idx="5">
                  <c:v>76.777299999999997</c:v>
                </c:pt>
                <c:pt idx="6">
                  <c:v>73.285300000000007</c:v>
                </c:pt>
                <c:pt idx="7">
                  <c:v>68.621399999999994</c:v>
                </c:pt>
                <c:pt idx="8">
                  <c:v>66.614699999999999</c:v>
                </c:pt>
                <c:pt idx="9">
                  <c:v>61.157400000000003</c:v>
                </c:pt>
                <c:pt idx="10">
                  <c:v>55.431600000000003</c:v>
                </c:pt>
                <c:pt idx="11">
                  <c:v>37.9739</c:v>
                </c:pt>
                <c:pt idx="12">
                  <c:v>37.4604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F9-4392-A7AA-BB4DDF647933}"/>
            </c:ext>
          </c:extLst>
        </c:ser>
        <c:ser>
          <c:idx val="2"/>
          <c:order val="2"/>
          <c:tx>
            <c:strRef>
              <c:f>'1-1)Swaption_Matrix_prev'!$E$17</c:f>
              <c:strCache>
                <c:ptCount val="1"/>
                <c:pt idx="0">
                  <c:v>3Y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'1-1)Swaption_Matrix_prev'!$E$18:$E$30</c:f>
              <c:numCache>
                <c:formatCode>General</c:formatCode>
                <c:ptCount val="13"/>
                <c:pt idx="0">
                  <c:v>79.028599999999997</c:v>
                </c:pt>
                <c:pt idx="1">
                  <c:v>78.378900000000002</c:v>
                </c:pt>
                <c:pt idx="2">
                  <c:v>91.780600000000007</c:v>
                </c:pt>
                <c:pt idx="3">
                  <c:v>77.650199999999998</c:v>
                </c:pt>
                <c:pt idx="4">
                  <c:v>81.9983</c:v>
                </c:pt>
                <c:pt idx="5">
                  <c:v>77.319800000000001</c:v>
                </c:pt>
                <c:pt idx="6">
                  <c:v>73.438400000000001</c:v>
                </c:pt>
                <c:pt idx="7">
                  <c:v>68.844300000000004</c:v>
                </c:pt>
                <c:pt idx="8">
                  <c:v>67.477900000000005</c:v>
                </c:pt>
                <c:pt idx="9">
                  <c:v>64.291399999999996</c:v>
                </c:pt>
                <c:pt idx="10">
                  <c:v>59.311799999999998</c:v>
                </c:pt>
                <c:pt idx="11">
                  <c:v>41.2423</c:v>
                </c:pt>
                <c:pt idx="12">
                  <c:v>40.582099999999997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F9-4392-A7AA-BB4DDF647933}"/>
            </c:ext>
          </c:extLst>
        </c:ser>
        <c:ser>
          <c:idx val="3"/>
          <c:order val="3"/>
          <c:tx>
            <c:strRef>
              <c:f>'1-1)Swaption_Matrix_prev'!$F$17</c:f>
              <c:strCache>
                <c:ptCount val="1"/>
                <c:pt idx="0">
                  <c:v>4Y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'1-1)Swaption_Matrix_prev'!$F$18:$F$30</c:f>
              <c:numCache>
                <c:formatCode>General</c:formatCode>
                <c:ptCount val="13"/>
                <c:pt idx="0">
                  <c:v>81.885599999999997</c:v>
                </c:pt>
                <c:pt idx="1">
                  <c:v>80.985100000000003</c:v>
                </c:pt>
                <c:pt idx="2">
                  <c:v>89.045500000000004</c:v>
                </c:pt>
                <c:pt idx="3">
                  <c:v>75.456699999999998</c:v>
                </c:pt>
                <c:pt idx="4">
                  <c:v>76.699200000000005</c:v>
                </c:pt>
                <c:pt idx="5">
                  <c:v>74.159400000000005</c:v>
                </c:pt>
                <c:pt idx="6">
                  <c:v>71.654200000000003</c:v>
                </c:pt>
                <c:pt idx="7">
                  <c:v>67.097499999999997</c:v>
                </c:pt>
                <c:pt idx="8">
                  <c:v>63.872100000000003</c:v>
                </c:pt>
                <c:pt idx="9">
                  <c:v>59.518999999999998</c:v>
                </c:pt>
                <c:pt idx="10">
                  <c:v>58.5152</c:v>
                </c:pt>
                <c:pt idx="11">
                  <c:v>41.066200000000002</c:v>
                </c:pt>
                <c:pt idx="12">
                  <c:v>40.402799999999999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F9-4392-A7AA-BB4DDF647933}"/>
            </c:ext>
          </c:extLst>
        </c:ser>
        <c:ser>
          <c:idx val="4"/>
          <c:order val="4"/>
          <c:tx>
            <c:strRef>
              <c:f>'1-1)Swaption_Matrix_prev'!$G$17</c:f>
              <c:strCache>
                <c:ptCount val="1"/>
                <c:pt idx="0">
                  <c:v>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'1-1)Swaption_Matrix_prev'!$G$18:$G$30</c:f>
              <c:numCache>
                <c:formatCode>General</c:formatCode>
                <c:ptCount val="13"/>
                <c:pt idx="0">
                  <c:v>84.875900000000001</c:v>
                </c:pt>
                <c:pt idx="1">
                  <c:v>83.688999999999993</c:v>
                </c:pt>
                <c:pt idx="2">
                  <c:v>89.338399999999993</c:v>
                </c:pt>
                <c:pt idx="3">
                  <c:v>73.244299999999996</c:v>
                </c:pt>
                <c:pt idx="4">
                  <c:v>80.0565</c:v>
                </c:pt>
                <c:pt idx="5">
                  <c:v>75.508899999999997</c:v>
                </c:pt>
                <c:pt idx="6">
                  <c:v>69.636600000000001</c:v>
                </c:pt>
                <c:pt idx="7">
                  <c:v>65.998199999999997</c:v>
                </c:pt>
                <c:pt idx="8">
                  <c:v>63.809100000000001</c:v>
                </c:pt>
                <c:pt idx="9">
                  <c:v>61.469099999999997</c:v>
                </c:pt>
                <c:pt idx="10">
                  <c:v>64.159000000000006</c:v>
                </c:pt>
                <c:pt idx="11">
                  <c:v>45.0854</c:v>
                </c:pt>
                <c:pt idx="12">
                  <c:v>44.198599999999999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F9-4392-A7AA-BB4DDF647933}"/>
            </c:ext>
          </c:extLst>
        </c:ser>
        <c:ser>
          <c:idx val="5"/>
          <c:order val="5"/>
          <c:tx>
            <c:strRef>
              <c:f>'1-1)Swaption_Matrix_prev'!$H$17</c:f>
              <c:strCache>
                <c:ptCount val="1"/>
                <c:pt idx="0">
                  <c:v>6Y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'1-1)Swaption_Matrix_prev'!$H$18:$H$30</c:f>
              <c:numCache>
                <c:formatCode>General</c:formatCode>
                <c:ptCount val="13"/>
                <c:pt idx="0">
                  <c:v>85.765799999999999</c:v>
                </c:pt>
                <c:pt idx="1">
                  <c:v>84.204700000000003</c:v>
                </c:pt>
                <c:pt idx="2">
                  <c:v>89.816199999999995</c:v>
                </c:pt>
                <c:pt idx="3">
                  <c:v>74.000600000000006</c:v>
                </c:pt>
                <c:pt idx="4">
                  <c:v>79.2834</c:v>
                </c:pt>
                <c:pt idx="5">
                  <c:v>74.796400000000006</c:v>
                </c:pt>
                <c:pt idx="6">
                  <c:v>70.099999999999994</c:v>
                </c:pt>
                <c:pt idx="7">
                  <c:v>65.756200000000007</c:v>
                </c:pt>
                <c:pt idx="8">
                  <c:v>63.432600000000001</c:v>
                </c:pt>
                <c:pt idx="9">
                  <c:v>60.9574</c:v>
                </c:pt>
                <c:pt idx="10">
                  <c:v>60.319299999999998</c:v>
                </c:pt>
                <c:pt idx="11">
                  <c:v>44.318100000000001</c:v>
                </c:pt>
                <c:pt idx="12">
                  <c:v>43.480400000000003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F9-4392-A7AA-BB4DDF647933}"/>
            </c:ext>
          </c:extLst>
        </c:ser>
        <c:ser>
          <c:idx val="6"/>
          <c:order val="6"/>
          <c:tx>
            <c:strRef>
              <c:f>'1-1)Swaption_Matrix_prev'!$I$17</c:f>
              <c:strCache>
                <c:ptCount val="1"/>
                <c:pt idx="0">
                  <c:v>7Y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'1-1)Swaption_Matrix_prev'!$I$18:$I$30</c:f>
              <c:numCache>
                <c:formatCode>General</c:formatCode>
                <c:ptCount val="13"/>
                <c:pt idx="0">
                  <c:v>86.711799999999997</c:v>
                </c:pt>
                <c:pt idx="1">
                  <c:v>84.771199999999993</c:v>
                </c:pt>
                <c:pt idx="2">
                  <c:v>90.319800000000001</c:v>
                </c:pt>
                <c:pt idx="3">
                  <c:v>74.727500000000006</c:v>
                </c:pt>
                <c:pt idx="4">
                  <c:v>78.478399999999993</c:v>
                </c:pt>
                <c:pt idx="5">
                  <c:v>74.227800000000002</c:v>
                </c:pt>
                <c:pt idx="6">
                  <c:v>70.641300000000001</c:v>
                </c:pt>
                <c:pt idx="7">
                  <c:v>65.269900000000007</c:v>
                </c:pt>
                <c:pt idx="8">
                  <c:v>63.159300000000002</c:v>
                </c:pt>
                <c:pt idx="9">
                  <c:v>60.625100000000003</c:v>
                </c:pt>
                <c:pt idx="10">
                  <c:v>57.203899999999997</c:v>
                </c:pt>
                <c:pt idx="11">
                  <c:v>43.497599999999998</c:v>
                </c:pt>
                <c:pt idx="12">
                  <c:v>42.709899999999998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F9-4392-A7AA-BB4DDF647933}"/>
            </c:ext>
          </c:extLst>
        </c:ser>
        <c:ser>
          <c:idx val="7"/>
          <c:order val="7"/>
          <c:tx>
            <c:strRef>
              <c:f>'1-1)Swaption_Matrix_prev'!$J$17</c:f>
              <c:strCache>
                <c:ptCount val="1"/>
                <c:pt idx="0">
                  <c:v>8Y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'1-1)Swaption_Matrix_prev'!$J$18:$J$30</c:f>
              <c:numCache>
                <c:formatCode>General</c:formatCode>
                <c:ptCount val="13"/>
                <c:pt idx="0">
                  <c:v>87.567099999999996</c:v>
                </c:pt>
                <c:pt idx="1">
                  <c:v>85.237399999999994</c:v>
                </c:pt>
                <c:pt idx="2">
                  <c:v>90.816599999999994</c:v>
                </c:pt>
                <c:pt idx="3">
                  <c:v>75.376499999999993</c:v>
                </c:pt>
                <c:pt idx="4">
                  <c:v>79.810199999999995</c:v>
                </c:pt>
                <c:pt idx="5">
                  <c:v>74.653099999999995</c:v>
                </c:pt>
                <c:pt idx="6">
                  <c:v>70.555700000000002</c:v>
                </c:pt>
                <c:pt idx="7">
                  <c:v>65.250299999999996</c:v>
                </c:pt>
                <c:pt idx="8">
                  <c:v>62.858499999999999</c:v>
                </c:pt>
                <c:pt idx="9">
                  <c:v>61.01</c:v>
                </c:pt>
                <c:pt idx="10">
                  <c:v>55.372799999999998</c:v>
                </c:pt>
                <c:pt idx="11">
                  <c:v>43.221499999999999</c:v>
                </c:pt>
                <c:pt idx="12">
                  <c:v>42.444099999999999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F9-4392-A7AA-BB4DDF647933}"/>
            </c:ext>
          </c:extLst>
        </c:ser>
        <c:ser>
          <c:idx val="8"/>
          <c:order val="8"/>
          <c:tx>
            <c:strRef>
              <c:f>'1-1)Swaption_Matrix_prev'!$K$17</c:f>
              <c:strCache>
                <c:ptCount val="1"/>
                <c:pt idx="0">
                  <c:v>9Y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'1-1)Swaption_Matrix_prev'!$K$18:$K$30</c:f>
              <c:numCache>
                <c:formatCode>General</c:formatCode>
                <c:ptCount val="13"/>
                <c:pt idx="0">
                  <c:v>88.4803</c:v>
                </c:pt>
                <c:pt idx="1">
                  <c:v>85.7727</c:v>
                </c:pt>
                <c:pt idx="2">
                  <c:v>91.401300000000006</c:v>
                </c:pt>
                <c:pt idx="3">
                  <c:v>76.095299999999995</c:v>
                </c:pt>
                <c:pt idx="4">
                  <c:v>81.209999999999994</c:v>
                </c:pt>
                <c:pt idx="5">
                  <c:v>74.884500000000003</c:v>
                </c:pt>
                <c:pt idx="6">
                  <c:v>70.546199999999999</c:v>
                </c:pt>
                <c:pt idx="7">
                  <c:v>64.978499999999997</c:v>
                </c:pt>
                <c:pt idx="8">
                  <c:v>62.671199999999999</c:v>
                </c:pt>
                <c:pt idx="9">
                  <c:v>59.990900000000003</c:v>
                </c:pt>
                <c:pt idx="10">
                  <c:v>53.8414</c:v>
                </c:pt>
                <c:pt idx="11">
                  <c:v>42.920299999999997</c:v>
                </c:pt>
                <c:pt idx="12">
                  <c:v>42.159500000000001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F9-4392-A7AA-BB4DDF647933}"/>
            </c:ext>
          </c:extLst>
        </c:ser>
        <c:ser>
          <c:idx val="9"/>
          <c:order val="9"/>
          <c:tx>
            <c:strRef>
              <c:f>'1-1)Swaption_Matrix_prev'!$L$17</c:f>
              <c:strCache>
                <c:ptCount val="1"/>
                <c:pt idx="0">
                  <c:v>10Y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'1-1)Swaption_Matrix_prev'!$L$18:$L$30</c:f>
              <c:numCache>
                <c:formatCode>General</c:formatCode>
                <c:ptCount val="13"/>
                <c:pt idx="0">
                  <c:v>89.416300000000007</c:v>
                </c:pt>
                <c:pt idx="1">
                  <c:v>86.302199999999999</c:v>
                </c:pt>
                <c:pt idx="2">
                  <c:v>91.919499999999999</c:v>
                </c:pt>
                <c:pt idx="3">
                  <c:v>76.701499999999996</c:v>
                </c:pt>
                <c:pt idx="4">
                  <c:v>82.413799999999995</c:v>
                </c:pt>
                <c:pt idx="5">
                  <c:v>75.186300000000003</c:v>
                </c:pt>
                <c:pt idx="6">
                  <c:v>70.298900000000003</c:v>
                </c:pt>
                <c:pt idx="7">
                  <c:v>64.805700000000002</c:v>
                </c:pt>
                <c:pt idx="8">
                  <c:v>62.568800000000003</c:v>
                </c:pt>
                <c:pt idx="9">
                  <c:v>59.2029</c:v>
                </c:pt>
                <c:pt idx="10">
                  <c:v>52.506</c:v>
                </c:pt>
                <c:pt idx="11">
                  <c:v>42.598500000000001</c:v>
                </c:pt>
                <c:pt idx="12">
                  <c:v>41.856900000000003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F9-4392-A7AA-BB4DDF647933}"/>
            </c:ext>
          </c:extLst>
        </c:ser>
        <c:ser>
          <c:idx val="10"/>
          <c:order val="10"/>
          <c:tx>
            <c:strRef>
              <c:f>'1-1)Swaption_Matrix_prev'!$M$17</c:f>
              <c:strCache>
                <c:ptCount val="1"/>
                <c:pt idx="0">
                  <c:v>15Y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'1-1)Swaption_Matrix_prev'!$M$18:$M$30</c:f>
              <c:numCache>
                <c:formatCode>General</c:formatCode>
                <c:ptCount val="13"/>
                <c:pt idx="0">
                  <c:v>87.588499999999996</c:v>
                </c:pt>
                <c:pt idx="1">
                  <c:v>86.450100000000006</c:v>
                </c:pt>
                <c:pt idx="2">
                  <c:v>95.16</c:v>
                </c:pt>
                <c:pt idx="3">
                  <c:v>78.224299999999999</c:v>
                </c:pt>
                <c:pt idx="4">
                  <c:v>83.936999999999998</c:v>
                </c:pt>
                <c:pt idx="5">
                  <c:v>75.332499999999996</c:v>
                </c:pt>
                <c:pt idx="6">
                  <c:v>70.866299999999995</c:v>
                </c:pt>
                <c:pt idx="7">
                  <c:v>64.812100000000001</c:v>
                </c:pt>
                <c:pt idx="8">
                  <c:v>62.965400000000002</c:v>
                </c:pt>
                <c:pt idx="9">
                  <c:v>61.503500000000003</c:v>
                </c:pt>
                <c:pt idx="10">
                  <c:v>55.513500000000001</c:v>
                </c:pt>
                <c:pt idx="11">
                  <c:v>47.307899999999997</c:v>
                </c:pt>
                <c:pt idx="12">
                  <c:v>46.28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F9-4392-A7AA-BB4DDF647933}"/>
            </c:ext>
          </c:extLst>
        </c:ser>
        <c:ser>
          <c:idx val="11"/>
          <c:order val="11"/>
          <c:tx>
            <c:strRef>
              <c:f>'1-1)Swaption_Matrix_prev'!$N$17</c:f>
              <c:strCache>
                <c:ptCount val="1"/>
                <c:pt idx="0">
                  <c:v>20Y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'1-1)Swaption_Matrix_prev'!$A$18:$B$30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'1-1)Swaption_Matrix_prev'!$N$18:$N$30</c:f>
              <c:numCache>
                <c:formatCode>General</c:formatCode>
                <c:ptCount val="13"/>
                <c:pt idx="0">
                  <c:v>85.7346</c:v>
                </c:pt>
                <c:pt idx="1">
                  <c:v>86.763599999999997</c:v>
                </c:pt>
                <c:pt idx="2">
                  <c:v>83.659300000000002</c:v>
                </c:pt>
                <c:pt idx="3">
                  <c:v>80.515799999999999</c:v>
                </c:pt>
                <c:pt idx="4">
                  <c:v>79.001400000000004</c:v>
                </c:pt>
                <c:pt idx="5">
                  <c:v>69.605400000000003</c:v>
                </c:pt>
                <c:pt idx="6">
                  <c:v>64.174199999999999</c:v>
                </c:pt>
                <c:pt idx="7">
                  <c:v>60.6736</c:v>
                </c:pt>
                <c:pt idx="8">
                  <c:v>58.993400000000001</c:v>
                </c:pt>
                <c:pt idx="9">
                  <c:v>57.096600000000002</c:v>
                </c:pt>
                <c:pt idx="10">
                  <c:v>49.002699999999997</c:v>
                </c:pt>
                <c:pt idx="11">
                  <c:v>43.142299999999999</c:v>
                </c:pt>
                <c:pt idx="12">
                  <c:v>42.369199999999999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0F9-4392-A7AA-BB4DDF64793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86366424"/>
        <c:axId val="1286386432"/>
        <c:axId val="1277702936"/>
      </c:surface3DChart>
      <c:catAx>
        <c:axId val="128636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  <c:auto val="1"/>
        <c:lblAlgn val="ctr"/>
        <c:lblOffset val="100"/>
        <c:noMultiLvlLbl val="0"/>
      </c:catAx>
      <c:valAx>
        <c:axId val="12863864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66424"/>
        <c:crosses val="autoZero"/>
        <c:crossBetween val="midCat"/>
      </c:valAx>
      <c:serAx>
        <c:axId val="1277702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KRW/IRS Swaption ATM Black Volatility  (TRHK)</a:t>
            </a:r>
            <a:endParaRPr lang="ko-K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'1-1)Swaption_Matrix_prev'!$Q$17</c:f>
              <c:strCache>
                <c:ptCount val="1"/>
                <c:pt idx="0">
                  <c:v>1Y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'1-1)Swaption_Matrix_prev'!$Q$18:$Q$30</c:f>
              <c:numCache>
                <c:formatCode>General</c:formatCode>
                <c:ptCount val="13"/>
                <c:pt idx="0">
                  <c:v>40.46</c:v>
                </c:pt>
                <c:pt idx="1">
                  <c:v>36.457000000000001</c:v>
                </c:pt>
                <c:pt idx="2">
                  <c:v>32.659999999999997</c:v>
                </c:pt>
                <c:pt idx="3">
                  <c:v>29.614999999999998</c:v>
                </c:pt>
                <c:pt idx="4">
                  <c:v>28.28</c:v>
                </c:pt>
                <c:pt idx="5">
                  <c:v>25.116</c:v>
                </c:pt>
                <c:pt idx="6">
                  <c:v>24.167000000000002</c:v>
                </c:pt>
                <c:pt idx="7">
                  <c:v>23.3</c:v>
                </c:pt>
                <c:pt idx="8">
                  <c:v>22.913</c:v>
                </c:pt>
                <c:pt idx="9">
                  <c:v>21.14</c:v>
                </c:pt>
                <c:pt idx="10">
                  <c:v>19.78</c:v>
                </c:pt>
                <c:pt idx="11">
                  <c:v>26.957999999999998</c:v>
                </c:pt>
                <c:pt idx="12">
                  <c:v>48.411000000000001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D9-4347-8F98-1023716C2FAE}"/>
            </c:ext>
          </c:extLst>
        </c:ser>
        <c:ser>
          <c:idx val="1"/>
          <c:order val="1"/>
          <c:tx>
            <c:strRef>
              <c:f>'1-1)Swaption_Matrix_prev'!$R$17</c:f>
              <c:strCache>
                <c:ptCount val="1"/>
                <c:pt idx="0">
                  <c:v>2Y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'1-1)Swaption_Matrix_prev'!$R$18:$R$30</c:f>
              <c:numCache>
                <c:formatCode>General</c:formatCode>
                <c:ptCount val="13"/>
                <c:pt idx="0">
                  <c:v>29.9</c:v>
                </c:pt>
                <c:pt idx="1">
                  <c:v>32.536000000000001</c:v>
                </c:pt>
                <c:pt idx="2">
                  <c:v>29.465</c:v>
                </c:pt>
                <c:pt idx="3">
                  <c:v>27.875</c:v>
                </c:pt>
                <c:pt idx="4">
                  <c:v>27.465</c:v>
                </c:pt>
                <c:pt idx="5">
                  <c:v>24.693000000000001</c:v>
                </c:pt>
                <c:pt idx="6">
                  <c:v>24.689</c:v>
                </c:pt>
                <c:pt idx="7">
                  <c:v>23.41</c:v>
                </c:pt>
                <c:pt idx="8">
                  <c:v>23.466000000000001</c:v>
                </c:pt>
                <c:pt idx="9">
                  <c:v>22.19</c:v>
                </c:pt>
                <c:pt idx="10">
                  <c:v>21.33</c:v>
                </c:pt>
                <c:pt idx="11">
                  <c:v>30.934999999999999</c:v>
                </c:pt>
                <c:pt idx="12">
                  <c:v>45.228000000000002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D9-4347-8F98-1023716C2FAE}"/>
            </c:ext>
          </c:extLst>
        </c:ser>
        <c:ser>
          <c:idx val="2"/>
          <c:order val="2"/>
          <c:tx>
            <c:strRef>
              <c:f>'1-1)Swaption_Matrix_prev'!$S$17</c:f>
              <c:strCache>
                <c:ptCount val="1"/>
                <c:pt idx="0">
                  <c:v>3Y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'1-1)Swaption_Matrix_prev'!$S$18:$S$30</c:f>
              <c:numCache>
                <c:formatCode>General</c:formatCode>
                <c:ptCount val="13"/>
                <c:pt idx="0">
                  <c:v>32.24</c:v>
                </c:pt>
                <c:pt idx="1">
                  <c:v>32.232999999999997</c:v>
                </c:pt>
                <c:pt idx="2">
                  <c:v>29.645</c:v>
                </c:pt>
                <c:pt idx="3">
                  <c:v>27.64</c:v>
                </c:pt>
                <c:pt idx="4">
                  <c:v>26.088999999999999</c:v>
                </c:pt>
                <c:pt idx="5">
                  <c:v>25.286999999999999</c:v>
                </c:pt>
                <c:pt idx="6">
                  <c:v>24.963000000000001</c:v>
                </c:pt>
                <c:pt idx="7">
                  <c:v>23.94</c:v>
                </c:pt>
                <c:pt idx="8">
                  <c:v>23.988</c:v>
                </c:pt>
                <c:pt idx="9">
                  <c:v>23.36</c:v>
                </c:pt>
                <c:pt idx="10">
                  <c:v>23.52</c:v>
                </c:pt>
                <c:pt idx="11">
                  <c:v>36.524000000000001</c:v>
                </c:pt>
                <c:pt idx="12">
                  <c:v>44.478000000000002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D9-4347-8F98-1023716C2FAE}"/>
            </c:ext>
          </c:extLst>
        </c:ser>
        <c:ser>
          <c:idx val="3"/>
          <c:order val="3"/>
          <c:tx>
            <c:strRef>
              <c:f>'1-1)Swaption_Matrix_prev'!$T$17</c:f>
              <c:strCache>
                <c:ptCount val="1"/>
                <c:pt idx="0">
                  <c:v>4Y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'1-1)Swaption_Matrix_prev'!$T$18:$T$30</c:f>
              <c:numCache>
                <c:formatCode>General</c:formatCode>
                <c:ptCount val="13"/>
                <c:pt idx="0">
                  <c:v>34.630000000000003</c:v>
                </c:pt>
                <c:pt idx="1">
                  <c:v>31.71</c:v>
                </c:pt>
                <c:pt idx="2">
                  <c:v>28.96</c:v>
                </c:pt>
                <c:pt idx="3">
                  <c:v>26.713000000000001</c:v>
                </c:pt>
                <c:pt idx="4">
                  <c:v>24.74</c:v>
                </c:pt>
                <c:pt idx="5">
                  <c:v>24.64</c:v>
                </c:pt>
                <c:pt idx="6">
                  <c:v>24.38</c:v>
                </c:pt>
                <c:pt idx="7">
                  <c:v>23.33</c:v>
                </c:pt>
                <c:pt idx="8">
                  <c:v>22.78</c:v>
                </c:pt>
                <c:pt idx="9">
                  <c:v>21.86</c:v>
                </c:pt>
                <c:pt idx="10">
                  <c:v>23.506</c:v>
                </c:pt>
                <c:pt idx="11">
                  <c:v>41.706000000000003</c:v>
                </c:pt>
                <c:pt idx="12">
                  <c:v>42.036000000000001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D9-4347-8F98-1023716C2FAE}"/>
            </c:ext>
          </c:extLst>
        </c:ser>
        <c:ser>
          <c:idx val="4"/>
          <c:order val="4"/>
          <c:tx>
            <c:strRef>
              <c:f>'1-1)Swaption_Matrix_prev'!$U$17</c:f>
              <c:strCache>
                <c:ptCount val="1"/>
                <c:pt idx="0">
                  <c:v>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D9-4347-8F98-1023716C2FAE}"/>
            </c:ext>
          </c:extLst>
        </c:ser>
        <c:ser>
          <c:idx val="5"/>
          <c:order val="5"/>
          <c:tx>
            <c:strRef>
              <c:f>'1-1)Swaption_Matrix_prev'!$V$17</c:f>
              <c:strCache>
                <c:ptCount val="1"/>
                <c:pt idx="0">
                  <c:v>6Y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'1-1)Swaption_Matrix_prev'!$V$18:$V$30</c:f>
              <c:numCache>
                <c:formatCode>General</c:formatCode>
                <c:ptCount val="13"/>
                <c:pt idx="0">
                  <c:v>36.277999999999999</c:v>
                </c:pt>
                <c:pt idx="1">
                  <c:v>32.686999999999998</c:v>
                </c:pt>
                <c:pt idx="2">
                  <c:v>30.038</c:v>
                </c:pt>
                <c:pt idx="3">
                  <c:v>27.266999999999999</c:v>
                </c:pt>
                <c:pt idx="4">
                  <c:v>24.965</c:v>
                </c:pt>
                <c:pt idx="5">
                  <c:v>25.064</c:v>
                </c:pt>
                <c:pt idx="6">
                  <c:v>24.521000000000001</c:v>
                </c:pt>
                <c:pt idx="7">
                  <c:v>23.257000000000001</c:v>
                </c:pt>
                <c:pt idx="8">
                  <c:v>22.832999999999998</c:v>
                </c:pt>
                <c:pt idx="9">
                  <c:v>23.414999999999999</c:v>
                </c:pt>
                <c:pt idx="10">
                  <c:v>25.248000000000001</c:v>
                </c:pt>
                <c:pt idx="11">
                  <c:v>47.072000000000003</c:v>
                </c:pt>
                <c:pt idx="12">
                  <c:v>35.972000000000001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9-4347-8F98-1023716C2FAE}"/>
            </c:ext>
          </c:extLst>
        </c:ser>
        <c:ser>
          <c:idx val="6"/>
          <c:order val="6"/>
          <c:tx>
            <c:strRef>
              <c:f>'1-1)Swaption_Matrix_prev'!$W$17</c:f>
              <c:strCache>
                <c:ptCount val="1"/>
                <c:pt idx="0">
                  <c:v>7Y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'1-1)Swaption_Matrix_prev'!$W$18:$W$30</c:f>
              <c:numCache>
                <c:formatCode>General</c:formatCode>
                <c:ptCount val="13"/>
                <c:pt idx="0">
                  <c:v>35.369999999999997</c:v>
                </c:pt>
                <c:pt idx="1">
                  <c:v>32.963000000000001</c:v>
                </c:pt>
                <c:pt idx="2">
                  <c:v>30.189</c:v>
                </c:pt>
                <c:pt idx="3">
                  <c:v>28.259</c:v>
                </c:pt>
                <c:pt idx="4">
                  <c:v>26.212</c:v>
                </c:pt>
                <c:pt idx="5">
                  <c:v>25.356999999999999</c:v>
                </c:pt>
                <c:pt idx="6">
                  <c:v>24.687999999999999</c:v>
                </c:pt>
                <c:pt idx="7">
                  <c:v>23.31</c:v>
                </c:pt>
                <c:pt idx="8">
                  <c:v>22.972999999999999</c:v>
                </c:pt>
                <c:pt idx="9">
                  <c:v>23.16</c:v>
                </c:pt>
                <c:pt idx="10">
                  <c:v>26.14</c:v>
                </c:pt>
                <c:pt idx="11">
                  <c:v>46.56</c:v>
                </c:pt>
                <c:pt idx="12">
                  <c:v>32.984999999999999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9-4347-8F98-1023716C2FAE}"/>
            </c:ext>
          </c:extLst>
        </c:ser>
        <c:ser>
          <c:idx val="7"/>
          <c:order val="7"/>
          <c:tx>
            <c:strRef>
              <c:f>'1-1)Swaption_Matrix_prev'!$X$17</c:f>
              <c:strCache>
                <c:ptCount val="1"/>
                <c:pt idx="0">
                  <c:v>8Y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'1-1)Swaption_Matrix_prev'!$X$18:$X$30</c:f>
              <c:numCache>
                <c:formatCode>General</c:formatCode>
                <c:ptCount val="13"/>
                <c:pt idx="0">
                  <c:v>34.606999999999999</c:v>
                </c:pt>
                <c:pt idx="1">
                  <c:v>33.215000000000003</c:v>
                </c:pt>
                <c:pt idx="2">
                  <c:v>31.09</c:v>
                </c:pt>
                <c:pt idx="3">
                  <c:v>28.376000000000001</c:v>
                </c:pt>
                <c:pt idx="4">
                  <c:v>26.757999999999999</c:v>
                </c:pt>
                <c:pt idx="5">
                  <c:v>25.654</c:v>
                </c:pt>
                <c:pt idx="6">
                  <c:v>24.89</c:v>
                </c:pt>
                <c:pt idx="7">
                  <c:v>23.431999999999999</c:v>
                </c:pt>
                <c:pt idx="8">
                  <c:v>23.175000000000001</c:v>
                </c:pt>
                <c:pt idx="9">
                  <c:v>23.952000000000002</c:v>
                </c:pt>
                <c:pt idx="10">
                  <c:v>27.318999999999999</c:v>
                </c:pt>
                <c:pt idx="11">
                  <c:v>44.942999999999998</c:v>
                </c:pt>
                <c:pt idx="12">
                  <c:v>30.489000000000001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D9-4347-8F98-1023716C2FAE}"/>
            </c:ext>
          </c:extLst>
        </c:ser>
        <c:ser>
          <c:idx val="8"/>
          <c:order val="8"/>
          <c:tx>
            <c:strRef>
              <c:f>'1-1)Swaption_Matrix_prev'!$Y$17</c:f>
              <c:strCache>
                <c:ptCount val="1"/>
                <c:pt idx="0">
                  <c:v>9Y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'1-1)Swaption_Matrix_prev'!$Y$18:$Y$30</c:f>
              <c:numCache>
                <c:formatCode>General</c:formatCode>
                <c:ptCount val="13"/>
                <c:pt idx="0">
                  <c:v>34.204000000000001</c:v>
                </c:pt>
                <c:pt idx="1">
                  <c:v>33.511000000000003</c:v>
                </c:pt>
                <c:pt idx="2">
                  <c:v>31.082999999999998</c:v>
                </c:pt>
                <c:pt idx="3">
                  <c:v>28.887</c:v>
                </c:pt>
                <c:pt idx="4">
                  <c:v>27.507999999999999</c:v>
                </c:pt>
                <c:pt idx="5">
                  <c:v>25.959</c:v>
                </c:pt>
                <c:pt idx="6">
                  <c:v>25.123999999999999</c:v>
                </c:pt>
                <c:pt idx="7">
                  <c:v>23.625</c:v>
                </c:pt>
                <c:pt idx="8">
                  <c:v>23.428000000000001</c:v>
                </c:pt>
                <c:pt idx="9">
                  <c:v>24.135000000000002</c:v>
                </c:pt>
                <c:pt idx="10">
                  <c:v>28.658999999999999</c:v>
                </c:pt>
                <c:pt idx="11">
                  <c:v>42.796999999999997</c:v>
                </c:pt>
                <c:pt idx="12">
                  <c:v>28.449000000000002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9-4347-8F98-1023716C2FAE}"/>
            </c:ext>
          </c:extLst>
        </c:ser>
        <c:ser>
          <c:idx val="9"/>
          <c:order val="9"/>
          <c:tx>
            <c:strRef>
              <c:f>'1-1)Swaption_Matrix_prev'!$Z$17</c:f>
              <c:strCache>
                <c:ptCount val="1"/>
                <c:pt idx="0">
                  <c:v>10Y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9-4347-8F98-1023716C2FAE}"/>
            </c:ext>
          </c:extLst>
        </c:ser>
        <c:ser>
          <c:idx val="10"/>
          <c:order val="10"/>
          <c:tx>
            <c:strRef>
              <c:f>'1-1)Swaption_Matrix_prev'!$AA$17</c:f>
              <c:strCache>
                <c:ptCount val="1"/>
                <c:pt idx="0">
                  <c:v>15Y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'1-1)Swaption_Matrix_prev'!$AA$18:$AA$30</c:f>
              <c:numCache>
                <c:formatCode>General</c:formatCode>
                <c:ptCount val="13"/>
                <c:pt idx="0">
                  <c:v>36.89</c:v>
                </c:pt>
                <c:pt idx="1">
                  <c:v>36.755000000000003</c:v>
                </c:pt>
                <c:pt idx="2">
                  <c:v>34.231999999999999</c:v>
                </c:pt>
                <c:pt idx="3">
                  <c:v>32.305</c:v>
                </c:pt>
                <c:pt idx="4">
                  <c:v>30.617999999999999</c:v>
                </c:pt>
                <c:pt idx="5">
                  <c:v>28.678999999999998</c:v>
                </c:pt>
                <c:pt idx="6">
                  <c:v>28.242999999999999</c:v>
                </c:pt>
                <c:pt idx="7">
                  <c:v>26.96</c:v>
                </c:pt>
                <c:pt idx="8">
                  <c:v>27.372</c:v>
                </c:pt>
                <c:pt idx="9">
                  <c:v>29.31</c:v>
                </c:pt>
                <c:pt idx="10">
                  <c:v>30.73</c:v>
                </c:pt>
                <c:pt idx="11">
                  <c:v>30.678999999999998</c:v>
                </c:pt>
                <c:pt idx="12">
                  <c:v>21.606000000000002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CD9-4347-8F98-1023716C2FAE}"/>
            </c:ext>
          </c:extLst>
        </c:ser>
        <c:ser>
          <c:idx val="11"/>
          <c:order val="11"/>
          <c:tx>
            <c:strRef>
              <c:f>'1-1)Swaption_Matrix_prev'!$AB$17</c:f>
              <c:strCache>
                <c:ptCount val="1"/>
                <c:pt idx="0">
                  <c:v>20Y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'1-1)Swaption_Matrix_prev'!$O$18:$P$30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'1-1)Swaption_Matrix_prev'!$AB$18:$AB$30</c:f>
              <c:numCache>
                <c:formatCode>General</c:formatCode>
                <c:ptCount val="13"/>
                <c:pt idx="0">
                  <c:v>43.384999999999998</c:v>
                </c:pt>
                <c:pt idx="1">
                  <c:v>43.247</c:v>
                </c:pt>
                <c:pt idx="2">
                  <c:v>41.055</c:v>
                </c:pt>
                <c:pt idx="3">
                  <c:v>38.908000000000001</c:v>
                </c:pt>
                <c:pt idx="4">
                  <c:v>36.445</c:v>
                </c:pt>
                <c:pt idx="5">
                  <c:v>32.793999999999997</c:v>
                </c:pt>
                <c:pt idx="6">
                  <c:v>31.289000000000001</c:v>
                </c:pt>
                <c:pt idx="7">
                  <c:v>29.44</c:v>
                </c:pt>
                <c:pt idx="8">
                  <c:v>27.919</c:v>
                </c:pt>
                <c:pt idx="9">
                  <c:v>27.81</c:v>
                </c:pt>
                <c:pt idx="10">
                  <c:v>27.1</c:v>
                </c:pt>
                <c:pt idx="11">
                  <c:v>24.504000000000001</c:v>
                </c:pt>
                <c:pt idx="12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9-4347-8F98-1023716C2FA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623602376"/>
        <c:axId val="1623596472"/>
        <c:axId val="1247073000"/>
      </c:surface3DChart>
      <c:catAx>
        <c:axId val="1623602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596472"/>
        <c:crosses val="autoZero"/>
        <c:auto val="1"/>
        <c:lblAlgn val="ctr"/>
        <c:lblOffset val="100"/>
        <c:noMultiLvlLbl val="0"/>
      </c:catAx>
      <c:valAx>
        <c:axId val="162359647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602376"/>
        <c:crosses val="autoZero"/>
        <c:crossBetween val="midCat"/>
      </c:valAx>
      <c:serAx>
        <c:axId val="12470730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5964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1"/>
              <a:t>Diagonal</a:t>
            </a:r>
            <a:r>
              <a:rPr lang="en-US" altLang="ko-KR" sz="1800" b="1" baseline="0"/>
              <a:t> Matrix Value of Volatility</a:t>
            </a:r>
            <a:endParaRPr lang="ko-KR" alt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458981906964685"/>
          <c:y val="0.13767685635711546"/>
          <c:w val="0.77082036186070624"/>
          <c:h val="0.70973731947780905"/>
        </c:manualLayout>
      </c:layout>
      <c:lineChart>
        <c:grouping val="standard"/>
        <c:varyColors val="0"/>
        <c:ser>
          <c:idx val="0"/>
          <c:order val="0"/>
          <c:tx>
            <c:strRef>
              <c:f>'1-1)Swaption_Matrix_prev'!$B$32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'1-1)Swaption_Matrix_prev'!$A$33:$A$41</c:f>
              <c:strCache>
                <c:ptCount val="9"/>
                <c:pt idx="0">
                  <c:v>20Y1Y</c:v>
                </c:pt>
                <c:pt idx="1">
                  <c:v>15Y2Y</c:v>
                </c:pt>
                <c:pt idx="2">
                  <c:v>10Y3Y</c:v>
                </c:pt>
                <c:pt idx="3">
                  <c:v>7Y4Y</c:v>
                </c:pt>
                <c:pt idx="4">
                  <c:v>5Y5Y</c:v>
                </c:pt>
                <c:pt idx="5">
                  <c:v>4Y7Y</c:v>
                </c:pt>
                <c:pt idx="6">
                  <c:v>3Y10Y</c:v>
                </c:pt>
                <c:pt idx="7">
                  <c:v>2Y15Y</c:v>
                </c:pt>
                <c:pt idx="8">
                  <c:v>1Y20Y</c:v>
                </c:pt>
              </c:strCache>
            </c:strRef>
          </c:cat>
          <c:val>
            <c:numRef>
              <c:f>'1-1)Swaption_Matrix_prev'!$B$33:$B$41</c:f>
              <c:numCache>
                <c:formatCode>0.00</c:formatCode>
                <c:ptCount val="9"/>
                <c:pt idx="0">
                  <c:v>38.517899999999997</c:v>
                </c:pt>
                <c:pt idx="1">
                  <c:v>37.9739</c:v>
                </c:pt>
                <c:pt idx="2">
                  <c:v>59.311799999999998</c:v>
                </c:pt>
                <c:pt idx="3">
                  <c:v>59.518999999999998</c:v>
                </c:pt>
                <c:pt idx="4">
                  <c:v>63.809100000000001</c:v>
                </c:pt>
                <c:pt idx="5">
                  <c:v>65.269900000000007</c:v>
                </c:pt>
                <c:pt idx="6">
                  <c:v>70.298900000000003</c:v>
                </c:pt>
                <c:pt idx="7">
                  <c:v>75.332499999999996</c:v>
                </c:pt>
                <c:pt idx="8">
                  <c:v>79.001400000000004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4-4539-96BF-F6BFDEE34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580936"/>
        <c:axId val="1064581920"/>
      </c:lineChart>
      <c:lineChart>
        <c:grouping val="standard"/>
        <c:varyColors val="0"/>
        <c:ser>
          <c:idx val="1"/>
          <c:order val="1"/>
          <c:tx>
            <c:strRef>
              <c:f>'1-1)Swaption_Matrix_prev'!$C$32</c:f>
              <c:strCache>
                <c:ptCount val="1"/>
                <c:pt idx="0">
                  <c:v>Black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'1-1)Swaption_Matrix_prev'!$A$33:$A$41</c:f>
              <c:strCache>
                <c:ptCount val="9"/>
                <c:pt idx="0">
                  <c:v>20Y1Y</c:v>
                </c:pt>
                <c:pt idx="1">
                  <c:v>15Y2Y</c:v>
                </c:pt>
                <c:pt idx="2">
                  <c:v>10Y3Y</c:v>
                </c:pt>
                <c:pt idx="3">
                  <c:v>7Y4Y</c:v>
                </c:pt>
                <c:pt idx="4">
                  <c:v>5Y5Y</c:v>
                </c:pt>
                <c:pt idx="5">
                  <c:v>4Y7Y</c:v>
                </c:pt>
                <c:pt idx="6">
                  <c:v>3Y10Y</c:v>
                </c:pt>
                <c:pt idx="7">
                  <c:v>2Y15Y</c:v>
                </c:pt>
                <c:pt idx="8">
                  <c:v>1Y20Y</c:v>
                </c:pt>
              </c:strCache>
            </c:strRef>
          </c:cat>
          <c:val>
            <c:numRef>
              <c:f>'1-1)Swaption_Matrix_prev'!$C$33:$C$41</c:f>
              <c:numCache>
                <c:formatCode>0.00</c:formatCode>
                <c:ptCount val="9"/>
                <c:pt idx="0">
                  <c:v>48.411000000000001</c:v>
                </c:pt>
                <c:pt idx="1">
                  <c:v>30.934999999999999</c:v>
                </c:pt>
                <c:pt idx="2">
                  <c:v>23.52</c:v>
                </c:pt>
                <c:pt idx="3">
                  <c:v>21.86</c:v>
                </c:pt>
                <c:pt idx="4">
                  <c:v>22.814</c:v>
                </c:pt>
                <c:pt idx="5">
                  <c:v>23.31</c:v>
                </c:pt>
                <c:pt idx="6">
                  <c:v>25.3</c:v>
                </c:pt>
                <c:pt idx="7">
                  <c:v>28.678999999999998</c:v>
                </c:pt>
                <c:pt idx="8">
                  <c:v>36.445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F4-4539-96BF-F6BFDEE34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4445760"/>
        <c:axId val="1154453632"/>
      </c:lineChart>
      <c:valAx>
        <c:axId val="1064581920"/>
        <c:scaling>
          <c:orientation val="minMax"/>
          <c:min val="3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4580936"/>
        <c:crosses val="max"/>
        <c:crossBetween val="between"/>
      </c:valAx>
      <c:catAx>
        <c:axId val="106458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4581920"/>
        <c:crosses val="autoZero"/>
        <c:auto val="1"/>
        <c:lblAlgn val="ctr"/>
        <c:lblOffset val="100"/>
        <c:noMultiLvlLbl val="0"/>
      </c:catAx>
      <c:valAx>
        <c:axId val="1154453632"/>
        <c:scaling>
          <c:orientation val="minMax"/>
          <c:min val="15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45760"/>
        <c:crosses val="autoZero"/>
        <c:crossBetween val="between"/>
      </c:valAx>
      <c:catAx>
        <c:axId val="115444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445363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</a:t>
            </a:r>
            <a:r>
              <a:rPr lang="en-US" altLang="ko-KR" sz="1800"/>
              <a:t>1Y</a:t>
            </a:r>
          </a:p>
        </c:rich>
      </c:tx>
      <c:layout>
        <c:manualLayout>
          <c:xMode val="edge"/>
          <c:yMode val="edge"/>
          <c:x val="0.2407171923393627"/>
          <c:y val="3.5170361631627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'1-1)Swaption_Matrix_prev'!$B$22</c:f>
              <c:strCache>
                <c:ptCount val="1"/>
                <c:pt idx="0">
                  <c:v>1Y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'1-1)Swaption_Matrix_prev'!$C$22:$N$22</c:f>
              <c:numCache>
                <c:formatCode>General</c:formatCode>
                <c:ptCount val="12"/>
                <c:pt idx="0">
                  <c:v>90.2821</c:v>
                </c:pt>
                <c:pt idx="1">
                  <c:v>87.588800000000006</c:v>
                </c:pt>
                <c:pt idx="2">
                  <c:v>81.9983</c:v>
                </c:pt>
                <c:pt idx="3">
                  <c:v>76.699200000000005</c:v>
                </c:pt>
                <c:pt idx="4">
                  <c:v>80.0565</c:v>
                </c:pt>
                <c:pt idx="5">
                  <c:v>79.2834</c:v>
                </c:pt>
                <c:pt idx="6">
                  <c:v>78.478399999999993</c:v>
                </c:pt>
                <c:pt idx="7">
                  <c:v>79.810199999999995</c:v>
                </c:pt>
                <c:pt idx="8">
                  <c:v>81.209999999999994</c:v>
                </c:pt>
                <c:pt idx="9">
                  <c:v>82.413799999999995</c:v>
                </c:pt>
                <c:pt idx="10">
                  <c:v>83.936999999999998</c:v>
                </c:pt>
                <c:pt idx="11">
                  <c:v>79.001400000000004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C-4AE9-8B61-1B61A866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84656"/>
        <c:axId val="1407784328"/>
      </c:lineChart>
      <c:catAx>
        <c:axId val="140778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328"/>
        <c:crosses val="autoZero"/>
        <c:auto val="1"/>
        <c:lblAlgn val="ctr"/>
        <c:lblOffset val="100"/>
        <c:noMultiLvlLbl val="0"/>
      </c:catAx>
      <c:valAx>
        <c:axId val="1407784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10Y</a:t>
            </a:r>
            <a:endParaRPr lang="ko-KR" alt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'1-1)Swaption_Matrix_prev'!$C$28:$N$28</c:f>
              <c:numCache>
                <c:formatCode>General</c:formatCode>
                <c:ptCount val="12"/>
                <c:pt idx="0">
                  <c:v>57.139000000000003</c:v>
                </c:pt>
                <c:pt idx="1">
                  <c:v>55.431600000000003</c:v>
                </c:pt>
                <c:pt idx="2">
                  <c:v>59.311799999999998</c:v>
                </c:pt>
                <c:pt idx="3">
                  <c:v>58.5152</c:v>
                </c:pt>
                <c:pt idx="4">
                  <c:v>64.159000000000006</c:v>
                </c:pt>
                <c:pt idx="5">
                  <c:v>60.319299999999998</c:v>
                </c:pt>
                <c:pt idx="6">
                  <c:v>57.203899999999997</c:v>
                </c:pt>
                <c:pt idx="7">
                  <c:v>55.372799999999998</c:v>
                </c:pt>
                <c:pt idx="8">
                  <c:v>53.8414</c:v>
                </c:pt>
                <c:pt idx="9">
                  <c:v>52.506</c:v>
                </c:pt>
                <c:pt idx="10">
                  <c:v>55.513500000000001</c:v>
                </c:pt>
                <c:pt idx="11">
                  <c:v>49.002699999999997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BF-446D-B842-E13277A29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98760"/>
        <c:axId val="1407799744"/>
      </c:lineChart>
      <c:catAx>
        <c:axId val="1407798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9744"/>
        <c:crosses val="autoZero"/>
        <c:auto val="1"/>
        <c:lblAlgn val="ctr"/>
        <c:lblOffset val="100"/>
        <c:noMultiLvlLbl val="0"/>
      </c:catAx>
      <c:valAx>
        <c:axId val="1407799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20Y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4445307054340251"/>
          <c:y val="3.5623398963134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'1-1)Swaption_Matrix_prev'!$C$30:$N$30</c:f>
              <c:numCache>
                <c:formatCode>General</c:formatCode>
                <c:ptCount val="12"/>
                <c:pt idx="0">
                  <c:v>38.517899999999997</c:v>
                </c:pt>
                <c:pt idx="1">
                  <c:v>37.4604</c:v>
                </c:pt>
                <c:pt idx="2">
                  <c:v>40.582099999999997</c:v>
                </c:pt>
                <c:pt idx="3">
                  <c:v>40.402799999999999</c:v>
                </c:pt>
                <c:pt idx="4">
                  <c:v>44.198599999999999</c:v>
                </c:pt>
                <c:pt idx="5">
                  <c:v>43.480400000000003</c:v>
                </c:pt>
                <c:pt idx="6">
                  <c:v>42.709899999999998</c:v>
                </c:pt>
                <c:pt idx="7">
                  <c:v>42.444099999999999</c:v>
                </c:pt>
                <c:pt idx="8">
                  <c:v>42.159500000000001</c:v>
                </c:pt>
                <c:pt idx="9">
                  <c:v>41.856900000000003</c:v>
                </c:pt>
                <c:pt idx="10">
                  <c:v>46.28</c:v>
                </c:pt>
                <c:pt idx="11">
                  <c:v>42.369199999999999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33-4AE4-843A-A88A3712C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8104"/>
        <c:axId val="1281310232"/>
      </c:lineChart>
      <c:catAx>
        <c:axId val="1281318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0232"/>
        <c:crosses val="autoZero"/>
        <c:auto val="1"/>
        <c:lblAlgn val="ctr"/>
        <c:lblOffset val="100"/>
        <c:noMultiLvlLbl val="0"/>
      </c:catAx>
      <c:valAx>
        <c:axId val="1281310232"/>
        <c:scaling>
          <c:orientation val="minMax"/>
          <c:max val="42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3Y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9512246896794486"/>
          <c:y val="4.49582189465262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'1-1)Swaption_Matrix_prev'!$C$24:$N$24</c:f>
              <c:numCache>
                <c:formatCode>General</c:formatCode>
                <c:ptCount val="12"/>
                <c:pt idx="0">
                  <c:v>73.229600000000005</c:v>
                </c:pt>
                <c:pt idx="1">
                  <c:v>73.285300000000007</c:v>
                </c:pt>
                <c:pt idx="2">
                  <c:v>73.438400000000001</c:v>
                </c:pt>
                <c:pt idx="3">
                  <c:v>71.654200000000003</c:v>
                </c:pt>
                <c:pt idx="4">
                  <c:v>69.636600000000001</c:v>
                </c:pt>
                <c:pt idx="5">
                  <c:v>70.099999999999994</c:v>
                </c:pt>
                <c:pt idx="6">
                  <c:v>70.641300000000001</c:v>
                </c:pt>
                <c:pt idx="7">
                  <c:v>70.555700000000002</c:v>
                </c:pt>
                <c:pt idx="8">
                  <c:v>70.546199999999999</c:v>
                </c:pt>
                <c:pt idx="9">
                  <c:v>70.298900000000003</c:v>
                </c:pt>
                <c:pt idx="10">
                  <c:v>70.866299999999995</c:v>
                </c:pt>
                <c:pt idx="11">
                  <c:v>64.174199999999999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9-4141-A991-02DB4723F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88840"/>
        <c:axId val="1203985560"/>
      </c:lineChart>
      <c:catAx>
        <c:axId val="120398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5560"/>
        <c:crosses val="autoZero"/>
        <c:auto val="1"/>
        <c:lblAlgn val="ctr"/>
        <c:lblOffset val="100"/>
        <c:noMultiLvlLbl val="0"/>
      </c:catAx>
      <c:valAx>
        <c:axId val="120398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1M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'1-1)Swaption_Matrix_prev'!$C$17:$N$17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'1-1)Swaption_Matrix_prev'!$C$18:$N$18</c:f>
              <c:numCache>
                <c:formatCode>General</c:formatCode>
                <c:ptCount val="12"/>
                <c:pt idx="0">
                  <c:v>100</c:v>
                </c:pt>
                <c:pt idx="1">
                  <c:v>76.465699999999998</c:v>
                </c:pt>
                <c:pt idx="2">
                  <c:v>79.028599999999997</c:v>
                </c:pt>
                <c:pt idx="3">
                  <c:v>81.885599999999997</c:v>
                </c:pt>
                <c:pt idx="4">
                  <c:v>84.875900000000001</c:v>
                </c:pt>
                <c:pt idx="5">
                  <c:v>85.765799999999999</c:v>
                </c:pt>
                <c:pt idx="6">
                  <c:v>86.711799999999997</c:v>
                </c:pt>
                <c:pt idx="7">
                  <c:v>87.567099999999996</c:v>
                </c:pt>
                <c:pt idx="8">
                  <c:v>88.4803</c:v>
                </c:pt>
                <c:pt idx="9">
                  <c:v>89.416300000000007</c:v>
                </c:pt>
                <c:pt idx="10">
                  <c:v>87.588499999999996</c:v>
                </c:pt>
                <c:pt idx="11">
                  <c:v>85.7346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C-49B3-8E65-AB29085A8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006928"/>
        <c:axId val="954004304"/>
      </c:lineChart>
      <c:catAx>
        <c:axId val="95400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4304"/>
        <c:crosses val="autoZero"/>
        <c:auto val="1"/>
        <c:lblAlgn val="ctr"/>
        <c:lblOffset val="100"/>
        <c:noMultiLvlLbl val="0"/>
      </c:catAx>
      <c:valAx>
        <c:axId val="9540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Normal Vol,</a:t>
            </a:r>
            <a:r>
              <a:rPr lang="en-US" altLang="ko-KR" baseline="0"/>
              <a:t> </a:t>
            </a:r>
            <a:r>
              <a:rPr lang="en-US" altLang="ko-KR"/>
              <a:t>Tenor :</a:t>
            </a:r>
            <a:r>
              <a:rPr lang="en-US" altLang="ko-KR" baseline="0"/>
              <a:t> 1Y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759357476707852E-2"/>
          <c:y val="0.19693342038775319"/>
          <c:w val="0.86904795954683922"/>
          <c:h val="0.703846975039414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'1-1)Swaption_Matrix_prev'!$C$18:$C$30</c:f>
              <c:numCache>
                <c:formatCode>General</c:formatCode>
                <c:ptCount val="13"/>
                <c:pt idx="0">
                  <c:v>100</c:v>
                </c:pt>
                <c:pt idx="1">
                  <c:v>98.824799999999996</c:v>
                </c:pt>
                <c:pt idx="2">
                  <c:v>80.298599999999993</c:v>
                </c:pt>
                <c:pt idx="3">
                  <c:v>84.539100000000005</c:v>
                </c:pt>
                <c:pt idx="4">
                  <c:v>90.2821</c:v>
                </c:pt>
                <c:pt idx="5">
                  <c:v>79.827200000000005</c:v>
                </c:pt>
                <c:pt idx="6">
                  <c:v>73.229600000000005</c:v>
                </c:pt>
                <c:pt idx="7">
                  <c:v>68.508499999999998</c:v>
                </c:pt>
                <c:pt idx="8">
                  <c:v>64.522599999999997</c:v>
                </c:pt>
                <c:pt idx="9">
                  <c:v>62.555799999999998</c:v>
                </c:pt>
                <c:pt idx="10">
                  <c:v>57.139000000000003</c:v>
                </c:pt>
                <c:pt idx="11">
                  <c:v>39.088099999999997</c:v>
                </c:pt>
                <c:pt idx="12">
                  <c:v>38.517899999999997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C-444B-9304-5ACD046AF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1218400"/>
        <c:axId val="1221216760"/>
      </c:lineChart>
      <c:catAx>
        <c:axId val="12212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6760"/>
        <c:crosses val="autoZero"/>
        <c:auto val="1"/>
        <c:lblAlgn val="ctr"/>
        <c:lblOffset val="100"/>
        <c:noMultiLvlLbl val="0"/>
      </c:catAx>
      <c:valAx>
        <c:axId val="1221216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 : 3Y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7703706493241519E-2"/>
          <c:y val="0.16568612672443991"/>
          <c:w val="0.87518987462724152"/>
          <c:h val="0.723221680108649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'1-1)Swaption_Matrix_prev'!$E$18:$E$30</c:f>
              <c:numCache>
                <c:formatCode>General</c:formatCode>
                <c:ptCount val="13"/>
                <c:pt idx="0">
                  <c:v>79.028599999999997</c:v>
                </c:pt>
                <c:pt idx="1">
                  <c:v>78.378900000000002</c:v>
                </c:pt>
                <c:pt idx="2">
                  <c:v>91.780600000000007</c:v>
                </c:pt>
                <c:pt idx="3">
                  <c:v>77.650199999999998</c:v>
                </c:pt>
                <c:pt idx="4">
                  <c:v>81.9983</c:v>
                </c:pt>
                <c:pt idx="5">
                  <c:v>77.319800000000001</c:v>
                </c:pt>
                <c:pt idx="6">
                  <c:v>73.438400000000001</c:v>
                </c:pt>
                <c:pt idx="7">
                  <c:v>68.844300000000004</c:v>
                </c:pt>
                <c:pt idx="8">
                  <c:v>67.477900000000005</c:v>
                </c:pt>
                <c:pt idx="9">
                  <c:v>64.291399999999996</c:v>
                </c:pt>
                <c:pt idx="10">
                  <c:v>59.311799999999998</c:v>
                </c:pt>
                <c:pt idx="11">
                  <c:v>41.2423</c:v>
                </c:pt>
                <c:pt idx="12">
                  <c:v>40.582099999999997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BF-488D-BC6C-6F236CAA2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422792"/>
        <c:axId val="1194422464"/>
      </c:lineChart>
      <c:catAx>
        <c:axId val="1194422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464"/>
        <c:crosses val="autoZero"/>
        <c:auto val="1"/>
        <c:lblAlgn val="ctr"/>
        <c:lblOffset val="100"/>
        <c:noMultiLvlLbl val="0"/>
      </c:catAx>
      <c:valAx>
        <c:axId val="1194422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</a:t>
            </a:r>
            <a:r>
              <a:rPr lang="en-US" altLang="ko-KR" baseline="0"/>
              <a:t> : 20Y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'1-1)Swaption_Matrix_prev'!$N$18:$N$30</c:f>
              <c:numCache>
                <c:formatCode>General</c:formatCode>
                <c:ptCount val="13"/>
                <c:pt idx="0">
                  <c:v>85.7346</c:v>
                </c:pt>
                <c:pt idx="1">
                  <c:v>86.763599999999997</c:v>
                </c:pt>
                <c:pt idx="2">
                  <c:v>83.659300000000002</c:v>
                </c:pt>
                <c:pt idx="3">
                  <c:v>80.515799999999999</c:v>
                </c:pt>
                <c:pt idx="4">
                  <c:v>79.001400000000004</c:v>
                </c:pt>
                <c:pt idx="5">
                  <c:v>69.605400000000003</c:v>
                </c:pt>
                <c:pt idx="6">
                  <c:v>64.174199999999999</c:v>
                </c:pt>
                <c:pt idx="7">
                  <c:v>60.6736</c:v>
                </c:pt>
                <c:pt idx="8">
                  <c:v>58.993400000000001</c:v>
                </c:pt>
                <c:pt idx="9">
                  <c:v>57.096600000000002</c:v>
                </c:pt>
                <c:pt idx="10">
                  <c:v>49.002699999999997</c:v>
                </c:pt>
                <c:pt idx="11">
                  <c:v>43.142299999999999</c:v>
                </c:pt>
                <c:pt idx="12">
                  <c:v>42.369199999999999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D-405E-872A-6BB1029D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25096"/>
        <c:axId val="1154425424"/>
      </c:lineChart>
      <c:catAx>
        <c:axId val="115442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424"/>
        <c:crosses val="autoZero"/>
        <c:auto val="1"/>
        <c:lblAlgn val="ctr"/>
        <c:lblOffset val="100"/>
        <c:noMultiLvlLbl val="0"/>
      </c:catAx>
      <c:valAx>
        <c:axId val="1154425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5Y</a:t>
            </a:r>
            <a:endParaRPr lang="ko-KR" altLang="ko-KR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'1-1)Swaption_Matrix_prev'!$G$18:$G$30</c:f>
              <c:numCache>
                <c:formatCode>General</c:formatCode>
                <c:ptCount val="13"/>
                <c:pt idx="0">
                  <c:v>84.875900000000001</c:v>
                </c:pt>
                <c:pt idx="1">
                  <c:v>83.688999999999993</c:v>
                </c:pt>
                <c:pt idx="2">
                  <c:v>89.338399999999993</c:v>
                </c:pt>
                <c:pt idx="3">
                  <c:v>73.244299999999996</c:v>
                </c:pt>
                <c:pt idx="4">
                  <c:v>80.0565</c:v>
                </c:pt>
                <c:pt idx="5">
                  <c:v>75.508899999999997</c:v>
                </c:pt>
                <c:pt idx="6">
                  <c:v>69.636600000000001</c:v>
                </c:pt>
                <c:pt idx="7">
                  <c:v>65.998199999999997</c:v>
                </c:pt>
                <c:pt idx="8">
                  <c:v>63.809100000000001</c:v>
                </c:pt>
                <c:pt idx="9">
                  <c:v>61.469099999999997</c:v>
                </c:pt>
                <c:pt idx="10">
                  <c:v>64.159000000000006</c:v>
                </c:pt>
                <c:pt idx="11">
                  <c:v>45.0854</c:v>
                </c:pt>
                <c:pt idx="12">
                  <c:v>44.198599999999999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D9-4DB7-B6B4-823A87A24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405896"/>
        <c:axId val="1168412784"/>
      </c:lineChart>
      <c:catAx>
        <c:axId val="116840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12784"/>
        <c:crosses val="autoZero"/>
        <c:auto val="1"/>
        <c:lblAlgn val="ctr"/>
        <c:lblOffset val="100"/>
        <c:noMultiLvlLbl val="0"/>
      </c:catAx>
      <c:valAx>
        <c:axId val="1168412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0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10Y</a:t>
            </a:r>
            <a:endParaRPr lang="ko-KR" altLang="ko-KR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'1-1)Swaption_Matrix_prev'!$B$18:$B$30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'1-1)Swaption_Matrix_prev'!$L$18:$L$30</c:f>
              <c:numCache>
                <c:formatCode>General</c:formatCode>
                <c:ptCount val="13"/>
                <c:pt idx="0">
                  <c:v>89.416300000000007</c:v>
                </c:pt>
                <c:pt idx="1">
                  <c:v>86.302199999999999</c:v>
                </c:pt>
                <c:pt idx="2">
                  <c:v>91.919499999999999</c:v>
                </c:pt>
                <c:pt idx="3">
                  <c:v>76.701499999999996</c:v>
                </c:pt>
                <c:pt idx="4">
                  <c:v>82.413799999999995</c:v>
                </c:pt>
                <c:pt idx="5">
                  <c:v>75.186300000000003</c:v>
                </c:pt>
                <c:pt idx="6">
                  <c:v>70.298900000000003</c:v>
                </c:pt>
                <c:pt idx="7">
                  <c:v>64.805700000000002</c:v>
                </c:pt>
                <c:pt idx="8">
                  <c:v>62.568800000000003</c:v>
                </c:pt>
                <c:pt idx="9">
                  <c:v>59.2029</c:v>
                </c:pt>
                <c:pt idx="10">
                  <c:v>52.506</c:v>
                </c:pt>
                <c:pt idx="11">
                  <c:v>42.598500000000001</c:v>
                </c:pt>
                <c:pt idx="12">
                  <c:v>41.856900000000003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2-41A3-9BBF-64CA42326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33296"/>
        <c:axId val="1154433624"/>
      </c:lineChart>
      <c:catAx>
        <c:axId val="115443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624"/>
        <c:crosses val="autoZero"/>
        <c:auto val="1"/>
        <c:lblAlgn val="ctr"/>
        <c:lblOffset val="100"/>
        <c:noMultiLvlLbl val="0"/>
      </c:catAx>
      <c:valAx>
        <c:axId val="1154433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'1-1)Swaption_Matrix_prev'!$Q$18:$Q$30</c:f>
              <c:numCache>
                <c:formatCode>General</c:formatCode>
                <c:ptCount val="13"/>
                <c:pt idx="0">
                  <c:v>40.46</c:v>
                </c:pt>
                <c:pt idx="1">
                  <c:v>36.457000000000001</c:v>
                </c:pt>
                <c:pt idx="2">
                  <c:v>32.659999999999997</c:v>
                </c:pt>
                <c:pt idx="3">
                  <c:v>29.614999999999998</c:v>
                </c:pt>
                <c:pt idx="4">
                  <c:v>28.28</c:v>
                </c:pt>
                <c:pt idx="5">
                  <c:v>25.116</c:v>
                </c:pt>
                <c:pt idx="6">
                  <c:v>24.167000000000002</c:v>
                </c:pt>
                <c:pt idx="7">
                  <c:v>23.3</c:v>
                </c:pt>
                <c:pt idx="8">
                  <c:v>22.913</c:v>
                </c:pt>
                <c:pt idx="9">
                  <c:v>21.14</c:v>
                </c:pt>
                <c:pt idx="10">
                  <c:v>19.78</c:v>
                </c:pt>
                <c:pt idx="11">
                  <c:v>26.957999999999998</c:v>
                </c:pt>
                <c:pt idx="12">
                  <c:v>48.411000000000001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2-4DC0-AD82-6B7A4A5D7FDD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'1-1)Swaption_Matrix_prev'!$Q$18:$Q$30</c:f>
              <c:numCache>
                <c:formatCode>General</c:formatCode>
                <c:ptCount val="13"/>
                <c:pt idx="0">
                  <c:v>40.46</c:v>
                </c:pt>
                <c:pt idx="1">
                  <c:v>36.457000000000001</c:v>
                </c:pt>
                <c:pt idx="2">
                  <c:v>32.659999999999997</c:v>
                </c:pt>
                <c:pt idx="3">
                  <c:v>29.614999999999998</c:v>
                </c:pt>
                <c:pt idx="4">
                  <c:v>28.28</c:v>
                </c:pt>
                <c:pt idx="5">
                  <c:v>25.116</c:v>
                </c:pt>
                <c:pt idx="6">
                  <c:v>24.167000000000002</c:v>
                </c:pt>
                <c:pt idx="7">
                  <c:v>23.3</c:v>
                </c:pt>
                <c:pt idx="8">
                  <c:v>22.913</c:v>
                </c:pt>
                <c:pt idx="9">
                  <c:v>21.14</c:v>
                </c:pt>
                <c:pt idx="10">
                  <c:v>19.78</c:v>
                </c:pt>
                <c:pt idx="11">
                  <c:v>26.957999999999998</c:v>
                </c:pt>
                <c:pt idx="12">
                  <c:v>48.411000000000001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32-4DC0-AD82-6B7A4A5D7FDD}"/>
            </c:ext>
          </c:extLst>
        </c:ser>
        <c:ser>
          <c:idx val="1"/>
          <c:order val="2"/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'1-1)Swaption_Matrix_prev'!$Q$18:$Q$30</c:f>
              <c:numCache>
                <c:formatCode>General</c:formatCode>
                <c:ptCount val="13"/>
                <c:pt idx="0">
                  <c:v>40.46</c:v>
                </c:pt>
                <c:pt idx="1">
                  <c:v>36.457000000000001</c:v>
                </c:pt>
                <c:pt idx="2">
                  <c:v>32.659999999999997</c:v>
                </c:pt>
                <c:pt idx="3">
                  <c:v>29.614999999999998</c:v>
                </c:pt>
                <c:pt idx="4">
                  <c:v>28.28</c:v>
                </c:pt>
                <c:pt idx="5">
                  <c:v>25.116</c:v>
                </c:pt>
                <c:pt idx="6">
                  <c:v>24.167000000000002</c:v>
                </c:pt>
                <c:pt idx="7">
                  <c:v>23.3</c:v>
                </c:pt>
                <c:pt idx="8">
                  <c:v>22.913</c:v>
                </c:pt>
                <c:pt idx="9">
                  <c:v>21.14</c:v>
                </c:pt>
                <c:pt idx="10">
                  <c:v>19.78</c:v>
                </c:pt>
                <c:pt idx="11">
                  <c:v>26.957999999999998</c:v>
                </c:pt>
                <c:pt idx="12">
                  <c:v>48.411000000000001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32-4DC0-AD82-6B7A4A5D7FDD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'1-1)Swaption_Matrix_prev'!$Q$18:$Q$30</c:f>
              <c:numCache>
                <c:formatCode>General</c:formatCode>
                <c:ptCount val="13"/>
                <c:pt idx="0">
                  <c:v>40.46</c:v>
                </c:pt>
                <c:pt idx="1">
                  <c:v>36.457000000000001</c:v>
                </c:pt>
                <c:pt idx="2">
                  <c:v>32.659999999999997</c:v>
                </c:pt>
                <c:pt idx="3">
                  <c:v>29.614999999999998</c:v>
                </c:pt>
                <c:pt idx="4">
                  <c:v>28.28</c:v>
                </c:pt>
                <c:pt idx="5">
                  <c:v>25.116</c:v>
                </c:pt>
                <c:pt idx="6">
                  <c:v>24.167000000000002</c:v>
                </c:pt>
                <c:pt idx="7">
                  <c:v>23.3</c:v>
                </c:pt>
                <c:pt idx="8">
                  <c:v>22.913</c:v>
                </c:pt>
                <c:pt idx="9">
                  <c:v>21.14</c:v>
                </c:pt>
                <c:pt idx="10">
                  <c:v>19.78</c:v>
                </c:pt>
                <c:pt idx="11">
                  <c:v>26.957999999999998</c:v>
                </c:pt>
                <c:pt idx="12">
                  <c:v>48.411000000000001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32-4DC0-AD82-6B7A4A5D7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3Y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'1-1)Swaption_Matrix_prev'!$S$18:$S$30</c:f>
              <c:numCache>
                <c:formatCode>General</c:formatCode>
                <c:ptCount val="13"/>
                <c:pt idx="0">
                  <c:v>32.24</c:v>
                </c:pt>
                <c:pt idx="1">
                  <c:v>32.232999999999997</c:v>
                </c:pt>
                <c:pt idx="2">
                  <c:v>29.645</c:v>
                </c:pt>
                <c:pt idx="3">
                  <c:v>27.64</c:v>
                </c:pt>
                <c:pt idx="4">
                  <c:v>26.088999999999999</c:v>
                </c:pt>
                <c:pt idx="5">
                  <c:v>25.286999999999999</c:v>
                </c:pt>
                <c:pt idx="6">
                  <c:v>24.963000000000001</c:v>
                </c:pt>
                <c:pt idx="7">
                  <c:v>23.94</c:v>
                </c:pt>
                <c:pt idx="8">
                  <c:v>23.988</c:v>
                </c:pt>
                <c:pt idx="9">
                  <c:v>23.36</c:v>
                </c:pt>
                <c:pt idx="10">
                  <c:v>23.52</c:v>
                </c:pt>
                <c:pt idx="11">
                  <c:v>36.524000000000001</c:v>
                </c:pt>
                <c:pt idx="12">
                  <c:v>44.478000000000002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1-4E63-9784-0212767D3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5Y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4-46A9-811B-3D6EBE1B842B}"/>
            </c:ext>
          </c:extLst>
        </c:ser>
        <c:ser>
          <c:idx val="5"/>
          <c:order val="1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34-46A9-811B-3D6EBE1B842B}"/>
            </c:ext>
          </c:extLst>
        </c:ser>
        <c:ser>
          <c:idx val="6"/>
          <c:order val="2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34-46A9-811B-3D6EBE1B842B}"/>
            </c:ext>
          </c:extLst>
        </c:ser>
        <c:ser>
          <c:idx val="7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34-46A9-811B-3D6EBE1B842B}"/>
            </c:ext>
          </c:extLst>
        </c:ser>
        <c:ser>
          <c:idx val="8"/>
          <c:order val="4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34-46A9-811B-3D6EBE1B842B}"/>
            </c:ext>
          </c:extLst>
        </c:ser>
        <c:ser>
          <c:idx val="9"/>
          <c:order val="5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34-46A9-811B-3D6EBE1B842B}"/>
            </c:ext>
          </c:extLst>
        </c:ser>
        <c:ser>
          <c:idx val="10"/>
          <c:order val="6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34-46A9-811B-3D6EBE1B842B}"/>
            </c:ext>
          </c:extLst>
        </c:ser>
        <c:ser>
          <c:idx val="11"/>
          <c:order val="7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34-46A9-811B-3D6EBE1B842B}"/>
            </c:ext>
          </c:extLst>
        </c:ser>
        <c:ser>
          <c:idx val="2"/>
          <c:order val="8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34-46A9-811B-3D6EBE1B842B}"/>
            </c:ext>
          </c:extLst>
        </c:ser>
        <c:ser>
          <c:idx val="3"/>
          <c:order val="9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34-46A9-811B-3D6EBE1B842B}"/>
            </c:ext>
          </c:extLst>
        </c:ser>
        <c:ser>
          <c:idx val="1"/>
          <c:order val="1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34-46A9-811B-3D6EBE1B842B}"/>
            </c:ext>
          </c:extLst>
        </c:ser>
        <c:ser>
          <c:idx val="0"/>
          <c:order val="11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'1-1)Swaption_Matrix_prev'!$U$18:$U$30</c:f>
              <c:numCache>
                <c:formatCode>General</c:formatCode>
                <c:ptCount val="13"/>
                <c:pt idx="0">
                  <c:v>35.42</c:v>
                </c:pt>
                <c:pt idx="1">
                  <c:v>32.018999999999998</c:v>
                </c:pt>
                <c:pt idx="2">
                  <c:v>29.349</c:v>
                </c:pt>
                <c:pt idx="3">
                  <c:v>27.044</c:v>
                </c:pt>
                <c:pt idx="4">
                  <c:v>26.21</c:v>
                </c:pt>
                <c:pt idx="5">
                  <c:v>24.841000000000001</c:v>
                </c:pt>
                <c:pt idx="6">
                  <c:v>24.155999999999999</c:v>
                </c:pt>
                <c:pt idx="7">
                  <c:v>23.27</c:v>
                </c:pt>
                <c:pt idx="8">
                  <c:v>22.814</c:v>
                </c:pt>
                <c:pt idx="9">
                  <c:v>22.78</c:v>
                </c:pt>
                <c:pt idx="10">
                  <c:v>24.53</c:v>
                </c:pt>
                <c:pt idx="11">
                  <c:v>45.619</c:v>
                </c:pt>
                <c:pt idx="12">
                  <c:v>37.968000000000004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34-46A9-811B-3D6EBE1B8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4"/>
          <c:order val="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C-438C-A410-1B58C0F62312}"/>
            </c:ext>
          </c:extLst>
        </c:ser>
        <c:ser>
          <c:idx val="25"/>
          <c:order val="1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C-438C-A410-1B58C0F62312}"/>
            </c:ext>
          </c:extLst>
        </c:ser>
        <c:ser>
          <c:idx val="26"/>
          <c:order val="2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2C-438C-A410-1B58C0F62312}"/>
            </c:ext>
          </c:extLst>
        </c:ser>
        <c:ser>
          <c:idx val="27"/>
          <c:order val="3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2C-438C-A410-1B58C0F62312}"/>
            </c:ext>
          </c:extLst>
        </c:ser>
        <c:ser>
          <c:idx val="28"/>
          <c:order val="4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2C-438C-A410-1B58C0F62312}"/>
            </c:ext>
          </c:extLst>
        </c:ser>
        <c:ser>
          <c:idx val="29"/>
          <c:order val="5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2C-438C-A410-1B58C0F62312}"/>
            </c:ext>
          </c:extLst>
        </c:ser>
        <c:ser>
          <c:idx val="30"/>
          <c:order val="6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2C-438C-A410-1B58C0F62312}"/>
            </c:ext>
          </c:extLst>
        </c:ser>
        <c:ser>
          <c:idx val="31"/>
          <c:order val="7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2C-438C-A410-1B58C0F62312}"/>
            </c:ext>
          </c:extLst>
        </c:ser>
        <c:ser>
          <c:idx val="32"/>
          <c:order val="8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2C-438C-A410-1B58C0F62312}"/>
            </c:ext>
          </c:extLst>
        </c:ser>
        <c:ser>
          <c:idx val="33"/>
          <c:order val="9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2C-438C-A410-1B58C0F62312}"/>
            </c:ext>
          </c:extLst>
        </c:ser>
        <c:ser>
          <c:idx val="34"/>
          <c:order val="1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2C-438C-A410-1B58C0F62312}"/>
            </c:ext>
          </c:extLst>
        </c:ser>
        <c:ser>
          <c:idx val="35"/>
          <c:order val="11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2C-438C-A410-1B58C0F62312}"/>
            </c:ext>
          </c:extLst>
        </c:ser>
        <c:ser>
          <c:idx val="36"/>
          <c:order val="12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2C-438C-A410-1B58C0F62312}"/>
            </c:ext>
          </c:extLst>
        </c:ser>
        <c:ser>
          <c:idx val="37"/>
          <c:order val="13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2C-438C-A410-1B58C0F62312}"/>
            </c:ext>
          </c:extLst>
        </c:ser>
        <c:ser>
          <c:idx val="38"/>
          <c:order val="14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B2C-438C-A410-1B58C0F62312}"/>
            </c:ext>
          </c:extLst>
        </c:ser>
        <c:ser>
          <c:idx val="39"/>
          <c:order val="15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B2C-438C-A410-1B58C0F62312}"/>
            </c:ext>
          </c:extLst>
        </c:ser>
        <c:ser>
          <c:idx val="40"/>
          <c:order val="16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B2C-438C-A410-1B58C0F62312}"/>
            </c:ext>
          </c:extLst>
        </c:ser>
        <c:ser>
          <c:idx val="41"/>
          <c:order val="17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B2C-438C-A410-1B58C0F62312}"/>
            </c:ext>
          </c:extLst>
        </c:ser>
        <c:ser>
          <c:idx val="42"/>
          <c:order val="18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B2C-438C-A410-1B58C0F62312}"/>
            </c:ext>
          </c:extLst>
        </c:ser>
        <c:ser>
          <c:idx val="43"/>
          <c:order val="19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B2C-438C-A410-1B58C0F62312}"/>
            </c:ext>
          </c:extLst>
        </c:ser>
        <c:ser>
          <c:idx val="44"/>
          <c:order val="2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B2C-438C-A410-1B58C0F62312}"/>
            </c:ext>
          </c:extLst>
        </c:ser>
        <c:ser>
          <c:idx val="45"/>
          <c:order val="21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B2C-438C-A410-1B58C0F62312}"/>
            </c:ext>
          </c:extLst>
        </c:ser>
        <c:ser>
          <c:idx val="46"/>
          <c:order val="22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B2C-438C-A410-1B58C0F62312}"/>
            </c:ext>
          </c:extLst>
        </c:ser>
        <c:ser>
          <c:idx val="47"/>
          <c:order val="23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B2C-438C-A410-1B58C0F62312}"/>
            </c:ext>
          </c:extLst>
        </c:ser>
        <c:ser>
          <c:idx val="4"/>
          <c:order val="24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B2C-438C-A410-1B58C0F62312}"/>
            </c:ext>
          </c:extLst>
        </c:ser>
        <c:ser>
          <c:idx val="5"/>
          <c:order val="25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B2C-438C-A410-1B58C0F62312}"/>
            </c:ext>
          </c:extLst>
        </c:ser>
        <c:ser>
          <c:idx val="6"/>
          <c:order val="26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B2C-438C-A410-1B58C0F62312}"/>
            </c:ext>
          </c:extLst>
        </c:ser>
        <c:ser>
          <c:idx val="7"/>
          <c:order val="27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B2C-438C-A410-1B58C0F62312}"/>
            </c:ext>
          </c:extLst>
        </c:ser>
        <c:ser>
          <c:idx val="8"/>
          <c:order val="28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B2C-438C-A410-1B58C0F62312}"/>
            </c:ext>
          </c:extLst>
        </c:ser>
        <c:ser>
          <c:idx val="9"/>
          <c:order val="29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B2C-438C-A410-1B58C0F62312}"/>
            </c:ext>
          </c:extLst>
        </c:ser>
        <c:ser>
          <c:idx val="10"/>
          <c:order val="3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B2C-438C-A410-1B58C0F62312}"/>
            </c:ext>
          </c:extLst>
        </c:ser>
        <c:ser>
          <c:idx val="11"/>
          <c:order val="31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B2C-438C-A410-1B58C0F62312}"/>
            </c:ext>
          </c:extLst>
        </c:ser>
        <c:ser>
          <c:idx val="12"/>
          <c:order val="32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B2C-438C-A410-1B58C0F62312}"/>
            </c:ext>
          </c:extLst>
        </c:ser>
        <c:ser>
          <c:idx val="13"/>
          <c:order val="33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B2C-438C-A410-1B58C0F62312}"/>
            </c:ext>
          </c:extLst>
        </c:ser>
        <c:ser>
          <c:idx val="14"/>
          <c:order val="34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B2C-438C-A410-1B58C0F62312}"/>
            </c:ext>
          </c:extLst>
        </c:ser>
        <c:ser>
          <c:idx val="15"/>
          <c:order val="35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B2C-438C-A410-1B58C0F62312}"/>
            </c:ext>
          </c:extLst>
        </c:ser>
        <c:ser>
          <c:idx val="16"/>
          <c:order val="36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B2C-438C-A410-1B58C0F62312}"/>
            </c:ext>
          </c:extLst>
        </c:ser>
        <c:ser>
          <c:idx val="17"/>
          <c:order val="37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B2C-438C-A410-1B58C0F62312}"/>
            </c:ext>
          </c:extLst>
        </c:ser>
        <c:ser>
          <c:idx val="18"/>
          <c:order val="38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B2C-438C-A410-1B58C0F62312}"/>
            </c:ext>
          </c:extLst>
        </c:ser>
        <c:ser>
          <c:idx val="19"/>
          <c:order val="39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B2C-438C-A410-1B58C0F62312}"/>
            </c:ext>
          </c:extLst>
        </c:ser>
        <c:ser>
          <c:idx val="20"/>
          <c:order val="40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B2C-438C-A410-1B58C0F62312}"/>
            </c:ext>
          </c:extLst>
        </c:ser>
        <c:ser>
          <c:idx val="21"/>
          <c:order val="41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B2C-438C-A410-1B58C0F62312}"/>
            </c:ext>
          </c:extLst>
        </c:ser>
        <c:ser>
          <c:idx val="22"/>
          <c:order val="42"/>
          <c:spPr>
            <a:ln w="25400"/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'1-1)Swaption_Matrix_prev'!$Z$18:$Z$30</c:f>
              <c:numCache>
                <c:formatCode>General</c:formatCode>
                <c:ptCount val="13"/>
                <c:pt idx="0">
                  <c:v>34.25</c:v>
                </c:pt>
                <c:pt idx="1">
                  <c:v>33.991</c:v>
                </c:pt>
                <c:pt idx="2">
                  <c:v>31.364999999999998</c:v>
                </c:pt>
                <c:pt idx="3">
                  <c:v>29.576000000000001</c:v>
                </c:pt>
                <c:pt idx="4">
                  <c:v>28.184000000000001</c:v>
                </c:pt>
                <c:pt idx="5">
                  <c:v>26.285</c:v>
                </c:pt>
                <c:pt idx="6">
                  <c:v>25.3</c:v>
                </c:pt>
                <c:pt idx="7">
                  <c:v>23.88</c:v>
                </c:pt>
                <c:pt idx="8">
                  <c:v>23.553000000000001</c:v>
                </c:pt>
                <c:pt idx="9">
                  <c:v>24.81</c:v>
                </c:pt>
                <c:pt idx="10">
                  <c:v>29.97</c:v>
                </c:pt>
                <c:pt idx="11">
                  <c:v>40.531999999999996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B2C-438C-A410-1B58C0F62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20Y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2"/>
          <c:order val="0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'1-1)Swaption_Matrix_prev'!$P$18:$P$30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'1-1)Swaption_Matrix_prev'!$AB$18:$AB$30</c:f>
              <c:numCache>
                <c:formatCode>General</c:formatCode>
                <c:ptCount val="13"/>
                <c:pt idx="0">
                  <c:v>43.384999999999998</c:v>
                </c:pt>
                <c:pt idx="1">
                  <c:v>43.247</c:v>
                </c:pt>
                <c:pt idx="2">
                  <c:v>41.055</c:v>
                </c:pt>
                <c:pt idx="3">
                  <c:v>38.908000000000001</c:v>
                </c:pt>
                <c:pt idx="4">
                  <c:v>36.445</c:v>
                </c:pt>
                <c:pt idx="5">
                  <c:v>32.793999999999997</c:v>
                </c:pt>
                <c:pt idx="6">
                  <c:v>31.289000000000001</c:v>
                </c:pt>
                <c:pt idx="7">
                  <c:v>29.44</c:v>
                </c:pt>
                <c:pt idx="8">
                  <c:v>27.919</c:v>
                </c:pt>
                <c:pt idx="9">
                  <c:v>27.81</c:v>
                </c:pt>
                <c:pt idx="10">
                  <c:v>27.1</c:v>
                </c:pt>
                <c:pt idx="11">
                  <c:v>24.504000000000001</c:v>
                </c:pt>
                <c:pt idx="12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E-4576-A27A-6F6CA1164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KRW/IRS Swaption ATM Normal Volatility Surface (BBIR)</a:t>
            </a:r>
            <a:endParaRPr lang="ko-K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20867138447712E-2"/>
          <c:y val="0.10957762157162758"/>
          <c:w val="0.88472701192778791"/>
          <c:h val="0.80455031441544533"/>
        </c:manualLayout>
      </c:layout>
      <c:surface3DChart>
        <c:wireframe val="0"/>
        <c:ser>
          <c:idx val="0"/>
          <c:order val="0"/>
          <c:tx>
            <c:strRef>
              <c:f>'1-1)Swaption_Matrix_Full_Normal'!$C$25</c:f>
              <c:strCache>
                <c:ptCount val="1"/>
                <c:pt idx="0">
                  <c:v>1Y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'1-1)Swaption_Matrix_Full_Normal'!$C$26:$C$38</c:f>
              <c:numCache>
                <c:formatCode>General</c:formatCode>
                <c:ptCount val="13"/>
                <c:pt idx="0">
                  <c:v>70.254999999999995</c:v>
                </c:pt>
                <c:pt idx="1">
                  <c:v>73.815299999999993</c:v>
                </c:pt>
                <c:pt idx="2">
                  <c:v>77.203299999999999</c:v>
                </c:pt>
                <c:pt idx="3">
                  <c:v>72.522000000000006</c:v>
                </c:pt>
                <c:pt idx="4">
                  <c:v>73.252200000000002</c:v>
                </c:pt>
                <c:pt idx="5">
                  <c:v>72.978700000000003</c:v>
                </c:pt>
                <c:pt idx="6">
                  <c:v>70.597300000000004</c:v>
                </c:pt>
                <c:pt idx="7">
                  <c:v>68.210400000000007</c:v>
                </c:pt>
                <c:pt idx="8">
                  <c:v>63.6327</c:v>
                </c:pt>
                <c:pt idx="9">
                  <c:v>58.706400000000002</c:v>
                </c:pt>
                <c:pt idx="10">
                  <c:v>54.596400000000003</c:v>
                </c:pt>
                <c:pt idx="11">
                  <c:v>54.0229</c:v>
                </c:pt>
                <c:pt idx="12">
                  <c:v>53.161799999999999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C-46C0-859A-B7977474F2D1}"/>
            </c:ext>
          </c:extLst>
        </c:ser>
        <c:ser>
          <c:idx val="1"/>
          <c:order val="1"/>
          <c:tx>
            <c:strRef>
              <c:f>'1-1)Swaption_Matrix_Full_Normal'!$D$25</c:f>
              <c:strCache>
                <c:ptCount val="1"/>
                <c:pt idx="0">
                  <c:v>2Y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'1-1)Swaption_Matrix_Full_Normal'!$D$26:$D$38</c:f>
              <c:numCache>
                <c:formatCode>General</c:formatCode>
                <c:ptCount val="13"/>
                <c:pt idx="0">
                  <c:v>71.883499999999998</c:v>
                </c:pt>
                <c:pt idx="1">
                  <c:v>75.449600000000004</c:v>
                </c:pt>
                <c:pt idx="2">
                  <c:v>78.785200000000003</c:v>
                </c:pt>
                <c:pt idx="3">
                  <c:v>73.650999999999996</c:v>
                </c:pt>
                <c:pt idx="4">
                  <c:v>71.497600000000006</c:v>
                </c:pt>
                <c:pt idx="5">
                  <c:v>73.424599999999998</c:v>
                </c:pt>
                <c:pt idx="6">
                  <c:v>70.309399999999997</c:v>
                </c:pt>
                <c:pt idx="7">
                  <c:v>67.250200000000007</c:v>
                </c:pt>
                <c:pt idx="8">
                  <c:v>62.695099999999996</c:v>
                </c:pt>
                <c:pt idx="9">
                  <c:v>57.026499999999999</c:v>
                </c:pt>
                <c:pt idx="10">
                  <c:v>54.293900000000001</c:v>
                </c:pt>
                <c:pt idx="11">
                  <c:v>52.8765</c:v>
                </c:pt>
                <c:pt idx="12">
                  <c:v>51.4574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7C-46C0-859A-B7977474F2D1}"/>
            </c:ext>
          </c:extLst>
        </c:ser>
        <c:ser>
          <c:idx val="2"/>
          <c:order val="2"/>
          <c:tx>
            <c:strRef>
              <c:f>'1-1)Swaption_Matrix_Full_Normal'!$E$25</c:f>
              <c:strCache>
                <c:ptCount val="1"/>
                <c:pt idx="0">
                  <c:v>3Y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'1-1)Swaption_Matrix_Full_Normal'!$E$26:$E$38</c:f>
              <c:numCache>
                <c:formatCode>General</c:formatCode>
                <c:ptCount val="13"/>
                <c:pt idx="0">
                  <c:v>73.752899999999997</c:v>
                </c:pt>
                <c:pt idx="1">
                  <c:v>73.326499999999996</c:v>
                </c:pt>
                <c:pt idx="2">
                  <c:v>72.917100000000005</c:v>
                </c:pt>
                <c:pt idx="3">
                  <c:v>74.880700000000004</c:v>
                </c:pt>
                <c:pt idx="4">
                  <c:v>70.9756</c:v>
                </c:pt>
                <c:pt idx="5">
                  <c:v>72.263199999999998</c:v>
                </c:pt>
                <c:pt idx="6">
                  <c:v>68.591899999999995</c:v>
                </c:pt>
                <c:pt idx="7">
                  <c:v>65.0261</c:v>
                </c:pt>
                <c:pt idx="8">
                  <c:v>61.063899999999997</c:v>
                </c:pt>
                <c:pt idx="9">
                  <c:v>56.758699999999997</c:v>
                </c:pt>
                <c:pt idx="10">
                  <c:v>55.0548</c:v>
                </c:pt>
                <c:pt idx="11">
                  <c:v>53.960799999999999</c:v>
                </c:pt>
                <c:pt idx="12">
                  <c:v>52.871000000000002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7C-46C0-859A-B7977474F2D1}"/>
            </c:ext>
          </c:extLst>
        </c:ser>
        <c:ser>
          <c:idx val="3"/>
          <c:order val="3"/>
          <c:tx>
            <c:strRef>
              <c:f>'1-1)Swaption_Matrix_Full_Normal'!$F$25</c:f>
              <c:strCache>
                <c:ptCount val="1"/>
                <c:pt idx="0">
                  <c:v>4Y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'1-1)Swaption_Matrix_Full_Normal'!$F$26:$F$38</c:f>
              <c:numCache>
                <c:formatCode>General</c:formatCode>
                <c:ptCount val="13"/>
                <c:pt idx="0">
                  <c:v>75.563500000000005</c:v>
                </c:pt>
                <c:pt idx="1">
                  <c:v>74.860399999999998</c:v>
                </c:pt>
                <c:pt idx="2">
                  <c:v>74.206900000000005</c:v>
                </c:pt>
                <c:pt idx="3">
                  <c:v>72.231999999999999</c:v>
                </c:pt>
                <c:pt idx="4">
                  <c:v>70.448899999999995</c:v>
                </c:pt>
                <c:pt idx="5">
                  <c:v>66.380499999999998</c:v>
                </c:pt>
                <c:pt idx="6">
                  <c:v>63.365499999999997</c:v>
                </c:pt>
                <c:pt idx="7">
                  <c:v>60.438400000000001</c:v>
                </c:pt>
                <c:pt idx="8">
                  <c:v>59.383600000000001</c:v>
                </c:pt>
                <c:pt idx="9">
                  <c:v>54.657499999999999</c:v>
                </c:pt>
                <c:pt idx="10">
                  <c:v>52.064999999999998</c:v>
                </c:pt>
                <c:pt idx="11">
                  <c:v>50.238599999999998</c:v>
                </c:pt>
                <c:pt idx="12">
                  <c:v>48.743099999999998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7C-46C0-859A-B7977474F2D1}"/>
            </c:ext>
          </c:extLst>
        </c:ser>
        <c:ser>
          <c:idx val="4"/>
          <c:order val="4"/>
          <c:tx>
            <c:strRef>
              <c:f>'1-1)Swaption_Matrix_Full_Normal'!$G$25</c:f>
              <c:strCache>
                <c:ptCount val="1"/>
                <c:pt idx="0">
                  <c:v>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'1-1)Swaption_Matrix_Full_Normal'!$G$26:$G$38</c:f>
              <c:numCache>
                <c:formatCode>General</c:formatCode>
                <c:ptCount val="13"/>
                <c:pt idx="0">
                  <c:v>77.342200000000005</c:v>
                </c:pt>
                <c:pt idx="1">
                  <c:v>76.365499999999997</c:v>
                </c:pt>
                <c:pt idx="2">
                  <c:v>75.466099999999997</c:v>
                </c:pt>
                <c:pt idx="3">
                  <c:v>72.648899999999998</c:v>
                </c:pt>
                <c:pt idx="4">
                  <c:v>69.862399999999994</c:v>
                </c:pt>
                <c:pt idx="5">
                  <c:v>65.634500000000003</c:v>
                </c:pt>
                <c:pt idx="6">
                  <c:v>64.006500000000003</c:v>
                </c:pt>
                <c:pt idx="7">
                  <c:v>62.411299999999997</c:v>
                </c:pt>
                <c:pt idx="8">
                  <c:v>56.052399999999999</c:v>
                </c:pt>
                <c:pt idx="9">
                  <c:v>53.3827</c:v>
                </c:pt>
                <c:pt idx="10">
                  <c:v>51.728400000000001</c:v>
                </c:pt>
                <c:pt idx="11">
                  <c:v>50.863100000000003</c:v>
                </c:pt>
                <c:pt idx="12">
                  <c:v>49.980200000000004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7C-46C0-859A-B7977474F2D1}"/>
            </c:ext>
          </c:extLst>
        </c:ser>
        <c:ser>
          <c:idx val="5"/>
          <c:order val="5"/>
          <c:tx>
            <c:strRef>
              <c:f>'1-1)Swaption_Matrix_Full_Normal'!$H$25</c:f>
              <c:strCache>
                <c:ptCount val="1"/>
                <c:pt idx="0">
                  <c:v>6Y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'1-1)Swaption_Matrix_Full_Normal'!$H$26:$H$38</c:f>
              <c:numCache>
                <c:formatCode>General</c:formatCode>
                <c:ptCount val="13"/>
                <c:pt idx="0">
                  <c:v>78.192499999999995</c:v>
                </c:pt>
                <c:pt idx="1">
                  <c:v>77.034099999999995</c:v>
                </c:pt>
                <c:pt idx="2">
                  <c:v>75.971699999999998</c:v>
                </c:pt>
                <c:pt idx="3">
                  <c:v>73.349999999999994</c:v>
                </c:pt>
                <c:pt idx="4">
                  <c:v>70.629300000000001</c:v>
                </c:pt>
                <c:pt idx="5">
                  <c:v>66.7239</c:v>
                </c:pt>
                <c:pt idx="6">
                  <c:v>63.754800000000003</c:v>
                </c:pt>
                <c:pt idx="7">
                  <c:v>60.862900000000003</c:v>
                </c:pt>
                <c:pt idx="8">
                  <c:v>55.9756</c:v>
                </c:pt>
                <c:pt idx="9">
                  <c:v>53.278799999999997</c:v>
                </c:pt>
                <c:pt idx="10">
                  <c:v>51.877099999999999</c:v>
                </c:pt>
                <c:pt idx="11">
                  <c:v>51.261699999999998</c:v>
                </c:pt>
                <c:pt idx="12">
                  <c:v>49.864800000000002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7C-46C0-859A-B7977474F2D1}"/>
            </c:ext>
          </c:extLst>
        </c:ser>
        <c:ser>
          <c:idx val="6"/>
          <c:order val="6"/>
          <c:tx>
            <c:strRef>
              <c:f>'1-1)Swaption_Matrix_Full_Normal'!$I$25</c:f>
              <c:strCache>
                <c:ptCount val="1"/>
                <c:pt idx="0">
                  <c:v>7Y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'1-1)Swaption_Matrix_Full_Normal'!$I$26:$I$38</c:f>
              <c:numCache>
                <c:formatCode>General</c:formatCode>
                <c:ptCount val="13"/>
                <c:pt idx="0">
                  <c:v>79.043599999999998</c:v>
                </c:pt>
                <c:pt idx="1">
                  <c:v>77.711500000000001</c:v>
                </c:pt>
                <c:pt idx="2">
                  <c:v>76.493200000000002</c:v>
                </c:pt>
                <c:pt idx="3">
                  <c:v>74.072400000000002</c:v>
                </c:pt>
                <c:pt idx="4">
                  <c:v>71.414500000000004</c:v>
                </c:pt>
                <c:pt idx="5">
                  <c:v>67.823599999999999</c:v>
                </c:pt>
                <c:pt idx="6">
                  <c:v>63.546799999999998</c:v>
                </c:pt>
                <c:pt idx="7">
                  <c:v>59.378700000000002</c:v>
                </c:pt>
                <c:pt idx="8">
                  <c:v>55.929099999999998</c:v>
                </c:pt>
                <c:pt idx="9">
                  <c:v>53.377899999999997</c:v>
                </c:pt>
                <c:pt idx="10">
                  <c:v>51.955100000000002</c:v>
                </c:pt>
                <c:pt idx="11">
                  <c:v>50.9358</c:v>
                </c:pt>
                <c:pt idx="12">
                  <c:v>49.903700000000001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7C-46C0-859A-B7977474F2D1}"/>
            </c:ext>
          </c:extLst>
        </c:ser>
        <c:ser>
          <c:idx val="7"/>
          <c:order val="7"/>
          <c:tx>
            <c:strRef>
              <c:f>'1-1)Swaption_Matrix_Full_Normal'!$J$25</c:f>
              <c:strCache>
                <c:ptCount val="1"/>
                <c:pt idx="0">
                  <c:v>8Y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'1-1)Swaption_Matrix_Full_Normal'!$J$26:$J$38</c:f>
              <c:numCache>
                <c:formatCode>General</c:formatCode>
                <c:ptCount val="13"/>
                <c:pt idx="0">
                  <c:v>79.859200000000001</c:v>
                </c:pt>
                <c:pt idx="1">
                  <c:v>78.325800000000001</c:v>
                </c:pt>
                <c:pt idx="2">
                  <c:v>76.925299999999993</c:v>
                </c:pt>
                <c:pt idx="3">
                  <c:v>74.749700000000004</c:v>
                </c:pt>
                <c:pt idx="4">
                  <c:v>71.995599999999996</c:v>
                </c:pt>
                <c:pt idx="5">
                  <c:v>68.018199999999993</c:v>
                </c:pt>
                <c:pt idx="6">
                  <c:v>63.828400000000002</c:v>
                </c:pt>
                <c:pt idx="7">
                  <c:v>59.742100000000001</c:v>
                </c:pt>
                <c:pt idx="8">
                  <c:v>56.197899999999997</c:v>
                </c:pt>
                <c:pt idx="9">
                  <c:v>53.797600000000003</c:v>
                </c:pt>
                <c:pt idx="10">
                  <c:v>51.979300000000002</c:v>
                </c:pt>
                <c:pt idx="11">
                  <c:v>51.382300000000001</c:v>
                </c:pt>
                <c:pt idx="12">
                  <c:v>50.7605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7C-46C0-859A-B7977474F2D1}"/>
            </c:ext>
          </c:extLst>
        </c:ser>
        <c:ser>
          <c:idx val="8"/>
          <c:order val="8"/>
          <c:tx>
            <c:strRef>
              <c:f>'1-1)Swaption_Matrix_Full_Normal'!$K$25</c:f>
              <c:strCache>
                <c:ptCount val="1"/>
                <c:pt idx="0">
                  <c:v>9Y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'1-1)Swaption_Matrix_Full_Normal'!$K$26:$K$38</c:f>
              <c:numCache>
                <c:formatCode>General</c:formatCode>
                <c:ptCount val="13"/>
                <c:pt idx="0">
                  <c:v>80.680999999999997</c:v>
                </c:pt>
                <c:pt idx="1">
                  <c:v>78.952100000000002</c:v>
                </c:pt>
                <c:pt idx="2">
                  <c:v>77.375200000000007</c:v>
                </c:pt>
                <c:pt idx="3">
                  <c:v>75.453500000000005</c:v>
                </c:pt>
                <c:pt idx="4">
                  <c:v>72.608199999999997</c:v>
                </c:pt>
                <c:pt idx="5">
                  <c:v>68.248999999999995</c:v>
                </c:pt>
                <c:pt idx="6">
                  <c:v>64.228700000000003</c:v>
                </c:pt>
                <c:pt idx="7">
                  <c:v>60.292400000000001</c:v>
                </c:pt>
                <c:pt idx="8">
                  <c:v>56.431600000000003</c:v>
                </c:pt>
                <c:pt idx="9">
                  <c:v>53.648200000000003</c:v>
                </c:pt>
                <c:pt idx="10">
                  <c:v>52.091299999999997</c:v>
                </c:pt>
                <c:pt idx="11">
                  <c:v>51.895000000000003</c:v>
                </c:pt>
                <c:pt idx="12">
                  <c:v>50.780200000000001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7C-46C0-859A-B7977474F2D1}"/>
            </c:ext>
          </c:extLst>
        </c:ser>
        <c:ser>
          <c:idx val="9"/>
          <c:order val="9"/>
          <c:tx>
            <c:strRef>
              <c:f>'1-1)Swaption_Matrix_Full_Normal'!$L$25</c:f>
              <c:strCache>
                <c:ptCount val="1"/>
                <c:pt idx="0">
                  <c:v>10Y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'1-1)Swaption_Matrix_Full_Normal'!$L$26:$L$38</c:f>
              <c:numCache>
                <c:formatCode>General</c:formatCode>
                <c:ptCount val="13"/>
                <c:pt idx="0">
                  <c:v>81.5261</c:v>
                </c:pt>
                <c:pt idx="1">
                  <c:v>79.622799999999998</c:v>
                </c:pt>
                <c:pt idx="2">
                  <c:v>77.887900000000002</c:v>
                </c:pt>
                <c:pt idx="3">
                  <c:v>76.272599999999997</c:v>
                </c:pt>
                <c:pt idx="4">
                  <c:v>73.381500000000003</c:v>
                </c:pt>
                <c:pt idx="5">
                  <c:v>68.67</c:v>
                </c:pt>
                <c:pt idx="6">
                  <c:v>64.703900000000004</c:v>
                </c:pt>
                <c:pt idx="7">
                  <c:v>60.820099999999996</c:v>
                </c:pt>
                <c:pt idx="8">
                  <c:v>56.148200000000003</c:v>
                </c:pt>
                <c:pt idx="9">
                  <c:v>53.5779</c:v>
                </c:pt>
                <c:pt idx="10">
                  <c:v>52.270899999999997</c:v>
                </c:pt>
                <c:pt idx="11">
                  <c:v>51.6708</c:v>
                </c:pt>
                <c:pt idx="12">
                  <c:v>50.923000000000002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7C-46C0-859A-B7977474F2D1}"/>
            </c:ext>
          </c:extLst>
        </c:ser>
        <c:ser>
          <c:idx val="10"/>
          <c:order val="10"/>
          <c:tx>
            <c:strRef>
              <c:f>'1-1)Swaption_Matrix_Full_Normal'!$M$25</c:f>
              <c:strCache>
                <c:ptCount val="1"/>
                <c:pt idx="0">
                  <c:v>15Y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'1-1)Swaption_Matrix_Full_Normal'!$M$26:$M$38</c:f>
              <c:numCache>
                <c:formatCode>General</c:formatCode>
                <c:ptCount val="13"/>
                <c:pt idx="0">
                  <c:v>81.945800000000006</c:v>
                </c:pt>
                <c:pt idx="1">
                  <c:v>80.851500000000001</c:v>
                </c:pt>
                <c:pt idx="2">
                  <c:v>79.861400000000003</c:v>
                </c:pt>
                <c:pt idx="3">
                  <c:v>78.961799999999997</c:v>
                </c:pt>
                <c:pt idx="4">
                  <c:v>75.690899999999999</c:v>
                </c:pt>
                <c:pt idx="5">
                  <c:v>70.205200000000005</c:v>
                </c:pt>
                <c:pt idx="6">
                  <c:v>66.507000000000005</c:v>
                </c:pt>
                <c:pt idx="7">
                  <c:v>62.947099999999999</c:v>
                </c:pt>
                <c:pt idx="8">
                  <c:v>58.699100000000001</c:v>
                </c:pt>
                <c:pt idx="9">
                  <c:v>54.608199999999997</c:v>
                </c:pt>
                <c:pt idx="10">
                  <c:v>52.700400000000002</c:v>
                </c:pt>
                <c:pt idx="11">
                  <c:v>51.8827</c:v>
                </c:pt>
                <c:pt idx="12">
                  <c:v>50.993200000000002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7C-46C0-859A-B7977474F2D1}"/>
            </c:ext>
          </c:extLst>
        </c:ser>
        <c:ser>
          <c:idx val="11"/>
          <c:order val="11"/>
          <c:tx>
            <c:strRef>
              <c:f>'1-1)Swaption_Matrix_Full_Normal'!$N$25</c:f>
              <c:strCache>
                <c:ptCount val="1"/>
                <c:pt idx="0">
                  <c:v>20Y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'1-1)Swaption_Matrix_Full_Normal'!$A$26:$B$38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'1-1)Swaption_Matrix_Full_Normal'!$N$26:$N$38</c:f>
              <c:numCache>
                <c:formatCode>General</c:formatCode>
                <c:ptCount val="13"/>
                <c:pt idx="0">
                  <c:v>82.404499999999999</c:v>
                </c:pt>
                <c:pt idx="1">
                  <c:v>82.228700000000003</c:v>
                </c:pt>
                <c:pt idx="2">
                  <c:v>82.069299999999998</c:v>
                </c:pt>
                <c:pt idx="3">
                  <c:v>80.398099999999999</c:v>
                </c:pt>
                <c:pt idx="4">
                  <c:v>78.721699999999998</c:v>
                </c:pt>
                <c:pt idx="5">
                  <c:v>76.730699999999999</c:v>
                </c:pt>
                <c:pt idx="6">
                  <c:v>67.8553</c:v>
                </c:pt>
                <c:pt idx="7">
                  <c:v>59.326500000000003</c:v>
                </c:pt>
                <c:pt idx="8">
                  <c:v>54.7864</c:v>
                </c:pt>
                <c:pt idx="9">
                  <c:v>51.7547</c:v>
                </c:pt>
                <c:pt idx="10">
                  <c:v>50.142499999999998</c:v>
                </c:pt>
                <c:pt idx="11">
                  <c:v>49.097000000000001</c:v>
                </c:pt>
                <c:pt idx="12">
                  <c:v>48.031999999999996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7C-46C0-859A-B7977474F2D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86366424"/>
        <c:axId val="1286386432"/>
        <c:axId val="1277702936"/>
      </c:surface3DChart>
      <c:catAx>
        <c:axId val="128636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  <c:auto val="1"/>
        <c:lblAlgn val="ctr"/>
        <c:lblOffset val="100"/>
        <c:noMultiLvlLbl val="0"/>
      </c:catAx>
      <c:valAx>
        <c:axId val="12863864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66424"/>
        <c:crosses val="autoZero"/>
        <c:crossBetween val="midCat"/>
      </c:valAx>
      <c:serAx>
        <c:axId val="1277702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1"/>
              <a:t>Diagonal</a:t>
            </a:r>
            <a:r>
              <a:rPr lang="en-US" altLang="ko-KR" sz="1800" b="1" baseline="0"/>
              <a:t> Matrix Value of Volatility</a:t>
            </a:r>
            <a:endParaRPr lang="ko-KR" altLang="en-US" sz="18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458981906964685"/>
          <c:y val="0.13767685635711546"/>
          <c:w val="0.77082036186070624"/>
          <c:h val="0.70973731947780905"/>
        </c:manualLayout>
      </c:layout>
      <c:lineChart>
        <c:grouping val="standard"/>
        <c:varyColors val="0"/>
        <c:ser>
          <c:idx val="0"/>
          <c:order val="0"/>
          <c:tx>
            <c:strRef>
              <c:f>'1-1)Swaption_Matrix_Full_Normal'!$B$40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'1-1)Swaption_Matrix_Full_Normal'!$A$41:$A$49</c:f>
              <c:strCache>
                <c:ptCount val="9"/>
                <c:pt idx="0">
                  <c:v>20Y1Y</c:v>
                </c:pt>
                <c:pt idx="1">
                  <c:v>15Y2Y</c:v>
                </c:pt>
                <c:pt idx="2">
                  <c:v>10Y3Y</c:v>
                </c:pt>
                <c:pt idx="3">
                  <c:v>7Y4Y</c:v>
                </c:pt>
                <c:pt idx="4">
                  <c:v>5Y5Y</c:v>
                </c:pt>
                <c:pt idx="5">
                  <c:v>4Y7Y</c:v>
                </c:pt>
                <c:pt idx="6">
                  <c:v>3Y10Y</c:v>
                </c:pt>
                <c:pt idx="7">
                  <c:v>2Y15Y</c:v>
                </c:pt>
                <c:pt idx="8">
                  <c:v>1Y20Y</c:v>
                </c:pt>
              </c:strCache>
            </c:strRef>
          </c:cat>
          <c:val>
            <c:numRef>
              <c:f>'1-1)Swaption_Matrix_Full_Normal'!$B$41:$B$49</c:f>
              <c:numCache>
                <c:formatCode>0.00</c:formatCode>
                <c:ptCount val="9"/>
                <c:pt idx="0">
                  <c:v>53.161799999999999</c:v>
                </c:pt>
                <c:pt idx="1">
                  <c:v>52.8765</c:v>
                </c:pt>
                <c:pt idx="2">
                  <c:v>55.0548</c:v>
                </c:pt>
                <c:pt idx="3">
                  <c:v>54.657499999999999</c:v>
                </c:pt>
                <c:pt idx="4">
                  <c:v>56.052399999999999</c:v>
                </c:pt>
                <c:pt idx="5">
                  <c:v>59.378700000000002</c:v>
                </c:pt>
                <c:pt idx="6">
                  <c:v>64.703900000000004</c:v>
                </c:pt>
                <c:pt idx="7">
                  <c:v>70.205200000000005</c:v>
                </c:pt>
                <c:pt idx="8">
                  <c:v>78.721699999999998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E3-431D-B374-4F6F12B64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580936"/>
        <c:axId val="1064581920"/>
      </c:lineChart>
      <c:lineChart>
        <c:grouping val="standard"/>
        <c:varyColors val="0"/>
        <c:ser>
          <c:idx val="1"/>
          <c:order val="1"/>
          <c:tx>
            <c:strRef>
              <c:f>'1-1)Swaption_Matrix_Full_Normal'!$C$40</c:f>
              <c:strCache>
                <c:ptCount val="1"/>
                <c:pt idx="0">
                  <c:v>Black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'1-1)Swaption_Matrix_Full_Normal'!$A$41:$A$49</c:f>
              <c:strCache>
                <c:ptCount val="9"/>
                <c:pt idx="0">
                  <c:v>20Y1Y</c:v>
                </c:pt>
                <c:pt idx="1">
                  <c:v>15Y2Y</c:v>
                </c:pt>
                <c:pt idx="2">
                  <c:v>10Y3Y</c:v>
                </c:pt>
                <c:pt idx="3">
                  <c:v>7Y4Y</c:v>
                </c:pt>
                <c:pt idx="4">
                  <c:v>5Y5Y</c:v>
                </c:pt>
                <c:pt idx="5">
                  <c:v>4Y7Y</c:v>
                </c:pt>
                <c:pt idx="6">
                  <c:v>3Y10Y</c:v>
                </c:pt>
                <c:pt idx="7">
                  <c:v>2Y15Y</c:v>
                </c:pt>
                <c:pt idx="8">
                  <c:v>1Y20Y</c:v>
                </c:pt>
              </c:strCache>
            </c:strRef>
          </c:cat>
          <c:val>
            <c:numRef>
              <c:f>'1-1)Swaption_Matrix_Full_Normal'!$C$41:$C$49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E3-431D-B374-4F6F12B64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4445760"/>
        <c:axId val="1154453632"/>
      </c:lineChart>
      <c:valAx>
        <c:axId val="1064581920"/>
        <c:scaling>
          <c:orientation val="minMax"/>
          <c:min val="3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4580936"/>
        <c:crosses val="max"/>
        <c:crossBetween val="between"/>
      </c:valAx>
      <c:catAx>
        <c:axId val="106458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4581920"/>
        <c:crosses val="autoZero"/>
        <c:auto val="1"/>
        <c:lblAlgn val="ctr"/>
        <c:lblOffset val="100"/>
        <c:noMultiLvlLbl val="0"/>
      </c:catAx>
      <c:valAx>
        <c:axId val="1154453632"/>
        <c:scaling>
          <c:orientation val="minMax"/>
          <c:min val="15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45760"/>
        <c:crosses val="autoZero"/>
        <c:crossBetween val="between"/>
      </c:valAx>
      <c:catAx>
        <c:axId val="115444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445363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</a:t>
            </a:r>
            <a:r>
              <a:rPr lang="en-US" altLang="ko-KR" sz="1800"/>
              <a:t>1Y</a:t>
            </a:r>
          </a:p>
        </c:rich>
      </c:tx>
      <c:layout>
        <c:manualLayout>
          <c:xMode val="edge"/>
          <c:yMode val="edge"/>
          <c:x val="0.2407171923393627"/>
          <c:y val="3.5170361631627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'1-1)Swaption_Matrix_Full_Normal'!$B$30</c:f>
              <c:strCache>
                <c:ptCount val="1"/>
                <c:pt idx="0">
                  <c:v>1Y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'1-1)Swaption_Matrix_Full_Normal'!$C$30:$N$30</c:f>
              <c:numCache>
                <c:formatCode>General</c:formatCode>
                <c:ptCount val="12"/>
                <c:pt idx="0">
                  <c:v>73.252200000000002</c:v>
                </c:pt>
                <c:pt idx="1">
                  <c:v>71.497600000000006</c:v>
                </c:pt>
                <c:pt idx="2">
                  <c:v>70.9756</c:v>
                </c:pt>
                <c:pt idx="3">
                  <c:v>70.448899999999995</c:v>
                </c:pt>
                <c:pt idx="4">
                  <c:v>69.862399999999994</c:v>
                </c:pt>
                <c:pt idx="5">
                  <c:v>70.629300000000001</c:v>
                </c:pt>
                <c:pt idx="6">
                  <c:v>71.414500000000004</c:v>
                </c:pt>
                <c:pt idx="7">
                  <c:v>71.995599999999996</c:v>
                </c:pt>
                <c:pt idx="8">
                  <c:v>72.608199999999997</c:v>
                </c:pt>
                <c:pt idx="9">
                  <c:v>73.381500000000003</c:v>
                </c:pt>
                <c:pt idx="10">
                  <c:v>75.690899999999999</c:v>
                </c:pt>
                <c:pt idx="11">
                  <c:v>78.721699999999998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4-4E78-9D5A-9BABF1219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84656"/>
        <c:axId val="1407784328"/>
      </c:lineChart>
      <c:catAx>
        <c:axId val="140778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328"/>
        <c:crosses val="autoZero"/>
        <c:auto val="1"/>
        <c:lblAlgn val="ctr"/>
        <c:lblOffset val="100"/>
        <c:noMultiLvlLbl val="0"/>
      </c:catAx>
      <c:valAx>
        <c:axId val="1407784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10Y</a:t>
            </a:r>
            <a:endParaRPr lang="ko-KR" alt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'1-1)Swaption_Matrix_Full_Normal'!$C$36:$N$36</c:f>
              <c:numCache>
                <c:formatCode>General</c:formatCode>
                <c:ptCount val="12"/>
                <c:pt idx="0">
                  <c:v>54.596400000000003</c:v>
                </c:pt>
                <c:pt idx="1">
                  <c:v>54.293900000000001</c:v>
                </c:pt>
                <c:pt idx="2">
                  <c:v>55.0548</c:v>
                </c:pt>
                <c:pt idx="3">
                  <c:v>52.064999999999998</c:v>
                </c:pt>
                <c:pt idx="4">
                  <c:v>51.728400000000001</c:v>
                </c:pt>
                <c:pt idx="5">
                  <c:v>51.877099999999999</c:v>
                </c:pt>
                <c:pt idx="6">
                  <c:v>51.955100000000002</c:v>
                </c:pt>
                <c:pt idx="7">
                  <c:v>51.979300000000002</c:v>
                </c:pt>
                <c:pt idx="8">
                  <c:v>52.091299999999997</c:v>
                </c:pt>
                <c:pt idx="9">
                  <c:v>52.270899999999997</c:v>
                </c:pt>
                <c:pt idx="10">
                  <c:v>52.700400000000002</c:v>
                </c:pt>
                <c:pt idx="11">
                  <c:v>50.142499999999998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7B-4296-AA90-27E8853B8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98760"/>
        <c:axId val="1407799744"/>
      </c:lineChart>
      <c:catAx>
        <c:axId val="1407798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9744"/>
        <c:crosses val="autoZero"/>
        <c:auto val="1"/>
        <c:lblAlgn val="ctr"/>
        <c:lblOffset val="100"/>
        <c:noMultiLvlLbl val="0"/>
      </c:catAx>
      <c:valAx>
        <c:axId val="1407799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20Y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4445307054340251"/>
          <c:y val="3.5623398963134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'1-1)Swaption_Matrix_Full_Normal'!$C$38:$N$38</c:f>
              <c:numCache>
                <c:formatCode>General</c:formatCode>
                <c:ptCount val="12"/>
                <c:pt idx="0">
                  <c:v>53.161799999999999</c:v>
                </c:pt>
                <c:pt idx="1">
                  <c:v>51.4574</c:v>
                </c:pt>
                <c:pt idx="2">
                  <c:v>52.871000000000002</c:v>
                </c:pt>
                <c:pt idx="3">
                  <c:v>48.743099999999998</c:v>
                </c:pt>
                <c:pt idx="4">
                  <c:v>49.980200000000004</c:v>
                </c:pt>
                <c:pt idx="5">
                  <c:v>49.864800000000002</c:v>
                </c:pt>
                <c:pt idx="6">
                  <c:v>49.903700000000001</c:v>
                </c:pt>
                <c:pt idx="7">
                  <c:v>50.7605</c:v>
                </c:pt>
                <c:pt idx="8">
                  <c:v>50.780200000000001</c:v>
                </c:pt>
                <c:pt idx="9">
                  <c:v>50.923000000000002</c:v>
                </c:pt>
                <c:pt idx="10">
                  <c:v>50.993200000000002</c:v>
                </c:pt>
                <c:pt idx="11">
                  <c:v>48.031999999999996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E-44E8-BEF4-5012AD333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8104"/>
        <c:axId val="1281310232"/>
      </c:lineChart>
      <c:catAx>
        <c:axId val="1281318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0232"/>
        <c:crosses val="autoZero"/>
        <c:auto val="1"/>
        <c:lblAlgn val="ctr"/>
        <c:lblOffset val="100"/>
        <c:noMultiLvlLbl val="0"/>
      </c:catAx>
      <c:valAx>
        <c:axId val="1281310232"/>
        <c:scaling>
          <c:orientation val="minMax"/>
          <c:max val="42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3Y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9512246896794486"/>
          <c:y val="4.49582189465262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'1-1)Swaption_Matrix_Full_Normal'!$C$32:$N$32</c:f>
              <c:numCache>
                <c:formatCode>General</c:formatCode>
                <c:ptCount val="12"/>
                <c:pt idx="0">
                  <c:v>70.597300000000004</c:v>
                </c:pt>
                <c:pt idx="1">
                  <c:v>70.309399999999997</c:v>
                </c:pt>
                <c:pt idx="2">
                  <c:v>68.591899999999995</c:v>
                </c:pt>
                <c:pt idx="3">
                  <c:v>63.365499999999997</c:v>
                </c:pt>
                <c:pt idx="4">
                  <c:v>64.006500000000003</c:v>
                </c:pt>
                <c:pt idx="5">
                  <c:v>63.754800000000003</c:v>
                </c:pt>
                <c:pt idx="6">
                  <c:v>63.546799999999998</c:v>
                </c:pt>
                <c:pt idx="7">
                  <c:v>63.828400000000002</c:v>
                </c:pt>
                <c:pt idx="8">
                  <c:v>64.228700000000003</c:v>
                </c:pt>
                <c:pt idx="9">
                  <c:v>64.703900000000004</c:v>
                </c:pt>
                <c:pt idx="10">
                  <c:v>66.507000000000005</c:v>
                </c:pt>
                <c:pt idx="11">
                  <c:v>67.8553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0-4FD4-AB3F-7156BBF2E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88840"/>
        <c:axId val="1203985560"/>
      </c:lineChart>
      <c:catAx>
        <c:axId val="120398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5560"/>
        <c:crosses val="autoZero"/>
        <c:auto val="1"/>
        <c:lblAlgn val="ctr"/>
        <c:lblOffset val="100"/>
        <c:noMultiLvlLbl val="0"/>
      </c:catAx>
      <c:valAx>
        <c:axId val="120398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1M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'1-1)Swaption_Matrix_Full_Normal'!$C$26:$N$26</c:f>
              <c:numCache>
                <c:formatCode>General</c:formatCode>
                <c:ptCount val="12"/>
                <c:pt idx="0">
                  <c:v>70.254999999999995</c:v>
                </c:pt>
                <c:pt idx="1">
                  <c:v>71.883499999999998</c:v>
                </c:pt>
                <c:pt idx="2">
                  <c:v>73.752899999999997</c:v>
                </c:pt>
                <c:pt idx="3">
                  <c:v>75.563500000000005</c:v>
                </c:pt>
                <c:pt idx="4">
                  <c:v>77.342200000000005</c:v>
                </c:pt>
                <c:pt idx="5">
                  <c:v>78.192499999999995</c:v>
                </c:pt>
                <c:pt idx="6">
                  <c:v>79.043599999999998</c:v>
                </c:pt>
                <c:pt idx="7">
                  <c:v>79.859200000000001</c:v>
                </c:pt>
                <c:pt idx="8">
                  <c:v>80.680999999999997</c:v>
                </c:pt>
                <c:pt idx="9">
                  <c:v>81.5261</c:v>
                </c:pt>
                <c:pt idx="10">
                  <c:v>81.945800000000006</c:v>
                </c:pt>
                <c:pt idx="11">
                  <c:v>82.404499999999999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9-4822-8525-A04D1C56A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006928"/>
        <c:axId val="954004304"/>
      </c:lineChart>
      <c:catAx>
        <c:axId val="95400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4304"/>
        <c:crosses val="autoZero"/>
        <c:auto val="1"/>
        <c:lblAlgn val="ctr"/>
        <c:lblOffset val="100"/>
        <c:noMultiLvlLbl val="0"/>
      </c:catAx>
      <c:valAx>
        <c:axId val="9540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Normal Vol,</a:t>
            </a:r>
            <a:r>
              <a:rPr lang="en-US" altLang="ko-KR" baseline="0"/>
              <a:t> </a:t>
            </a:r>
            <a:r>
              <a:rPr lang="en-US" altLang="ko-KR"/>
              <a:t>Tenor :</a:t>
            </a:r>
            <a:r>
              <a:rPr lang="en-US" altLang="ko-KR" baseline="0"/>
              <a:t> 1Y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759357476707852E-2"/>
          <c:y val="0.19693342038775319"/>
          <c:w val="0.86904795954683922"/>
          <c:h val="0.703846975039414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'1-1)Swaption_Matrix_Full_Normal'!$C$26:$C$38</c:f>
              <c:numCache>
                <c:formatCode>General</c:formatCode>
                <c:ptCount val="13"/>
                <c:pt idx="0">
                  <c:v>70.254999999999995</c:v>
                </c:pt>
                <c:pt idx="1">
                  <c:v>73.815299999999993</c:v>
                </c:pt>
                <c:pt idx="2">
                  <c:v>77.203299999999999</c:v>
                </c:pt>
                <c:pt idx="3">
                  <c:v>72.522000000000006</c:v>
                </c:pt>
                <c:pt idx="4">
                  <c:v>73.252200000000002</c:v>
                </c:pt>
                <c:pt idx="5">
                  <c:v>72.978700000000003</c:v>
                </c:pt>
                <c:pt idx="6">
                  <c:v>70.597300000000004</c:v>
                </c:pt>
                <c:pt idx="7">
                  <c:v>68.210400000000007</c:v>
                </c:pt>
                <c:pt idx="8">
                  <c:v>63.6327</c:v>
                </c:pt>
                <c:pt idx="9">
                  <c:v>58.706400000000002</c:v>
                </c:pt>
                <c:pt idx="10">
                  <c:v>54.596400000000003</c:v>
                </c:pt>
                <c:pt idx="11">
                  <c:v>54.0229</c:v>
                </c:pt>
                <c:pt idx="12">
                  <c:v>53.161799999999999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B-427B-8E10-FD133691E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1218400"/>
        <c:axId val="1221216760"/>
      </c:lineChart>
      <c:catAx>
        <c:axId val="12212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6760"/>
        <c:crosses val="autoZero"/>
        <c:auto val="1"/>
        <c:lblAlgn val="ctr"/>
        <c:lblOffset val="100"/>
        <c:noMultiLvlLbl val="0"/>
      </c:catAx>
      <c:valAx>
        <c:axId val="1221216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 : 3Y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7703706493241519E-2"/>
          <c:y val="0.16568612672443991"/>
          <c:w val="0.87518987462724152"/>
          <c:h val="0.723221680108649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'1-1)Swaption_Matrix_Full_Normal'!$E$26:$E$38</c:f>
              <c:numCache>
                <c:formatCode>General</c:formatCode>
                <c:ptCount val="13"/>
                <c:pt idx="0">
                  <c:v>73.752899999999997</c:v>
                </c:pt>
                <c:pt idx="1">
                  <c:v>73.326499999999996</c:v>
                </c:pt>
                <c:pt idx="2">
                  <c:v>72.917100000000005</c:v>
                </c:pt>
                <c:pt idx="3">
                  <c:v>74.880700000000004</c:v>
                </c:pt>
                <c:pt idx="4">
                  <c:v>70.9756</c:v>
                </c:pt>
                <c:pt idx="5">
                  <c:v>72.263199999999998</c:v>
                </c:pt>
                <c:pt idx="6">
                  <c:v>68.591899999999995</c:v>
                </c:pt>
                <c:pt idx="7">
                  <c:v>65.0261</c:v>
                </c:pt>
                <c:pt idx="8">
                  <c:v>61.063899999999997</c:v>
                </c:pt>
                <c:pt idx="9">
                  <c:v>56.758699999999997</c:v>
                </c:pt>
                <c:pt idx="10">
                  <c:v>55.0548</c:v>
                </c:pt>
                <c:pt idx="11">
                  <c:v>53.960799999999999</c:v>
                </c:pt>
                <c:pt idx="12">
                  <c:v>52.871000000000002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0-4DBA-B5A0-DB86307EC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422792"/>
        <c:axId val="1194422464"/>
      </c:lineChart>
      <c:catAx>
        <c:axId val="1194422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464"/>
        <c:crosses val="autoZero"/>
        <c:auto val="1"/>
        <c:lblAlgn val="ctr"/>
        <c:lblOffset val="100"/>
        <c:noMultiLvlLbl val="0"/>
      </c:catAx>
      <c:valAx>
        <c:axId val="1194422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</a:t>
            </a:r>
            <a:r>
              <a:rPr lang="en-US" altLang="ko-KR" baseline="0"/>
              <a:t> : 20Y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'1-1)Swaption_Matrix_Full_Normal'!$N$26:$N$38</c:f>
              <c:numCache>
                <c:formatCode>General</c:formatCode>
                <c:ptCount val="13"/>
                <c:pt idx="0">
                  <c:v>82.404499999999999</c:v>
                </c:pt>
                <c:pt idx="1">
                  <c:v>82.228700000000003</c:v>
                </c:pt>
                <c:pt idx="2">
                  <c:v>82.069299999999998</c:v>
                </c:pt>
                <c:pt idx="3">
                  <c:v>80.398099999999999</c:v>
                </c:pt>
                <c:pt idx="4">
                  <c:v>78.721699999999998</c:v>
                </c:pt>
                <c:pt idx="5">
                  <c:v>76.730699999999999</c:v>
                </c:pt>
                <c:pt idx="6">
                  <c:v>67.8553</c:v>
                </c:pt>
                <c:pt idx="7">
                  <c:v>59.326500000000003</c:v>
                </c:pt>
                <c:pt idx="8">
                  <c:v>54.7864</c:v>
                </c:pt>
                <c:pt idx="9">
                  <c:v>51.7547</c:v>
                </c:pt>
                <c:pt idx="10">
                  <c:v>50.142499999999998</c:v>
                </c:pt>
                <c:pt idx="11">
                  <c:v>49.097000000000001</c:v>
                </c:pt>
                <c:pt idx="12">
                  <c:v>48.031999999999996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3-4571-A28B-524389D7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25096"/>
        <c:axId val="1154425424"/>
      </c:lineChart>
      <c:catAx>
        <c:axId val="115442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424"/>
        <c:crosses val="autoZero"/>
        <c:auto val="1"/>
        <c:lblAlgn val="ctr"/>
        <c:lblOffset val="100"/>
        <c:noMultiLvlLbl val="0"/>
      </c:catAx>
      <c:valAx>
        <c:axId val="1154425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5Y</a:t>
            </a:r>
            <a:endParaRPr lang="ko-KR" altLang="ko-KR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'1-1)Swaption_Matrix_Full_Normal'!$G$26:$G$38</c:f>
              <c:numCache>
                <c:formatCode>General</c:formatCode>
                <c:ptCount val="13"/>
                <c:pt idx="0">
                  <c:v>77.342200000000005</c:v>
                </c:pt>
                <c:pt idx="1">
                  <c:v>76.365499999999997</c:v>
                </c:pt>
                <c:pt idx="2">
                  <c:v>75.466099999999997</c:v>
                </c:pt>
                <c:pt idx="3">
                  <c:v>72.648899999999998</c:v>
                </c:pt>
                <c:pt idx="4">
                  <c:v>69.862399999999994</c:v>
                </c:pt>
                <c:pt idx="5">
                  <c:v>65.634500000000003</c:v>
                </c:pt>
                <c:pt idx="6">
                  <c:v>64.006500000000003</c:v>
                </c:pt>
                <c:pt idx="7">
                  <c:v>62.411299999999997</c:v>
                </c:pt>
                <c:pt idx="8">
                  <c:v>56.052399999999999</c:v>
                </c:pt>
                <c:pt idx="9">
                  <c:v>53.3827</c:v>
                </c:pt>
                <c:pt idx="10">
                  <c:v>51.728400000000001</c:v>
                </c:pt>
                <c:pt idx="11">
                  <c:v>50.863100000000003</c:v>
                </c:pt>
                <c:pt idx="12">
                  <c:v>49.980200000000004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5-4E4B-A074-6BEABDE6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405896"/>
        <c:axId val="1168412784"/>
      </c:lineChart>
      <c:catAx>
        <c:axId val="116840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12784"/>
        <c:crosses val="autoZero"/>
        <c:auto val="1"/>
        <c:lblAlgn val="ctr"/>
        <c:lblOffset val="100"/>
        <c:noMultiLvlLbl val="0"/>
      </c:catAx>
      <c:valAx>
        <c:axId val="1168412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0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10Y</a:t>
            </a:r>
            <a:endParaRPr lang="ko-KR" altLang="ko-KR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'1-1)Swaption_Matrix_Full_Normal'!$B$26:$B$38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'1-1)Swaption_Matrix_Full_Normal'!$L$26:$L$38</c:f>
              <c:numCache>
                <c:formatCode>General</c:formatCode>
                <c:ptCount val="13"/>
                <c:pt idx="0">
                  <c:v>81.5261</c:v>
                </c:pt>
                <c:pt idx="1">
                  <c:v>79.622799999999998</c:v>
                </c:pt>
                <c:pt idx="2">
                  <c:v>77.887900000000002</c:v>
                </c:pt>
                <c:pt idx="3">
                  <c:v>76.272599999999997</c:v>
                </c:pt>
                <c:pt idx="4">
                  <c:v>73.381500000000003</c:v>
                </c:pt>
                <c:pt idx="5">
                  <c:v>68.67</c:v>
                </c:pt>
                <c:pt idx="6">
                  <c:v>64.703900000000004</c:v>
                </c:pt>
                <c:pt idx="7">
                  <c:v>60.820099999999996</c:v>
                </c:pt>
                <c:pt idx="8">
                  <c:v>56.148200000000003</c:v>
                </c:pt>
                <c:pt idx="9">
                  <c:v>53.5779</c:v>
                </c:pt>
                <c:pt idx="10">
                  <c:v>52.270899999999997</c:v>
                </c:pt>
                <c:pt idx="11">
                  <c:v>51.6708</c:v>
                </c:pt>
                <c:pt idx="12">
                  <c:v>50.923000000000002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A-4E10-BEDE-7D3A32DD7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33296"/>
        <c:axId val="1154433624"/>
      </c:lineChart>
      <c:catAx>
        <c:axId val="115443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624"/>
        <c:crosses val="autoZero"/>
        <c:auto val="1"/>
        <c:lblAlgn val="ctr"/>
        <c:lblOffset val="100"/>
        <c:noMultiLvlLbl val="0"/>
      </c:catAx>
      <c:valAx>
        <c:axId val="1154433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F1-4555-895B-A0F5F0CAC9FF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F1-4555-895B-A0F5F0CAC9FF}"/>
            </c:ext>
          </c:extLst>
        </c:ser>
        <c:ser>
          <c:idx val="1"/>
          <c:order val="2"/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F1-4555-895B-A0F5F0CAC9FF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F1-4555-895B-A0F5F0CAC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3Y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'1-1)Swaption_Matrix_Full_Normal'!$S$26:$S$38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9-4E9C-B4A3-F75AF1B9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5Y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E7-484B-B191-379E474B3121}"/>
            </c:ext>
          </c:extLst>
        </c:ser>
        <c:ser>
          <c:idx val="5"/>
          <c:order val="1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E7-484B-B191-379E474B3121}"/>
            </c:ext>
          </c:extLst>
        </c:ser>
        <c:ser>
          <c:idx val="6"/>
          <c:order val="2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E7-484B-B191-379E474B3121}"/>
            </c:ext>
          </c:extLst>
        </c:ser>
        <c:ser>
          <c:idx val="7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E7-484B-B191-379E474B3121}"/>
            </c:ext>
          </c:extLst>
        </c:ser>
        <c:ser>
          <c:idx val="8"/>
          <c:order val="4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E7-484B-B191-379E474B3121}"/>
            </c:ext>
          </c:extLst>
        </c:ser>
        <c:ser>
          <c:idx val="9"/>
          <c:order val="5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E7-484B-B191-379E474B3121}"/>
            </c:ext>
          </c:extLst>
        </c:ser>
        <c:ser>
          <c:idx val="10"/>
          <c:order val="6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E7-484B-B191-379E474B3121}"/>
            </c:ext>
          </c:extLst>
        </c:ser>
        <c:ser>
          <c:idx val="11"/>
          <c:order val="7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E7-484B-B191-379E474B3121}"/>
            </c:ext>
          </c:extLst>
        </c:ser>
        <c:ser>
          <c:idx val="2"/>
          <c:order val="8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E7-484B-B191-379E474B3121}"/>
            </c:ext>
          </c:extLst>
        </c:ser>
        <c:ser>
          <c:idx val="3"/>
          <c:order val="9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E7-484B-B191-379E474B3121}"/>
            </c:ext>
          </c:extLst>
        </c:ser>
        <c:ser>
          <c:idx val="1"/>
          <c:order val="1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E7-484B-B191-379E474B3121}"/>
            </c:ext>
          </c:extLst>
        </c:ser>
        <c:ser>
          <c:idx val="0"/>
          <c:order val="11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E7-484B-B191-379E474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4"/>
          <c:order val="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D-485C-89A0-0DAA902862B1}"/>
            </c:ext>
          </c:extLst>
        </c:ser>
        <c:ser>
          <c:idx val="25"/>
          <c:order val="1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D-485C-89A0-0DAA902862B1}"/>
            </c:ext>
          </c:extLst>
        </c:ser>
        <c:ser>
          <c:idx val="26"/>
          <c:order val="2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D-485C-89A0-0DAA902862B1}"/>
            </c:ext>
          </c:extLst>
        </c:ser>
        <c:ser>
          <c:idx val="27"/>
          <c:order val="3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AD-485C-89A0-0DAA902862B1}"/>
            </c:ext>
          </c:extLst>
        </c:ser>
        <c:ser>
          <c:idx val="28"/>
          <c:order val="4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AD-485C-89A0-0DAA902862B1}"/>
            </c:ext>
          </c:extLst>
        </c:ser>
        <c:ser>
          <c:idx val="29"/>
          <c:order val="5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AD-485C-89A0-0DAA902862B1}"/>
            </c:ext>
          </c:extLst>
        </c:ser>
        <c:ser>
          <c:idx val="30"/>
          <c:order val="6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AD-485C-89A0-0DAA902862B1}"/>
            </c:ext>
          </c:extLst>
        </c:ser>
        <c:ser>
          <c:idx val="31"/>
          <c:order val="7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AD-485C-89A0-0DAA902862B1}"/>
            </c:ext>
          </c:extLst>
        </c:ser>
        <c:ser>
          <c:idx val="32"/>
          <c:order val="8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AD-485C-89A0-0DAA902862B1}"/>
            </c:ext>
          </c:extLst>
        </c:ser>
        <c:ser>
          <c:idx val="33"/>
          <c:order val="9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4AD-485C-89A0-0DAA902862B1}"/>
            </c:ext>
          </c:extLst>
        </c:ser>
        <c:ser>
          <c:idx val="34"/>
          <c:order val="1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4AD-485C-89A0-0DAA902862B1}"/>
            </c:ext>
          </c:extLst>
        </c:ser>
        <c:ser>
          <c:idx val="35"/>
          <c:order val="11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4AD-485C-89A0-0DAA902862B1}"/>
            </c:ext>
          </c:extLst>
        </c:ser>
        <c:ser>
          <c:idx val="36"/>
          <c:order val="12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4AD-485C-89A0-0DAA902862B1}"/>
            </c:ext>
          </c:extLst>
        </c:ser>
        <c:ser>
          <c:idx val="37"/>
          <c:order val="13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4AD-485C-89A0-0DAA902862B1}"/>
            </c:ext>
          </c:extLst>
        </c:ser>
        <c:ser>
          <c:idx val="38"/>
          <c:order val="14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4AD-485C-89A0-0DAA902862B1}"/>
            </c:ext>
          </c:extLst>
        </c:ser>
        <c:ser>
          <c:idx val="39"/>
          <c:order val="15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4AD-485C-89A0-0DAA902862B1}"/>
            </c:ext>
          </c:extLst>
        </c:ser>
        <c:ser>
          <c:idx val="40"/>
          <c:order val="16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4AD-485C-89A0-0DAA902862B1}"/>
            </c:ext>
          </c:extLst>
        </c:ser>
        <c:ser>
          <c:idx val="41"/>
          <c:order val="17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4AD-485C-89A0-0DAA902862B1}"/>
            </c:ext>
          </c:extLst>
        </c:ser>
        <c:ser>
          <c:idx val="42"/>
          <c:order val="18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4AD-485C-89A0-0DAA902862B1}"/>
            </c:ext>
          </c:extLst>
        </c:ser>
        <c:ser>
          <c:idx val="43"/>
          <c:order val="19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4AD-485C-89A0-0DAA902862B1}"/>
            </c:ext>
          </c:extLst>
        </c:ser>
        <c:ser>
          <c:idx val="44"/>
          <c:order val="2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4AD-485C-89A0-0DAA902862B1}"/>
            </c:ext>
          </c:extLst>
        </c:ser>
        <c:ser>
          <c:idx val="45"/>
          <c:order val="21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4AD-485C-89A0-0DAA902862B1}"/>
            </c:ext>
          </c:extLst>
        </c:ser>
        <c:ser>
          <c:idx val="46"/>
          <c:order val="22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4AD-485C-89A0-0DAA902862B1}"/>
            </c:ext>
          </c:extLst>
        </c:ser>
        <c:ser>
          <c:idx val="47"/>
          <c:order val="23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4AD-485C-89A0-0DAA902862B1}"/>
            </c:ext>
          </c:extLst>
        </c:ser>
        <c:ser>
          <c:idx val="4"/>
          <c:order val="24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4AD-485C-89A0-0DAA902862B1}"/>
            </c:ext>
          </c:extLst>
        </c:ser>
        <c:ser>
          <c:idx val="5"/>
          <c:order val="25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4AD-485C-89A0-0DAA902862B1}"/>
            </c:ext>
          </c:extLst>
        </c:ser>
        <c:ser>
          <c:idx val="6"/>
          <c:order val="26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4AD-485C-89A0-0DAA902862B1}"/>
            </c:ext>
          </c:extLst>
        </c:ser>
        <c:ser>
          <c:idx val="7"/>
          <c:order val="27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4AD-485C-89A0-0DAA902862B1}"/>
            </c:ext>
          </c:extLst>
        </c:ser>
        <c:ser>
          <c:idx val="8"/>
          <c:order val="28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4AD-485C-89A0-0DAA902862B1}"/>
            </c:ext>
          </c:extLst>
        </c:ser>
        <c:ser>
          <c:idx val="9"/>
          <c:order val="29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4AD-485C-89A0-0DAA902862B1}"/>
            </c:ext>
          </c:extLst>
        </c:ser>
        <c:ser>
          <c:idx val="10"/>
          <c:order val="3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4AD-485C-89A0-0DAA902862B1}"/>
            </c:ext>
          </c:extLst>
        </c:ser>
        <c:ser>
          <c:idx val="11"/>
          <c:order val="31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4AD-485C-89A0-0DAA902862B1}"/>
            </c:ext>
          </c:extLst>
        </c:ser>
        <c:ser>
          <c:idx val="12"/>
          <c:order val="32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4AD-485C-89A0-0DAA902862B1}"/>
            </c:ext>
          </c:extLst>
        </c:ser>
        <c:ser>
          <c:idx val="13"/>
          <c:order val="33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4AD-485C-89A0-0DAA902862B1}"/>
            </c:ext>
          </c:extLst>
        </c:ser>
        <c:ser>
          <c:idx val="14"/>
          <c:order val="34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4AD-485C-89A0-0DAA902862B1}"/>
            </c:ext>
          </c:extLst>
        </c:ser>
        <c:ser>
          <c:idx val="15"/>
          <c:order val="35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4AD-485C-89A0-0DAA902862B1}"/>
            </c:ext>
          </c:extLst>
        </c:ser>
        <c:ser>
          <c:idx val="16"/>
          <c:order val="36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4AD-485C-89A0-0DAA902862B1}"/>
            </c:ext>
          </c:extLst>
        </c:ser>
        <c:ser>
          <c:idx val="17"/>
          <c:order val="37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4AD-485C-89A0-0DAA902862B1}"/>
            </c:ext>
          </c:extLst>
        </c:ser>
        <c:ser>
          <c:idx val="18"/>
          <c:order val="38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4AD-485C-89A0-0DAA902862B1}"/>
            </c:ext>
          </c:extLst>
        </c:ser>
        <c:ser>
          <c:idx val="19"/>
          <c:order val="39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4AD-485C-89A0-0DAA902862B1}"/>
            </c:ext>
          </c:extLst>
        </c:ser>
        <c:ser>
          <c:idx val="20"/>
          <c:order val="40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4AD-485C-89A0-0DAA902862B1}"/>
            </c:ext>
          </c:extLst>
        </c:ser>
        <c:ser>
          <c:idx val="21"/>
          <c:order val="41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4AD-485C-89A0-0DAA902862B1}"/>
            </c:ext>
          </c:extLst>
        </c:ser>
        <c:ser>
          <c:idx val="22"/>
          <c:order val="42"/>
          <c:spPr>
            <a:ln w="25400"/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4AD-485C-89A0-0DAA90286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20Y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2"/>
          <c:order val="0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'1-1)Swaption_Matrix_Full_Normal'!$P$26:$P$38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'1-1)Swaption_Matrix_Full_Normal'!$AB$26:$AB$38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B1-400F-B377-866935605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KRW/IRS Swaption ATM Black</a:t>
            </a:r>
            <a:r>
              <a:rPr lang="en-US" baseline="0"/>
              <a:t> </a:t>
            </a:r>
            <a:r>
              <a:rPr lang="en-US"/>
              <a:t>Volatility Surface (BBIR)</a:t>
            </a:r>
            <a:endParaRPr lang="ko-K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20867138447712E-2"/>
          <c:y val="0.10957762157162758"/>
          <c:w val="0.88472701192778791"/>
          <c:h val="0.80455031441544533"/>
        </c:manualLayout>
      </c:layout>
      <c:surface3DChart>
        <c:wireframe val="0"/>
        <c:ser>
          <c:idx val="0"/>
          <c:order val="0"/>
          <c:tx>
            <c:strRef>
              <c:f>'1-1)Swaption_Full_Blck'!$C$25</c:f>
              <c:strCache>
                <c:ptCount val="1"/>
                <c:pt idx="0">
                  <c:v>1Y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'1-1)Swaption_Full_Blck'!$C$26:$C$38</c:f>
              <c:numCache>
                <c:formatCode>General</c:formatCode>
                <c:ptCount val="13"/>
                <c:pt idx="0">
                  <c:v>28.57</c:v>
                </c:pt>
                <c:pt idx="1">
                  <c:v>26.847000000000001</c:v>
                </c:pt>
                <c:pt idx="2">
                  <c:v>25.050999999999998</c:v>
                </c:pt>
                <c:pt idx="3">
                  <c:v>24.003</c:v>
                </c:pt>
                <c:pt idx="4">
                  <c:v>23.715</c:v>
                </c:pt>
                <c:pt idx="5">
                  <c:v>23.966000000000001</c:v>
                </c:pt>
                <c:pt idx="6">
                  <c:v>23.637</c:v>
                </c:pt>
                <c:pt idx="7">
                  <c:v>23.41</c:v>
                </c:pt>
                <c:pt idx="8">
                  <c:v>22.277000000000001</c:v>
                </c:pt>
                <c:pt idx="9">
                  <c:v>21.973099999999999</c:v>
                </c:pt>
                <c:pt idx="10">
                  <c:v>21.6</c:v>
                </c:pt>
                <c:pt idx="11">
                  <c:v>20.6005</c:v>
                </c:pt>
                <c:pt idx="12">
                  <c:v>19.594899999999999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4-4480-9136-92D05A86D4B9}"/>
            </c:ext>
          </c:extLst>
        </c:ser>
        <c:ser>
          <c:idx val="1"/>
          <c:order val="1"/>
          <c:tx>
            <c:strRef>
              <c:f>'1-1)Swaption_Full_Blck'!$D$25</c:f>
              <c:strCache>
                <c:ptCount val="1"/>
                <c:pt idx="0">
                  <c:v>2Y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'1-1)Swaption_Full_Blck'!$D$26:$D$38</c:f>
              <c:numCache>
                <c:formatCode>General</c:formatCode>
                <c:ptCount val="13"/>
                <c:pt idx="0">
                  <c:v>27.08</c:v>
                </c:pt>
                <c:pt idx="1">
                  <c:v>28.808</c:v>
                </c:pt>
                <c:pt idx="2">
                  <c:v>25.120999999999999</c:v>
                </c:pt>
                <c:pt idx="3">
                  <c:v>24.510999999999999</c:v>
                </c:pt>
                <c:pt idx="4">
                  <c:v>24.786000000000001</c:v>
                </c:pt>
                <c:pt idx="5">
                  <c:v>23.919</c:v>
                </c:pt>
                <c:pt idx="6">
                  <c:v>23.691099999999999</c:v>
                </c:pt>
                <c:pt idx="7">
                  <c:v>22.94</c:v>
                </c:pt>
                <c:pt idx="8">
                  <c:v>21.960999999999999</c:v>
                </c:pt>
                <c:pt idx="9">
                  <c:v>21.432600000000001</c:v>
                </c:pt>
                <c:pt idx="10">
                  <c:v>20.9</c:v>
                </c:pt>
                <c:pt idx="11">
                  <c:v>20.386700000000001</c:v>
                </c:pt>
                <c:pt idx="12">
                  <c:v>19.844799999999999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44-4480-9136-92D05A86D4B9}"/>
            </c:ext>
          </c:extLst>
        </c:ser>
        <c:ser>
          <c:idx val="2"/>
          <c:order val="2"/>
          <c:tx>
            <c:strRef>
              <c:f>'1-1)Swaption_Full_Blck'!$E$25</c:f>
              <c:strCache>
                <c:ptCount val="1"/>
                <c:pt idx="0">
                  <c:v>3Y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'1-1)Swaption_Full_Blck'!$E$26:$E$38</c:f>
              <c:numCache>
                <c:formatCode>General</c:formatCode>
                <c:ptCount val="13"/>
                <c:pt idx="0">
                  <c:v>27.99</c:v>
                </c:pt>
                <c:pt idx="1">
                  <c:v>27.238</c:v>
                </c:pt>
                <c:pt idx="2">
                  <c:v>26.209</c:v>
                </c:pt>
                <c:pt idx="3">
                  <c:v>25.488</c:v>
                </c:pt>
                <c:pt idx="4">
                  <c:v>25.285</c:v>
                </c:pt>
                <c:pt idx="5">
                  <c:v>23.88</c:v>
                </c:pt>
                <c:pt idx="6">
                  <c:v>23.609000000000002</c:v>
                </c:pt>
                <c:pt idx="7">
                  <c:v>23.32</c:v>
                </c:pt>
                <c:pt idx="8">
                  <c:v>22.452000000000002</c:v>
                </c:pt>
                <c:pt idx="9">
                  <c:v>21.866</c:v>
                </c:pt>
                <c:pt idx="10">
                  <c:v>21.28</c:v>
                </c:pt>
                <c:pt idx="11">
                  <c:v>20.967199999999998</c:v>
                </c:pt>
                <c:pt idx="12">
                  <c:v>20.6602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44-4480-9136-92D05A86D4B9}"/>
            </c:ext>
          </c:extLst>
        </c:ser>
        <c:ser>
          <c:idx val="3"/>
          <c:order val="3"/>
          <c:tx>
            <c:strRef>
              <c:f>'1-1)Swaption_Full_Blck'!$F$25</c:f>
              <c:strCache>
                <c:ptCount val="1"/>
                <c:pt idx="0">
                  <c:v>4Y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'1-1)Swaption_Full_Blck'!$F$26:$F$38</c:f>
              <c:numCache>
                <c:formatCode>General</c:formatCode>
                <c:ptCount val="13"/>
                <c:pt idx="0">
                  <c:v>29.5</c:v>
                </c:pt>
                <c:pt idx="1">
                  <c:v>28.72</c:v>
                </c:pt>
                <c:pt idx="2">
                  <c:v>27.53</c:v>
                </c:pt>
                <c:pt idx="3">
                  <c:v>26.585000000000001</c:v>
                </c:pt>
                <c:pt idx="4">
                  <c:v>25.83</c:v>
                </c:pt>
                <c:pt idx="5">
                  <c:v>23.9</c:v>
                </c:pt>
                <c:pt idx="6">
                  <c:v>23.58</c:v>
                </c:pt>
                <c:pt idx="7">
                  <c:v>22.76</c:v>
                </c:pt>
                <c:pt idx="8">
                  <c:v>22.2</c:v>
                </c:pt>
                <c:pt idx="9">
                  <c:v>21.811800000000002</c:v>
                </c:pt>
                <c:pt idx="10">
                  <c:v>21.4</c:v>
                </c:pt>
                <c:pt idx="11">
                  <c:v>21.470199999999998</c:v>
                </c:pt>
                <c:pt idx="12">
                  <c:v>21.924800000000001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44-4480-9136-92D05A86D4B9}"/>
            </c:ext>
          </c:extLst>
        </c:ser>
        <c:ser>
          <c:idx val="4"/>
          <c:order val="4"/>
          <c:tx>
            <c:strRef>
              <c:f>'1-1)Swaption_Full_Blck'!$G$25</c:f>
              <c:strCache>
                <c:ptCount val="1"/>
                <c:pt idx="0">
                  <c:v>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'1-1)Swaption_Full_Blck'!$G$26:$G$38</c:f>
              <c:numCache>
                <c:formatCode>General</c:formatCode>
                <c:ptCount val="13"/>
                <c:pt idx="0">
                  <c:v>31.28</c:v>
                </c:pt>
                <c:pt idx="1">
                  <c:v>30.417000000000002</c:v>
                </c:pt>
                <c:pt idx="2">
                  <c:v>28.995000000000001</c:v>
                </c:pt>
                <c:pt idx="3">
                  <c:v>27.783999999999999</c:v>
                </c:pt>
                <c:pt idx="4">
                  <c:v>26.707999999999998</c:v>
                </c:pt>
                <c:pt idx="5">
                  <c:v>25.3443</c:v>
                </c:pt>
                <c:pt idx="6">
                  <c:v>23.416499999999999</c:v>
                </c:pt>
                <c:pt idx="7">
                  <c:v>22.79</c:v>
                </c:pt>
                <c:pt idx="8">
                  <c:v>22.06</c:v>
                </c:pt>
                <c:pt idx="9">
                  <c:v>21.850999999999999</c:v>
                </c:pt>
                <c:pt idx="10">
                  <c:v>21.64</c:v>
                </c:pt>
                <c:pt idx="11">
                  <c:v>22.36</c:v>
                </c:pt>
                <c:pt idx="12">
                  <c:v>23.086500000000001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44-4480-9136-92D05A86D4B9}"/>
            </c:ext>
          </c:extLst>
        </c:ser>
        <c:ser>
          <c:idx val="5"/>
          <c:order val="5"/>
          <c:tx>
            <c:strRef>
              <c:f>'1-1)Swaption_Full_Blck'!$H$25</c:f>
              <c:strCache>
                <c:ptCount val="1"/>
                <c:pt idx="0">
                  <c:v>6Y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'1-1)Swaption_Full_Blck'!$H$26:$H$38</c:f>
              <c:numCache>
                <c:formatCode>General</c:formatCode>
                <c:ptCount val="13"/>
                <c:pt idx="0">
                  <c:v>31.775600000000001</c:v>
                </c:pt>
                <c:pt idx="1">
                  <c:v>31.1373</c:v>
                </c:pt>
                <c:pt idx="2">
                  <c:v>29.649799999999999</c:v>
                </c:pt>
                <c:pt idx="3">
                  <c:v>28.343299999999999</c:v>
                </c:pt>
                <c:pt idx="4">
                  <c:v>27.137599999999999</c:v>
                </c:pt>
                <c:pt idx="5">
                  <c:v>24.9499</c:v>
                </c:pt>
                <c:pt idx="6">
                  <c:v>23.581800000000001</c:v>
                </c:pt>
                <c:pt idx="7">
                  <c:v>22.860299999999999</c:v>
                </c:pt>
                <c:pt idx="8">
                  <c:v>22.058399999999999</c:v>
                </c:pt>
                <c:pt idx="9">
                  <c:v>22.001100000000001</c:v>
                </c:pt>
                <c:pt idx="10">
                  <c:v>22.209099999999999</c:v>
                </c:pt>
                <c:pt idx="11">
                  <c:v>22.984300000000001</c:v>
                </c:pt>
                <c:pt idx="12">
                  <c:v>23.7559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44-4480-9136-92D05A86D4B9}"/>
            </c:ext>
          </c:extLst>
        </c:ser>
        <c:ser>
          <c:idx val="6"/>
          <c:order val="6"/>
          <c:tx>
            <c:strRef>
              <c:f>'1-1)Swaption_Full_Blck'!$I$25</c:f>
              <c:strCache>
                <c:ptCount val="1"/>
                <c:pt idx="0">
                  <c:v>7Y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'1-1)Swaption_Full_Blck'!$I$26:$I$38</c:f>
              <c:numCache>
                <c:formatCode>General</c:formatCode>
                <c:ptCount val="13"/>
                <c:pt idx="0">
                  <c:v>32.270000000000003</c:v>
                </c:pt>
                <c:pt idx="1">
                  <c:v>31.838999999999999</c:v>
                </c:pt>
                <c:pt idx="2">
                  <c:v>30.277999999999999</c:v>
                </c:pt>
                <c:pt idx="3">
                  <c:v>28.870999999999999</c:v>
                </c:pt>
                <c:pt idx="4">
                  <c:v>27.533999999999999</c:v>
                </c:pt>
                <c:pt idx="5">
                  <c:v>24.545000000000002</c:v>
                </c:pt>
                <c:pt idx="6">
                  <c:v>23.742000000000001</c:v>
                </c:pt>
                <c:pt idx="7">
                  <c:v>22.92</c:v>
                </c:pt>
                <c:pt idx="8">
                  <c:v>22.062999999999999</c:v>
                </c:pt>
                <c:pt idx="9">
                  <c:v>22.3781</c:v>
                </c:pt>
                <c:pt idx="10">
                  <c:v>22.7</c:v>
                </c:pt>
                <c:pt idx="11">
                  <c:v>23.535</c:v>
                </c:pt>
                <c:pt idx="12">
                  <c:v>24.590399999999999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44-4480-9136-92D05A86D4B9}"/>
            </c:ext>
          </c:extLst>
        </c:ser>
        <c:ser>
          <c:idx val="7"/>
          <c:order val="7"/>
          <c:tx>
            <c:strRef>
              <c:f>'1-1)Swaption_Full_Blck'!$J$25</c:f>
              <c:strCache>
                <c:ptCount val="1"/>
                <c:pt idx="0">
                  <c:v>8Y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'1-1)Swaption_Full_Blck'!$J$26:$J$38</c:f>
              <c:numCache>
                <c:formatCode>General</c:formatCode>
                <c:ptCount val="13"/>
                <c:pt idx="0">
                  <c:v>32.703499999999998</c:v>
                </c:pt>
                <c:pt idx="1">
                  <c:v>32.461199999999998</c:v>
                </c:pt>
                <c:pt idx="2">
                  <c:v>30.779599999999999</c:v>
                </c:pt>
                <c:pt idx="3">
                  <c:v>29.241299999999999</c:v>
                </c:pt>
                <c:pt idx="4">
                  <c:v>27.752400000000002</c:v>
                </c:pt>
                <c:pt idx="5">
                  <c:v>24.8203</c:v>
                </c:pt>
                <c:pt idx="6">
                  <c:v>23.9925</c:v>
                </c:pt>
                <c:pt idx="7">
                  <c:v>23.1769</c:v>
                </c:pt>
                <c:pt idx="8">
                  <c:v>22.526499999999999</c:v>
                </c:pt>
                <c:pt idx="9">
                  <c:v>22.898199999999999</c:v>
                </c:pt>
                <c:pt idx="10">
                  <c:v>23.271000000000001</c:v>
                </c:pt>
                <c:pt idx="11">
                  <c:v>24.043500000000002</c:v>
                </c:pt>
                <c:pt idx="12">
                  <c:v>24.832599999999999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44-4480-9136-92D05A86D4B9}"/>
            </c:ext>
          </c:extLst>
        </c:ser>
        <c:ser>
          <c:idx val="8"/>
          <c:order val="8"/>
          <c:tx>
            <c:strRef>
              <c:f>'1-1)Swaption_Full_Blck'!$K$25</c:f>
              <c:strCache>
                <c:ptCount val="1"/>
                <c:pt idx="0">
                  <c:v>9Y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'1-1)Swaption_Full_Blck'!$K$26:$K$38</c:f>
              <c:numCache>
                <c:formatCode>General</c:formatCode>
                <c:ptCount val="13"/>
                <c:pt idx="0">
                  <c:v>33.140599999999999</c:v>
                </c:pt>
                <c:pt idx="1">
                  <c:v>33.079099999999997</c:v>
                </c:pt>
                <c:pt idx="2">
                  <c:v>31.2746</c:v>
                </c:pt>
                <c:pt idx="3">
                  <c:v>29.6035</c:v>
                </c:pt>
                <c:pt idx="4">
                  <c:v>27.963100000000001</c:v>
                </c:pt>
                <c:pt idx="5">
                  <c:v>25.084800000000001</c:v>
                </c:pt>
                <c:pt idx="6">
                  <c:v>24.242699999999999</c:v>
                </c:pt>
                <c:pt idx="7">
                  <c:v>23.608899999999998</c:v>
                </c:pt>
                <c:pt idx="8">
                  <c:v>22.9497</c:v>
                </c:pt>
                <c:pt idx="9">
                  <c:v>23.3767</c:v>
                </c:pt>
                <c:pt idx="10">
                  <c:v>23.969899999999999</c:v>
                </c:pt>
                <c:pt idx="11">
                  <c:v>24.484999999999999</c:v>
                </c:pt>
                <c:pt idx="12">
                  <c:v>25.0124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44-4480-9136-92D05A86D4B9}"/>
            </c:ext>
          </c:extLst>
        </c:ser>
        <c:ser>
          <c:idx val="9"/>
          <c:order val="9"/>
          <c:tx>
            <c:strRef>
              <c:f>'1-1)Swaption_Full_Blck'!$L$25</c:f>
              <c:strCache>
                <c:ptCount val="1"/>
                <c:pt idx="0">
                  <c:v>10Y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'1-1)Swaption_Full_Blck'!$L$26:$L$38</c:f>
              <c:numCache>
                <c:formatCode>General</c:formatCode>
                <c:ptCount val="13"/>
                <c:pt idx="0">
                  <c:v>33.58</c:v>
                </c:pt>
                <c:pt idx="1">
                  <c:v>33.692</c:v>
                </c:pt>
                <c:pt idx="2">
                  <c:v>31.760999999999999</c:v>
                </c:pt>
                <c:pt idx="3">
                  <c:v>29.954999999999998</c:v>
                </c:pt>
                <c:pt idx="4">
                  <c:v>28.161999999999999</c:v>
                </c:pt>
                <c:pt idx="5">
                  <c:v>25.349</c:v>
                </c:pt>
                <c:pt idx="6">
                  <c:v>24.652999999999999</c:v>
                </c:pt>
                <c:pt idx="7">
                  <c:v>24.01</c:v>
                </c:pt>
                <c:pt idx="8">
                  <c:v>23.341999999999999</c:v>
                </c:pt>
                <c:pt idx="9">
                  <c:v>23.9711</c:v>
                </c:pt>
                <c:pt idx="10">
                  <c:v>24.61</c:v>
                </c:pt>
                <c:pt idx="11">
                  <c:v>24.874600000000001</c:v>
                </c:pt>
                <c:pt idx="12">
                  <c:v>25.1373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44-4480-9136-92D05A86D4B9}"/>
            </c:ext>
          </c:extLst>
        </c:ser>
        <c:ser>
          <c:idx val="10"/>
          <c:order val="10"/>
          <c:tx>
            <c:strRef>
              <c:f>'1-1)Swaption_Full_Blck'!$M$25</c:f>
              <c:strCache>
                <c:ptCount val="1"/>
                <c:pt idx="0">
                  <c:v>15Y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'1-1)Swaption_Full_Blck'!$M$26:$M$38</c:f>
              <c:numCache>
                <c:formatCode>General</c:formatCode>
                <c:ptCount val="13"/>
                <c:pt idx="0">
                  <c:v>34.19</c:v>
                </c:pt>
                <c:pt idx="1">
                  <c:v>34.4908</c:v>
                </c:pt>
                <c:pt idx="2">
                  <c:v>32.661200000000001</c:v>
                </c:pt>
                <c:pt idx="3">
                  <c:v>30.935600000000001</c:v>
                </c:pt>
                <c:pt idx="4">
                  <c:v>29.207000000000001</c:v>
                </c:pt>
                <c:pt idx="5">
                  <c:v>26.621200000000002</c:v>
                </c:pt>
                <c:pt idx="6">
                  <c:v>25.898</c:v>
                </c:pt>
                <c:pt idx="7">
                  <c:v>25.28</c:v>
                </c:pt>
                <c:pt idx="8">
                  <c:v>24.566199999999998</c:v>
                </c:pt>
                <c:pt idx="9">
                  <c:v>25.075700000000001</c:v>
                </c:pt>
                <c:pt idx="10">
                  <c:v>25.6</c:v>
                </c:pt>
                <c:pt idx="11">
                  <c:v>25.840699999999998</c:v>
                </c:pt>
                <c:pt idx="12">
                  <c:v>26.089099999999998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44-4480-9136-92D05A86D4B9}"/>
            </c:ext>
          </c:extLst>
        </c:ser>
        <c:ser>
          <c:idx val="11"/>
          <c:order val="11"/>
          <c:tx>
            <c:strRef>
              <c:f>'1-1)Swaption_Full_Blck'!$N$25</c:f>
              <c:strCache>
                <c:ptCount val="1"/>
                <c:pt idx="0">
                  <c:v>20Y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'1-1)Swaption_Full_Blck'!$A$26:$B$38</c:f>
              <c:multiLvlStrCache>
                <c:ptCount val="13"/>
                <c:lvl>
                  <c:pt idx="0">
                    <c:v>1M</c:v>
                  </c:pt>
                  <c:pt idx="1">
                    <c:v>3M</c:v>
                  </c:pt>
                  <c:pt idx="2">
                    <c:v>6M</c:v>
                  </c:pt>
                  <c:pt idx="3">
                    <c:v>9M</c:v>
                  </c:pt>
                  <c:pt idx="4">
                    <c:v>1Y</c:v>
                  </c:pt>
                  <c:pt idx="5">
                    <c:v>2Y</c:v>
                  </c:pt>
                  <c:pt idx="6">
                    <c:v>3Y</c:v>
                  </c:pt>
                  <c:pt idx="7">
                    <c:v>4Y</c:v>
                  </c:pt>
                  <c:pt idx="8">
                    <c:v>5Y</c:v>
                  </c:pt>
                  <c:pt idx="9">
                    <c:v>7Y</c:v>
                  </c:pt>
                  <c:pt idx="10">
                    <c:v>10Y</c:v>
                  </c:pt>
                  <c:pt idx="11">
                    <c:v>15Y</c:v>
                  </c:pt>
                  <c:pt idx="12">
                    <c:v>20Y</c:v>
                  </c:pt>
                </c:lvl>
                <c:lvl>
                  <c:pt idx="0">
                    <c:v>Expiration</c:v>
                  </c:pt>
                </c:lvl>
              </c:multiLvlStrCache>
            </c:multiLvlStrRef>
          </c:cat>
          <c:val>
            <c:numRef>
              <c:f>'1-1)Swaption_Full_Blck'!$N$26:$N$38</c:f>
              <c:numCache>
                <c:formatCode>General</c:formatCode>
                <c:ptCount val="13"/>
                <c:pt idx="0">
                  <c:v>35.53</c:v>
                </c:pt>
                <c:pt idx="1">
                  <c:v>36.082000000000001</c:v>
                </c:pt>
                <c:pt idx="2">
                  <c:v>34.332000000000001</c:v>
                </c:pt>
                <c:pt idx="3">
                  <c:v>32.662999999999997</c:v>
                </c:pt>
                <c:pt idx="4">
                  <c:v>30.972999999999999</c:v>
                </c:pt>
                <c:pt idx="5">
                  <c:v>28.571999999999999</c:v>
                </c:pt>
                <c:pt idx="6">
                  <c:v>27.925999999999998</c:v>
                </c:pt>
                <c:pt idx="7">
                  <c:v>27.16</c:v>
                </c:pt>
                <c:pt idx="8">
                  <c:v>26.17</c:v>
                </c:pt>
                <c:pt idx="9">
                  <c:v>26.51</c:v>
                </c:pt>
                <c:pt idx="10">
                  <c:v>26.86</c:v>
                </c:pt>
                <c:pt idx="11">
                  <c:v>27.1004</c:v>
                </c:pt>
                <c:pt idx="12">
                  <c:v>27.3462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44-4480-9136-92D05A86D4B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86366424"/>
        <c:axId val="1286386432"/>
        <c:axId val="1277702936"/>
      </c:surface3DChart>
      <c:catAx>
        <c:axId val="128636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  <c:auto val="1"/>
        <c:lblAlgn val="ctr"/>
        <c:lblOffset val="100"/>
        <c:noMultiLvlLbl val="0"/>
      </c:catAx>
      <c:valAx>
        <c:axId val="12863864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66424"/>
        <c:crosses val="autoZero"/>
        <c:crossBetween val="midCat"/>
      </c:valAx>
      <c:serAx>
        <c:axId val="1277702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63864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1"/>
              <a:t>Diagonal</a:t>
            </a:r>
            <a:r>
              <a:rPr lang="en-US" altLang="ko-KR" sz="1800" b="1" baseline="0"/>
              <a:t> Matrix Value of Volatility</a:t>
            </a:r>
            <a:endParaRPr lang="ko-KR" alt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458981906964685"/>
          <c:y val="0.13767685635711546"/>
          <c:w val="0.77082036186070624"/>
          <c:h val="0.70973731947780905"/>
        </c:manualLayout>
      </c:layout>
      <c:lineChart>
        <c:grouping val="standard"/>
        <c:varyColors val="0"/>
        <c:ser>
          <c:idx val="0"/>
          <c:order val="0"/>
          <c:tx>
            <c:strRef>
              <c:f>'1-1)Swaption_Full_Blck'!$B$40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'1-1)Swaption_Full_Blck'!$A$41:$A$49</c:f>
              <c:strCache>
                <c:ptCount val="9"/>
                <c:pt idx="0">
                  <c:v>20Y1Y</c:v>
                </c:pt>
                <c:pt idx="1">
                  <c:v>15Y2Y</c:v>
                </c:pt>
                <c:pt idx="2">
                  <c:v>10Y3Y</c:v>
                </c:pt>
                <c:pt idx="3">
                  <c:v>7Y4Y</c:v>
                </c:pt>
                <c:pt idx="4">
                  <c:v>5Y5Y</c:v>
                </c:pt>
                <c:pt idx="5">
                  <c:v>4Y7Y</c:v>
                </c:pt>
                <c:pt idx="6">
                  <c:v>3Y10Y</c:v>
                </c:pt>
                <c:pt idx="7">
                  <c:v>2Y15Y</c:v>
                </c:pt>
                <c:pt idx="8">
                  <c:v>1Y20Y</c:v>
                </c:pt>
              </c:strCache>
            </c:strRef>
          </c:cat>
          <c:val>
            <c:numRef>
              <c:f>'1-1)Swaption_Full_Blck'!$B$41:$B$49</c:f>
              <c:numCache>
                <c:formatCode>0.00</c:formatCode>
                <c:ptCount val="9"/>
                <c:pt idx="0">
                  <c:v>19.594899999999999</c:v>
                </c:pt>
                <c:pt idx="1">
                  <c:v>20.386700000000001</c:v>
                </c:pt>
                <c:pt idx="2">
                  <c:v>21.28</c:v>
                </c:pt>
                <c:pt idx="3">
                  <c:v>21.811800000000002</c:v>
                </c:pt>
                <c:pt idx="4">
                  <c:v>22.06</c:v>
                </c:pt>
                <c:pt idx="5">
                  <c:v>22.92</c:v>
                </c:pt>
                <c:pt idx="6">
                  <c:v>24.652999999999999</c:v>
                </c:pt>
                <c:pt idx="7">
                  <c:v>26.621200000000002</c:v>
                </c:pt>
                <c:pt idx="8">
                  <c:v>30.972999999999999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62-49E6-B743-ADDD8C662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580936"/>
        <c:axId val="1064581920"/>
      </c:lineChart>
      <c:valAx>
        <c:axId val="1064581920"/>
        <c:scaling>
          <c:orientation val="minMax"/>
          <c:min val="1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4580936"/>
        <c:crosses val="max"/>
        <c:crossBetween val="between"/>
      </c:valAx>
      <c:catAx>
        <c:axId val="106458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458192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</a:t>
            </a:r>
            <a:r>
              <a:rPr lang="en-US" altLang="ko-KR" sz="1800"/>
              <a:t>1Y</a:t>
            </a:r>
          </a:p>
        </c:rich>
      </c:tx>
      <c:layout>
        <c:manualLayout>
          <c:xMode val="edge"/>
          <c:yMode val="edge"/>
          <c:x val="0.2407171923393627"/>
          <c:y val="3.5170361631627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'1-1)Swaption_Full_Blck'!$B$30</c:f>
              <c:strCache>
                <c:ptCount val="1"/>
                <c:pt idx="0">
                  <c:v>1Y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'1-1)Swaption_Full_Blck'!$C$30:$N$30</c:f>
              <c:numCache>
                <c:formatCode>General</c:formatCode>
                <c:ptCount val="12"/>
                <c:pt idx="0">
                  <c:v>23.715</c:v>
                </c:pt>
                <c:pt idx="1">
                  <c:v>24.786000000000001</c:v>
                </c:pt>
                <c:pt idx="2">
                  <c:v>25.285</c:v>
                </c:pt>
                <c:pt idx="3">
                  <c:v>25.83</c:v>
                </c:pt>
                <c:pt idx="4">
                  <c:v>26.707999999999998</c:v>
                </c:pt>
                <c:pt idx="5">
                  <c:v>27.137599999999999</c:v>
                </c:pt>
                <c:pt idx="6">
                  <c:v>27.533999999999999</c:v>
                </c:pt>
                <c:pt idx="7">
                  <c:v>27.752400000000002</c:v>
                </c:pt>
                <c:pt idx="8">
                  <c:v>27.963100000000001</c:v>
                </c:pt>
                <c:pt idx="9">
                  <c:v>28.161999999999999</c:v>
                </c:pt>
                <c:pt idx="10">
                  <c:v>29.207000000000001</c:v>
                </c:pt>
                <c:pt idx="11">
                  <c:v>30.972999999999999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80-4A4F-9C58-E214A3B17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84656"/>
        <c:axId val="1407784328"/>
      </c:lineChart>
      <c:catAx>
        <c:axId val="140778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328"/>
        <c:crosses val="autoZero"/>
        <c:auto val="1"/>
        <c:lblAlgn val="ctr"/>
        <c:lblOffset val="100"/>
        <c:noMultiLvlLbl val="0"/>
      </c:catAx>
      <c:valAx>
        <c:axId val="1407784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/>
              <a:t>Swaption</a:t>
            </a:r>
            <a:r>
              <a:rPr lang="en-US" altLang="ko-KR" sz="1800" baseline="0"/>
              <a:t> Mat : 10Y</a:t>
            </a:r>
            <a:endParaRPr lang="ko-KR" alt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'1-1)Swaption_Full_Blck'!$C$36:$N$36</c:f>
              <c:numCache>
                <c:formatCode>General</c:formatCode>
                <c:ptCount val="12"/>
                <c:pt idx="0">
                  <c:v>21.6</c:v>
                </c:pt>
                <c:pt idx="1">
                  <c:v>20.9</c:v>
                </c:pt>
                <c:pt idx="2">
                  <c:v>21.28</c:v>
                </c:pt>
                <c:pt idx="3">
                  <c:v>21.4</c:v>
                </c:pt>
                <c:pt idx="4">
                  <c:v>21.64</c:v>
                </c:pt>
                <c:pt idx="5">
                  <c:v>22.209099999999999</c:v>
                </c:pt>
                <c:pt idx="6">
                  <c:v>22.7</c:v>
                </c:pt>
                <c:pt idx="7">
                  <c:v>23.271000000000001</c:v>
                </c:pt>
                <c:pt idx="8">
                  <c:v>23.969899999999999</c:v>
                </c:pt>
                <c:pt idx="9">
                  <c:v>24.61</c:v>
                </c:pt>
                <c:pt idx="10">
                  <c:v>25.6</c:v>
                </c:pt>
                <c:pt idx="11">
                  <c:v>26.86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6-4113-AB46-DEDBE511C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98760"/>
        <c:axId val="1407799744"/>
      </c:lineChart>
      <c:catAx>
        <c:axId val="1407798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9744"/>
        <c:crosses val="autoZero"/>
        <c:auto val="1"/>
        <c:lblAlgn val="ctr"/>
        <c:lblOffset val="100"/>
        <c:noMultiLvlLbl val="0"/>
      </c:catAx>
      <c:valAx>
        <c:axId val="1407799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77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20Y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4445307054340251"/>
          <c:y val="3.5623398963134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'1-1)Swaption_Full_Blck'!$C$38:$N$38</c:f>
              <c:numCache>
                <c:formatCode>General</c:formatCode>
                <c:ptCount val="12"/>
                <c:pt idx="0">
                  <c:v>19.594899999999999</c:v>
                </c:pt>
                <c:pt idx="1">
                  <c:v>19.844799999999999</c:v>
                </c:pt>
                <c:pt idx="2">
                  <c:v>20.6602</c:v>
                </c:pt>
                <c:pt idx="3">
                  <c:v>21.924800000000001</c:v>
                </c:pt>
                <c:pt idx="4">
                  <c:v>23.086500000000001</c:v>
                </c:pt>
                <c:pt idx="5">
                  <c:v>23.7559</c:v>
                </c:pt>
                <c:pt idx="6">
                  <c:v>24.590399999999999</c:v>
                </c:pt>
                <c:pt idx="7">
                  <c:v>24.832599999999999</c:v>
                </c:pt>
                <c:pt idx="8">
                  <c:v>25.0124</c:v>
                </c:pt>
                <c:pt idx="9">
                  <c:v>25.1373</c:v>
                </c:pt>
                <c:pt idx="10">
                  <c:v>26.089099999999998</c:v>
                </c:pt>
                <c:pt idx="11">
                  <c:v>27.3462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4-47EB-AD81-C3171F5D8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8104"/>
        <c:axId val="1281310232"/>
      </c:lineChart>
      <c:catAx>
        <c:axId val="1281318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0232"/>
        <c:crosses val="autoZero"/>
        <c:auto val="1"/>
        <c:lblAlgn val="ctr"/>
        <c:lblOffset val="100"/>
        <c:noMultiLvlLbl val="0"/>
      </c:catAx>
      <c:valAx>
        <c:axId val="1281310232"/>
        <c:scaling>
          <c:orientation val="minMax"/>
          <c:max val="42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3Y</a:t>
            </a:r>
            <a:endParaRPr lang="ko-KR" altLang="ko-KR">
              <a:effectLst/>
            </a:endParaRPr>
          </a:p>
        </c:rich>
      </c:tx>
      <c:layout>
        <c:manualLayout>
          <c:xMode val="edge"/>
          <c:yMode val="edge"/>
          <c:x val="0.19512246896794486"/>
          <c:y val="4.49582189465262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'1-1)Swaption_Full_Blck'!$C$32:$N$32</c:f>
              <c:numCache>
                <c:formatCode>General</c:formatCode>
                <c:ptCount val="12"/>
                <c:pt idx="0">
                  <c:v>23.637</c:v>
                </c:pt>
                <c:pt idx="1">
                  <c:v>23.691099999999999</c:v>
                </c:pt>
                <c:pt idx="2">
                  <c:v>23.609000000000002</c:v>
                </c:pt>
                <c:pt idx="3">
                  <c:v>23.58</c:v>
                </c:pt>
                <c:pt idx="4">
                  <c:v>23.416499999999999</c:v>
                </c:pt>
                <c:pt idx="5">
                  <c:v>23.581800000000001</c:v>
                </c:pt>
                <c:pt idx="6">
                  <c:v>23.742000000000001</c:v>
                </c:pt>
                <c:pt idx="7">
                  <c:v>23.9925</c:v>
                </c:pt>
                <c:pt idx="8">
                  <c:v>24.242699999999999</c:v>
                </c:pt>
                <c:pt idx="9">
                  <c:v>24.652999999999999</c:v>
                </c:pt>
                <c:pt idx="10">
                  <c:v>25.898</c:v>
                </c:pt>
                <c:pt idx="11">
                  <c:v>27.925999999999998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D-40FC-A0C4-5D8430897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88840"/>
        <c:axId val="1203985560"/>
      </c:lineChart>
      <c:catAx>
        <c:axId val="120398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5560"/>
        <c:crosses val="autoZero"/>
        <c:auto val="1"/>
        <c:lblAlgn val="ctr"/>
        <c:lblOffset val="100"/>
        <c:noMultiLvlLbl val="0"/>
      </c:catAx>
      <c:valAx>
        <c:axId val="120398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8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800" b="0" i="0" baseline="0">
                <a:effectLst/>
              </a:rPr>
              <a:t>Swaption Mat : 1M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'1-1)Swaption_Full_Blck'!$C$25:$N$25</c:f>
              <c:strCache>
                <c:ptCount val="12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'1-1)Swaption_Full_Blck'!$C$26:$N$26</c:f>
              <c:numCache>
                <c:formatCode>General</c:formatCode>
                <c:ptCount val="12"/>
                <c:pt idx="0">
                  <c:v>28.57</c:v>
                </c:pt>
                <c:pt idx="1">
                  <c:v>27.08</c:v>
                </c:pt>
                <c:pt idx="2">
                  <c:v>27.99</c:v>
                </c:pt>
                <c:pt idx="3">
                  <c:v>29.5</c:v>
                </c:pt>
                <c:pt idx="4">
                  <c:v>31.28</c:v>
                </c:pt>
                <c:pt idx="5">
                  <c:v>31.775600000000001</c:v>
                </c:pt>
                <c:pt idx="6">
                  <c:v>32.270000000000003</c:v>
                </c:pt>
                <c:pt idx="7">
                  <c:v>32.703499999999998</c:v>
                </c:pt>
                <c:pt idx="8">
                  <c:v>33.140599999999999</c:v>
                </c:pt>
                <c:pt idx="9">
                  <c:v>33.58</c:v>
                </c:pt>
                <c:pt idx="10">
                  <c:v>34.19</c:v>
                </c:pt>
                <c:pt idx="11">
                  <c:v>35.53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2-43B8-BD82-C92303802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006928"/>
        <c:axId val="954004304"/>
      </c:lineChart>
      <c:catAx>
        <c:axId val="95400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4304"/>
        <c:crosses val="autoZero"/>
        <c:auto val="1"/>
        <c:lblAlgn val="ctr"/>
        <c:lblOffset val="100"/>
        <c:noMultiLvlLbl val="0"/>
      </c:catAx>
      <c:valAx>
        <c:axId val="9540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400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Normal Vol,</a:t>
            </a:r>
            <a:r>
              <a:rPr lang="en-US" altLang="ko-KR" baseline="0"/>
              <a:t> </a:t>
            </a:r>
            <a:r>
              <a:rPr lang="en-US" altLang="ko-KR"/>
              <a:t>Tenor :</a:t>
            </a:r>
            <a:r>
              <a:rPr lang="en-US" altLang="ko-KR" baseline="0"/>
              <a:t> 1Y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759357476707852E-2"/>
          <c:y val="0.19693342038775319"/>
          <c:w val="0.86904795954683922"/>
          <c:h val="0.703846975039414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'1-1)Swaption_Full_Blck'!$C$26:$C$38</c:f>
              <c:numCache>
                <c:formatCode>General</c:formatCode>
                <c:ptCount val="13"/>
                <c:pt idx="0">
                  <c:v>28.57</c:v>
                </c:pt>
                <c:pt idx="1">
                  <c:v>26.847000000000001</c:v>
                </c:pt>
                <c:pt idx="2">
                  <c:v>25.050999999999998</c:v>
                </c:pt>
                <c:pt idx="3">
                  <c:v>24.003</c:v>
                </c:pt>
                <c:pt idx="4">
                  <c:v>23.715</c:v>
                </c:pt>
                <c:pt idx="5">
                  <c:v>23.966000000000001</c:v>
                </c:pt>
                <c:pt idx="6">
                  <c:v>23.637</c:v>
                </c:pt>
                <c:pt idx="7">
                  <c:v>23.41</c:v>
                </c:pt>
                <c:pt idx="8">
                  <c:v>22.277000000000001</c:v>
                </c:pt>
                <c:pt idx="9">
                  <c:v>21.973099999999999</c:v>
                </c:pt>
                <c:pt idx="10">
                  <c:v>21.6</c:v>
                </c:pt>
                <c:pt idx="11">
                  <c:v>20.6005</c:v>
                </c:pt>
                <c:pt idx="12">
                  <c:v>19.594899999999999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7-4BAF-9CA4-C0EC7EC4A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1218400"/>
        <c:axId val="1221216760"/>
      </c:lineChart>
      <c:catAx>
        <c:axId val="12212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6760"/>
        <c:crosses val="autoZero"/>
        <c:auto val="1"/>
        <c:lblAlgn val="ctr"/>
        <c:lblOffset val="100"/>
        <c:noMultiLvlLbl val="0"/>
      </c:catAx>
      <c:valAx>
        <c:axId val="1221216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121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 : 3Y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7703706493241519E-2"/>
          <c:y val="0.16568612672443991"/>
          <c:w val="0.87518987462724152"/>
          <c:h val="0.7232216801086492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'1-1)Swaption_Full_Blck'!$E$26:$E$38</c:f>
              <c:numCache>
                <c:formatCode>General</c:formatCode>
                <c:ptCount val="13"/>
                <c:pt idx="0">
                  <c:v>27.99</c:v>
                </c:pt>
                <c:pt idx="1">
                  <c:v>27.238</c:v>
                </c:pt>
                <c:pt idx="2">
                  <c:v>26.209</c:v>
                </c:pt>
                <c:pt idx="3">
                  <c:v>25.488</c:v>
                </c:pt>
                <c:pt idx="4">
                  <c:v>25.285</c:v>
                </c:pt>
                <c:pt idx="5">
                  <c:v>23.88</c:v>
                </c:pt>
                <c:pt idx="6">
                  <c:v>23.609000000000002</c:v>
                </c:pt>
                <c:pt idx="7">
                  <c:v>23.32</c:v>
                </c:pt>
                <c:pt idx="8">
                  <c:v>22.452000000000002</c:v>
                </c:pt>
                <c:pt idx="9">
                  <c:v>21.866</c:v>
                </c:pt>
                <c:pt idx="10">
                  <c:v>21.28</c:v>
                </c:pt>
                <c:pt idx="11">
                  <c:v>20.967199999999998</c:v>
                </c:pt>
                <c:pt idx="12">
                  <c:v>20.6602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5-4AC1-BB01-F61B7D06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422792"/>
        <c:axId val="1194422464"/>
      </c:lineChart>
      <c:catAx>
        <c:axId val="1194422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464"/>
        <c:crosses val="autoZero"/>
        <c:auto val="1"/>
        <c:lblAlgn val="ctr"/>
        <c:lblOffset val="100"/>
        <c:noMultiLvlLbl val="0"/>
      </c:catAx>
      <c:valAx>
        <c:axId val="1194422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44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Normal Vol, </a:t>
            </a:r>
            <a:r>
              <a:rPr lang="en-US" altLang="ko-KR"/>
              <a:t>Tenor</a:t>
            </a:r>
            <a:r>
              <a:rPr lang="en-US" altLang="ko-KR" baseline="0"/>
              <a:t> : 20Y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'1-1)Swaption_Full_Blck'!$N$26:$N$38</c:f>
              <c:numCache>
                <c:formatCode>General</c:formatCode>
                <c:ptCount val="13"/>
                <c:pt idx="0">
                  <c:v>35.53</c:v>
                </c:pt>
                <c:pt idx="1">
                  <c:v>36.082000000000001</c:v>
                </c:pt>
                <c:pt idx="2">
                  <c:v>34.332000000000001</c:v>
                </c:pt>
                <c:pt idx="3">
                  <c:v>32.662999999999997</c:v>
                </c:pt>
                <c:pt idx="4">
                  <c:v>30.972999999999999</c:v>
                </c:pt>
                <c:pt idx="5">
                  <c:v>28.571999999999999</c:v>
                </c:pt>
                <c:pt idx="6">
                  <c:v>27.925999999999998</c:v>
                </c:pt>
                <c:pt idx="7">
                  <c:v>27.16</c:v>
                </c:pt>
                <c:pt idx="8">
                  <c:v>26.17</c:v>
                </c:pt>
                <c:pt idx="9">
                  <c:v>26.51</c:v>
                </c:pt>
                <c:pt idx="10">
                  <c:v>26.86</c:v>
                </c:pt>
                <c:pt idx="11">
                  <c:v>27.1004</c:v>
                </c:pt>
                <c:pt idx="12">
                  <c:v>27.3462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F-4E72-8B72-554DFA364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25096"/>
        <c:axId val="1154425424"/>
      </c:lineChart>
      <c:catAx>
        <c:axId val="115442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424"/>
        <c:crosses val="autoZero"/>
        <c:auto val="1"/>
        <c:lblAlgn val="ctr"/>
        <c:lblOffset val="100"/>
        <c:noMultiLvlLbl val="0"/>
      </c:catAx>
      <c:valAx>
        <c:axId val="1154425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2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5Y</a:t>
            </a:r>
            <a:endParaRPr lang="ko-KR" altLang="ko-KR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'1-1)Swaption_Full_Blck'!$G$26:$G$38</c:f>
              <c:numCache>
                <c:formatCode>General</c:formatCode>
                <c:ptCount val="13"/>
                <c:pt idx="0">
                  <c:v>31.28</c:v>
                </c:pt>
                <c:pt idx="1">
                  <c:v>30.417000000000002</c:v>
                </c:pt>
                <c:pt idx="2">
                  <c:v>28.995000000000001</c:v>
                </c:pt>
                <c:pt idx="3">
                  <c:v>27.783999999999999</c:v>
                </c:pt>
                <c:pt idx="4">
                  <c:v>26.707999999999998</c:v>
                </c:pt>
                <c:pt idx="5">
                  <c:v>25.3443</c:v>
                </c:pt>
                <c:pt idx="6">
                  <c:v>23.416499999999999</c:v>
                </c:pt>
                <c:pt idx="7">
                  <c:v>22.79</c:v>
                </c:pt>
                <c:pt idx="8">
                  <c:v>22.06</c:v>
                </c:pt>
                <c:pt idx="9">
                  <c:v>21.850999999999999</c:v>
                </c:pt>
                <c:pt idx="10">
                  <c:v>21.64</c:v>
                </c:pt>
                <c:pt idx="11">
                  <c:v>22.36</c:v>
                </c:pt>
                <c:pt idx="12">
                  <c:v>23.086500000000001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F2-4951-88D8-ABC67021A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405896"/>
        <c:axId val="1168412784"/>
      </c:lineChart>
      <c:catAx>
        <c:axId val="116840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12784"/>
        <c:crosses val="autoZero"/>
        <c:auto val="1"/>
        <c:lblAlgn val="ctr"/>
        <c:lblOffset val="100"/>
        <c:noMultiLvlLbl val="0"/>
      </c:catAx>
      <c:valAx>
        <c:axId val="1168412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40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Normal Vol, Tenor : 10Y</a:t>
            </a:r>
            <a:endParaRPr lang="ko-KR" altLang="ko-KR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'1-1)Swaption_Full_Blck'!$B$26:$B$38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'1-1)Swaption_Full_Blck'!$L$26:$L$38</c:f>
              <c:numCache>
                <c:formatCode>General</c:formatCode>
                <c:ptCount val="13"/>
                <c:pt idx="0">
                  <c:v>33.58</c:v>
                </c:pt>
                <c:pt idx="1">
                  <c:v>33.692</c:v>
                </c:pt>
                <c:pt idx="2">
                  <c:v>31.760999999999999</c:v>
                </c:pt>
                <c:pt idx="3">
                  <c:v>29.954999999999998</c:v>
                </c:pt>
                <c:pt idx="4">
                  <c:v>28.161999999999999</c:v>
                </c:pt>
                <c:pt idx="5">
                  <c:v>25.349</c:v>
                </c:pt>
                <c:pt idx="6">
                  <c:v>24.652999999999999</c:v>
                </c:pt>
                <c:pt idx="7">
                  <c:v>24.01</c:v>
                </c:pt>
                <c:pt idx="8">
                  <c:v>23.341999999999999</c:v>
                </c:pt>
                <c:pt idx="9">
                  <c:v>23.9711</c:v>
                </c:pt>
                <c:pt idx="10">
                  <c:v>24.61</c:v>
                </c:pt>
                <c:pt idx="11">
                  <c:v>24.874600000000001</c:v>
                </c:pt>
                <c:pt idx="12">
                  <c:v>25.1373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4-4F77-BC73-B618A0F9A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33296"/>
        <c:axId val="1154433624"/>
      </c:lineChart>
      <c:catAx>
        <c:axId val="115443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624"/>
        <c:crosses val="autoZero"/>
        <c:auto val="1"/>
        <c:lblAlgn val="ctr"/>
        <c:lblOffset val="100"/>
        <c:noMultiLvlLbl val="0"/>
      </c:catAx>
      <c:valAx>
        <c:axId val="1154433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443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7-4599-B747-E357B30BB1C0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7-4599-B747-E357B30BB1C0}"/>
            </c:ext>
          </c:extLst>
        </c:ser>
        <c:ser>
          <c:idx val="1"/>
          <c:order val="2"/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77-4599-B747-E357B30BB1C0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'1-1)Swaption_Full_Blck'!$Q$26:$Q$38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77-4599-B747-E357B30B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3Y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'1-1)Swaption_Full_Blck'!$S$26:$S$38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03-45C3-A575-033F189D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5Y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F-4010-A7AC-794B5D59D3D8}"/>
            </c:ext>
          </c:extLst>
        </c:ser>
        <c:ser>
          <c:idx val="5"/>
          <c:order val="1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6F-4010-A7AC-794B5D59D3D8}"/>
            </c:ext>
          </c:extLst>
        </c:ser>
        <c:ser>
          <c:idx val="6"/>
          <c:order val="2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6F-4010-A7AC-794B5D59D3D8}"/>
            </c:ext>
          </c:extLst>
        </c:ser>
        <c:ser>
          <c:idx val="7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6F-4010-A7AC-794B5D59D3D8}"/>
            </c:ext>
          </c:extLst>
        </c:ser>
        <c:ser>
          <c:idx val="8"/>
          <c:order val="4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6F-4010-A7AC-794B5D59D3D8}"/>
            </c:ext>
          </c:extLst>
        </c:ser>
        <c:ser>
          <c:idx val="9"/>
          <c:order val="5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6F-4010-A7AC-794B5D59D3D8}"/>
            </c:ext>
          </c:extLst>
        </c:ser>
        <c:ser>
          <c:idx val="10"/>
          <c:order val="6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6F-4010-A7AC-794B5D59D3D8}"/>
            </c:ext>
          </c:extLst>
        </c:ser>
        <c:ser>
          <c:idx val="11"/>
          <c:order val="7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6F-4010-A7AC-794B5D59D3D8}"/>
            </c:ext>
          </c:extLst>
        </c:ser>
        <c:ser>
          <c:idx val="2"/>
          <c:order val="8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B6F-4010-A7AC-794B5D59D3D8}"/>
            </c:ext>
          </c:extLst>
        </c:ser>
        <c:ser>
          <c:idx val="3"/>
          <c:order val="9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B6F-4010-A7AC-794B5D59D3D8}"/>
            </c:ext>
          </c:extLst>
        </c:ser>
        <c:ser>
          <c:idx val="1"/>
          <c:order val="1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B6F-4010-A7AC-794B5D59D3D8}"/>
            </c:ext>
          </c:extLst>
        </c:ser>
        <c:ser>
          <c:idx val="0"/>
          <c:order val="11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'1-1)Swaption_Full_Blck'!$U$26:$U$38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B6F-4010-A7AC-794B5D59D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10Y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4"/>
          <c:order val="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0D-4A2D-95E4-A85989CED92C}"/>
            </c:ext>
          </c:extLst>
        </c:ser>
        <c:ser>
          <c:idx val="25"/>
          <c:order val="1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0D-4A2D-95E4-A85989CED92C}"/>
            </c:ext>
          </c:extLst>
        </c:ser>
        <c:ser>
          <c:idx val="26"/>
          <c:order val="2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0D-4A2D-95E4-A85989CED92C}"/>
            </c:ext>
          </c:extLst>
        </c:ser>
        <c:ser>
          <c:idx val="27"/>
          <c:order val="3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0D-4A2D-95E4-A85989CED92C}"/>
            </c:ext>
          </c:extLst>
        </c:ser>
        <c:ser>
          <c:idx val="28"/>
          <c:order val="4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0D-4A2D-95E4-A85989CED92C}"/>
            </c:ext>
          </c:extLst>
        </c:ser>
        <c:ser>
          <c:idx val="29"/>
          <c:order val="5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0D-4A2D-95E4-A85989CED92C}"/>
            </c:ext>
          </c:extLst>
        </c:ser>
        <c:ser>
          <c:idx val="30"/>
          <c:order val="6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0D-4A2D-95E4-A85989CED92C}"/>
            </c:ext>
          </c:extLst>
        </c:ser>
        <c:ser>
          <c:idx val="31"/>
          <c:order val="7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0D-4A2D-95E4-A85989CED92C}"/>
            </c:ext>
          </c:extLst>
        </c:ser>
        <c:ser>
          <c:idx val="32"/>
          <c:order val="8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0D-4A2D-95E4-A85989CED92C}"/>
            </c:ext>
          </c:extLst>
        </c:ser>
        <c:ser>
          <c:idx val="33"/>
          <c:order val="9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0D-4A2D-95E4-A85989CED92C}"/>
            </c:ext>
          </c:extLst>
        </c:ser>
        <c:ser>
          <c:idx val="34"/>
          <c:order val="1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0D-4A2D-95E4-A85989CED92C}"/>
            </c:ext>
          </c:extLst>
        </c:ser>
        <c:ser>
          <c:idx val="35"/>
          <c:order val="11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0D-4A2D-95E4-A85989CED92C}"/>
            </c:ext>
          </c:extLst>
        </c:ser>
        <c:ser>
          <c:idx val="36"/>
          <c:order val="12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0D-4A2D-95E4-A85989CED92C}"/>
            </c:ext>
          </c:extLst>
        </c:ser>
        <c:ser>
          <c:idx val="37"/>
          <c:order val="13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0D-4A2D-95E4-A85989CED92C}"/>
            </c:ext>
          </c:extLst>
        </c:ser>
        <c:ser>
          <c:idx val="38"/>
          <c:order val="14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0D-4A2D-95E4-A85989CED92C}"/>
            </c:ext>
          </c:extLst>
        </c:ser>
        <c:ser>
          <c:idx val="39"/>
          <c:order val="15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0D-4A2D-95E4-A85989CED92C}"/>
            </c:ext>
          </c:extLst>
        </c:ser>
        <c:ser>
          <c:idx val="40"/>
          <c:order val="16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0D-4A2D-95E4-A85989CED92C}"/>
            </c:ext>
          </c:extLst>
        </c:ser>
        <c:ser>
          <c:idx val="41"/>
          <c:order val="17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0D-4A2D-95E4-A85989CED92C}"/>
            </c:ext>
          </c:extLst>
        </c:ser>
        <c:ser>
          <c:idx val="42"/>
          <c:order val="18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0D-4A2D-95E4-A85989CED92C}"/>
            </c:ext>
          </c:extLst>
        </c:ser>
        <c:ser>
          <c:idx val="43"/>
          <c:order val="19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0D-4A2D-95E4-A85989CED92C}"/>
            </c:ext>
          </c:extLst>
        </c:ser>
        <c:ser>
          <c:idx val="44"/>
          <c:order val="2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0D-4A2D-95E4-A85989CED92C}"/>
            </c:ext>
          </c:extLst>
        </c:ser>
        <c:ser>
          <c:idx val="45"/>
          <c:order val="21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0D-4A2D-95E4-A85989CED92C}"/>
            </c:ext>
          </c:extLst>
        </c:ser>
        <c:ser>
          <c:idx val="46"/>
          <c:order val="22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0D-4A2D-95E4-A85989CED92C}"/>
            </c:ext>
          </c:extLst>
        </c:ser>
        <c:ser>
          <c:idx val="47"/>
          <c:order val="23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0D-4A2D-95E4-A85989CED92C}"/>
            </c:ext>
          </c:extLst>
        </c:ser>
        <c:ser>
          <c:idx val="4"/>
          <c:order val="24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0D-4A2D-95E4-A85989CED92C}"/>
            </c:ext>
          </c:extLst>
        </c:ser>
        <c:ser>
          <c:idx val="5"/>
          <c:order val="25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0D-4A2D-95E4-A85989CED92C}"/>
            </c:ext>
          </c:extLst>
        </c:ser>
        <c:ser>
          <c:idx val="6"/>
          <c:order val="26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0D-4A2D-95E4-A85989CED92C}"/>
            </c:ext>
          </c:extLst>
        </c:ser>
        <c:ser>
          <c:idx val="7"/>
          <c:order val="27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0D-4A2D-95E4-A85989CED92C}"/>
            </c:ext>
          </c:extLst>
        </c:ser>
        <c:ser>
          <c:idx val="8"/>
          <c:order val="28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0D-4A2D-95E4-A85989CED92C}"/>
            </c:ext>
          </c:extLst>
        </c:ser>
        <c:ser>
          <c:idx val="9"/>
          <c:order val="29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0D-4A2D-95E4-A85989CED92C}"/>
            </c:ext>
          </c:extLst>
        </c:ser>
        <c:ser>
          <c:idx val="10"/>
          <c:order val="3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0D-4A2D-95E4-A85989CED92C}"/>
            </c:ext>
          </c:extLst>
        </c:ser>
        <c:ser>
          <c:idx val="11"/>
          <c:order val="31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0D-4A2D-95E4-A85989CED92C}"/>
            </c:ext>
          </c:extLst>
        </c:ser>
        <c:ser>
          <c:idx val="12"/>
          <c:order val="32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40D-4A2D-95E4-A85989CED92C}"/>
            </c:ext>
          </c:extLst>
        </c:ser>
        <c:ser>
          <c:idx val="13"/>
          <c:order val="33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40D-4A2D-95E4-A85989CED92C}"/>
            </c:ext>
          </c:extLst>
        </c:ser>
        <c:ser>
          <c:idx val="14"/>
          <c:order val="34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40D-4A2D-95E4-A85989CED92C}"/>
            </c:ext>
          </c:extLst>
        </c:ser>
        <c:ser>
          <c:idx val="15"/>
          <c:order val="35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40D-4A2D-95E4-A85989CED92C}"/>
            </c:ext>
          </c:extLst>
        </c:ser>
        <c:ser>
          <c:idx val="16"/>
          <c:order val="36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40D-4A2D-95E4-A85989CED92C}"/>
            </c:ext>
          </c:extLst>
        </c:ser>
        <c:ser>
          <c:idx val="17"/>
          <c:order val="37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40D-4A2D-95E4-A85989CED92C}"/>
            </c:ext>
          </c:extLst>
        </c:ser>
        <c:ser>
          <c:idx val="18"/>
          <c:order val="38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40D-4A2D-95E4-A85989CED92C}"/>
            </c:ext>
          </c:extLst>
        </c:ser>
        <c:ser>
          <c:idx val="19"/>
          <c:order val="39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40D-4A2D-95E4-A85989CED92C}"/>
            </c:ext>
          </c:extLst>
        </c:ser>
        <c:ser>
          <c:idx val="20"/>
          <c:order val="40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40D-4A2D-95E4-A85989CED92C}"/>
            </c:ext>
          </c:extLst>
        </c:ser>
        <c:ser>
          <c:idx val="21"/>
          <c:order val="41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40D-4A2D-95E4-A85989CED92C}"/>
            </c:ext>
          </c:extLst>
        </c:ser>
        <c:ser>
          <c:idx val="22"/>
          <c:order val="42"/>
          <c:spPr>
            <a:ln w="25400"/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'1-1)Swaption_Full_Blck'!$Z$26:$Z$38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40D-4A2D-95E4-A85989CED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Black</a:t>
            </a:r>
            <a:r>
              <a:rPr lang="en-US" altLang="ko-KR" baseline="0"/>
              <a:t> Vol, Tenor : 20Y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2"/>
          <c:order val="0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'1-1)Swaption_Full_Blck'!$P$26:$P$38</c:f>
              <c:numCache>
                <c:formatCode>General</c:formatCode>
                <c:ptCount val="13"/>
              </c:numCache>
            </c:numRef>
          </c:cat>
          <c:val>
            <c:numRef>
              <c:f>'1-1)Swaption_Full_Blck'!$AB$26:$AB$38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1-4990-B234-F7CEB821B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313184"/>
        <c:axId val="1281315480"/>
      </c:lineChart>
      <c:catAx>
        <c:axId val="128131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5480"/>
        <c:crosses val="autoZero"/>
        <c:auto val="1"/>
        <c:lblAlgn val="ctr"/>
        <c:lblOffset val="100"/>
        <c:noMultiLvlLbl val="0"/>
      </c:catAx>
      <c:valAx>
        <c:axId val="1281315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13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Cap</a:t>
            </a:r>
            <a:r>
              <a:rPr lang="en-US" altLang="ko-KR" baseline="0"/>
              <a:t> Black Volatility by ATM + @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'1-3)Cap_Matrix (2)'!$B$23</c:f>
              <c:strCache>
                <c:ptCount val="1"/>
                <c:pt idx="0">
                  <c:v>1Yr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(2)'!$C$23:$AF$23</c:f>
              <c:numCache>
                <c:formatCode>General</c:formatCode>
                <c:ptCount val="30"/>
                <c:pt idx="0">
                  <c:v>57.777099999999997</c:v>
                </c:pt>
                <c:pt idx="1">
                  <c:v>57.777099999999997</c:v>
                </c:pt>
                <c:pt idx="2">
                  <c:v>57.777099999999997</c:v>
                </c:pt>
                <c:pt idx="3">
                  <c:v>57.777099999999997</c:v>
                </c:pt>
                <c:pt idx="4">
                  <c:v>57.777099999999997</c:v>
                </c:pt>
                <c:pt idx="5">
                  <c:v>47.019199999999998</c:v>
                </c:pt>
                <c:pt idx="6">
                  <c:v>53.924500000000002</c:v>
                </c:pt>
                <c:pt idx="7">
                  <c:v>47.581299999999999</c:v>
                </c:pt>
                <c:pt idx="8">
                  <c:v>44.401899999999998</c:v>
                </c:pt>
                <c:pt idx="9">
                  <c:v>44.058</c:v>
                </c:pt>
                <c:pt idx="10">
                  <c:v>43.412700000000001</c:v>
                </c:pt>
                <c:pt idx="11">
                  <c:v>45.972999999999999</c:v>
                </c:pt>
                <c:pt idx="12">
                  <c:v>49.238700000000001</c:v>
                </c:pt>
                <c:pt idx="13">
                  <c:v>51.366</c:v>
                </c:pt>
                <c:pt idx="14">
                  <c:v>52.8979</c:v>
                </c:pt>
                <c:pt idx="15">
                  <c:v>54.170900000000003</c:v>
                </c:pt>
                <c:pt idx="16">
                  <c:v>55.363999999999997</c:v>
                </c:pt>
                <c:pt idx="17">
                  <c:v>56.509900000000002</c:v>
                </c:pt>
                <c:pt idx="18">
                  <c:v>57.616500000000002</c:v>
                </c:pt>
                <c:pt idx="19">
                  <c:v>58.683999999999997</c:v>
                </c:pt>
                <c:pt idx="20">
                  <c:v>59.718600000000002</c:v>
                </c:pt>
                <c:pt idx="21">
                  <c:v>60.7256</c:v>
                </c:pt>
                <c:pt idx="22">
                  <c:v>61.705199999999998</c:v>
                </c:pt>
                <c:pt idx="23">
                  <c:v>62.657600000000002</c:v>
                </c:pt>
                <c:pt idx="24">
                  <c:v>63.587800000000001</c:v>
                </c:pt>
                <c:pt idx="25">
                  <c:v>64.495099999999994</c:v>
                </c:pt>
                <c:pt idx="26">
                  <c:v>65.381699999999995</c:v>
                </c:pt>
                <c:pt idx="27">
                  <c:v>66.25</c:v>
                </c:pt>
                <c:pt idx="28">
                  <c:v>67.102900000000005</c:v>
                </c:pt>
                <c:pt idx="29">
                  <c:v>67.935500000000005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3-4251-970C-1E8549AEB853}"/>
            </c:ext>
          </c:extLst>
        </c:ser>
        <c:ser>
          <c:idx val="1"/>
          <c:order val="1"/>
          <c:tx>
            <c:strRef>
              <c:f>'1-3)Cap_Matrix (2)'!$B$24</c:f>
              <c:strCache>
                <c:ptCount val="1"/>
                <c:pt idx="0">
                  <c:v>2Yr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(2)'!$C$24:$AF$24</c:f>
              <c:numCache>
                <c:formatCode>General</c:formatCode>
                <c:ptCount val="30"/>
                <c:pt idx="0">
                  <c:v>40.756599999999999</c:v>
                </c:pt>
                <c:pt idx="1">
                  <c:v>40.756599999999999</c:v>
                </c:pt>
                <c:pt idx="2">
                  <c:v>40.756599999999999</c:v>
                </c:pt>
                <c:pt idx="3">
                  <c:v>40.756599999999999</c:v>
                </c:pt>
                <c:pt idx="4">
                  <c:v>40.756599999999999</c:v>
                </c:pt>
                <c:pt idx="5">
                  <c:v>46.615499999999997</c:v>
                </c:pt>
                <c:pt idx="6">
                  <c:v>40.460099999999997</c:v>
                </c:pt>
                <c:pt idx="7">
                  <c:v>40.364100000000001</c:v>
                </c:pt>
                <c:pt idx="8">
                  <c:v>41.171900000000001</c:v>
                </c:pt>
                <c:pt idx="9">
                  <c:v>42.038499999999999</c:v>
                </c:pt>
                <c:pt idx="10">
                  <c:v>43.441099999999999</c:v>
                </c:pt>
                <c:pt idx="11">
                  <c:v>45.297499999999999</c:v>
                </c:pt>
                <c:pt idx="12">
                  <c:v>46.848399999999998</c:v>
                </c:pt>
                <c:pt idx="13">
                  <c:v>47.809399999999997</c:v>
                </c:pt>
                <c:pt idx="14">
                  <c:v>48.737499999999997</c:v>
                </c:pt>
                <c:pt idx="15">
                  <c:v>49.753700000000002</c:v>
                </c:pt>
                <c:pt idx="16">
                  <c:v>50.8065</c:v>
                </c:pt>
                <c:pt idx="17">
                  <c:v>51.841700000000003</c:v>
                </c:pt>
                <c:pt idx="18">
                  <c:v>52.8446</c:v>
                </c:pt>
                <c:pt idx="19">
                  <c:v>53.815600000000003</c:v>
                </c:pt>
                <c:pt idx="20">
                  <c:v>54.757899999999999</c:v>
                </c:pt>
                <c:pt idx="21">
                  <c:v>55.671599999999998</c:v>
                </c:pt>
                <c:pt idx="22">
                  <c:v>56.561399999999999</c:v>
                </c:pt>
                <c:pt idx="23">
                  <c:v>57.430100000000003</c:v>
                </c:pt>
                <c:pt idx="24">
                  <c:v>58.272199999999998</c:v>
                </c:pt>
                <c:pt idx="25">
                  <c:v>59.097900000000003</c:v>
                </c:pt>
                <c:pt idx="26">
                  <c:v>59.908099999999997</c:v>
                </c:pt>
                <c:pt idx="27">
                  <c:v>60.697099999999999</c:v>
                </c:pt>
                <c:pt idx="28">
                  <c:v>61.468400000000003</c:v>
                </c:pt>
                <c:pt idx="29">
                  <c:v>62.224600000000002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3-4251-970C-1E8549AEB853}"/>
            </c:ext>
          </c:extLst>
        </c:ser>
        <c:ser>
          <c:idx val="2"/>
          <c:order val="2"/>
          <c:tx>
            <c:strRef>
              <c:f>'1-3)Cap_Matrix (2)'!$B$25</c:f>
              <c:strCache>
                <c:ptCount val="1"/>
                <c:pt idx="0">
                  <c:v>3Yr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(2)'!$C$25:$AF$25</c:f>
              <c:numCache>
                <c:formatCode>General</c:formatCode>
                <c:ptCount val="30"/>
                <c:pt idx="0">
                  <c:v>42.489199999999997</c:v>
                </c:pt>
                <c:pt idx="1">
                  <c:v>42.489199999999997</c:v>
                </c:pt>
                <c:pt idx="2">
                  <c:v>42.489199999999997</c:v>
                </c:pt>
                <c:pt idx="3">
                  <c:v>42.489199999999997</c:v>
                </c:pt>
                <c:pt idx="4">
                  <c:v>42.489199999999997</c:v>
                </c:pt>
                <c:pt idx="5">
                  <c:v>48.607900000000001</c:v>
                </c:pt>
                <c:pt idx="6">
                  <c:v>43.065800000000003</c:v>
                </c:pt>
                <c:pt idx="7">
                  <c:v>43.9754</c:v>
                </c:pt>
                <c:pt idx="8">
                  <c:v>44.789099999999998</c:v>
                </c:pt>
                <c:pt idx="9">
                  <c:v>45.491100000000003</c:v>
                </c:pt>
                <c:pt idx="10">
                  <c:v>46.255899999999997</c:v>
                </c:pt>
                <c:pt idx="11">
                  <c:v>47.237000000000002</c:v>
                </c:pt>
                <c:pt idx="12">
                  <c:v>48.689399999999999</c:v>
                </c:pt>
                <c:pt idx="13">
                  <c:v>50.103499999999997</c:v>
                </c:pt>
                <c:pt idx="14">
                  <c:v>51.744100000000003</c:v>
                </c:pt>
                <c:pt idx="15">
                  <c:v>53.474600000000002</c:v>
                </c:pt>
                <c:pt idx="16">
                  <c:v>55.071399999999997</c:v>
                </c:pt>
                <c:pt idx="17">
                  <c:v>56.466000000000001</c:v>
                </c:pt>
                <c:pt idx="18">
                  <c:v>57.6965</c:v>
                </c:pt>
                <c:pt idx="19">
                  <c:v>58.818300000000001</c:v>
                </c:pt>
                <c:pt idx="20">
                  <c:v>59.8718</c:v>
                </c:pt>
                <c:pt idx="21">
                  <c:v>60.880200000000002</c:v>
                </c:pt>
                <c:pt idx="22">
                  <c:v>61.855400000000003</c:v>
                </c:pt>
                <c:pt idx="23">
                  <c:v>62.802300000000002</c:v>
                </c:pt>
                <c:pt idx="24">
                  <c:v>63.728999999999999</c:v>
                </c:pt>
                <c:pt idx="25">
                  <c:v>64.629099999999994</c:v>
                </c:pt>
                <c:pt idx="26">
                  <c:v>65.512500000000003</c:v>
                </c:pt>
                <c:pt idx="27">
                  <c:v>66.376099999999994</c:v>
                </c:pt>
                <c:pt idx="28">
                  <c:v>67.221100000000007</c:v>
                </c:pt>
                <c:pt idx="29">
                  <c:v>68.0505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3-4251-970C-1E8549AEB853}"/>
            </c:ext>
          </c:extLst>
        </c:ser>
        <c:ser>
          <c:idx val="3"/>
          <c:order val="3"/>
          <c:tx>
            <c:strRef>
              <c:f>'1-3)Cap_Matrix (2)'!$B$26</c:f>
              <c:strCache>
                <c:ptCount val="1"/>
                <c:pt idx="0">
                  <c:v>4Yr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(2)'!$C$26:$AF$26</c:f>
              <c:numCache>
                <c:formatCode>General</c:formatCode>
                <c:ptCount val="30"/>
                <c:pt idx="0">
                  <c:v>43.799500000000002</c:v>
                </c:pt>
                <c:pt idx="1">
                  <c:v>43.799500000000002</c:v>
                </c:pt>
                <c:pt idx="2">
                  <c:v>43.799500000000002</c:v>
                </c:pt>
                <c:pt idx="3">
                  <c:v>43.799500000000002</c:v>
                </c:pt>
                <c:pt idx="4">
                  <c:v>43.799500000000002</c:v>
                </c:pt>
                <c:pt idx="5">
                  <c:v>49.949599999999997</c:v>
                </c:pt>
                <c:pt idx="6">
                  <c:v>44.388500000000001</c:v>
                </c:pt>
                <c:pt idx="7">
                  <c:v>45.305199999999999</c:v>
                </c:pt>
                <c:pt idx="8">
                  <c:v>46.137099999999997</c:v>
                </c:pt>
                <c:pt idx="9">
                  <c:v>46.874600000000001</c:v>
                </c:pt>
                <c:pt idx="10">
                  <c:v>47.8384</c:v>
                </c:pt>
                <c:pt idx="11">
                  <c:v>48.662700000000001</c:v>
                </c:pt>
                <c:pt idx="12">
                  <c:v>49.9955</c:v>
                </c:pt>
                <c:pt idx="13">
                  <c:v>51.5</c:v>
                </c:pt>
                <c:pt idx="14">
                  <c:v>53.252600000000001</c:v>
                </c:pt>
                <c:pt idx="15">
                  <c:v>55.029600000000002</c:v>
                </c:pt>
                <c:pt idx="16">
                  <c:v>56.648200000000003</c:v>
                </c:pt>
                <c:pt idx="17">
                  <c:v>58.094499999999996</c:v>
                </c:pt>
                <c:pt idx="18">
                  <c:v>59.414099999999998</c:v>
                </c:pt>
                <c:pt idx="19">
                  <c:v>60.643500000000003</c:v>
                </c:pt>
                <c:pt idx="20">
                  <c:v>61.802999999999997</c:v>
                </c:pt>
                <c:pt idx="21">
                  <c:v>62.904600000000002</c:v>
                </c:pt>
                <c:pt idx="22">
                  <c:v>63.957299999999996</c:v>
                </c:pt>
                <c:pt idx="23">
                  <c:v>64.968900000000005</c:v>
                </c:pt>
                <c:pt idx="24">
                  <c:v>65.945700000000002</c:v>
                </c:pt>
                <c:pt idx="25">
                  <c:v>66.890900000000002</c:v>
                </c:pt>
                <c:pt idx="26">
                  <c:v>67.817099999999996</c:v>
                </c:pt>
                <c:pt idx="27">
                  <c:v>68.7166</c:v>
                </c:pt>
                <c:pt idx="28">
                  <c:v>69.593999999999994</c:v>
                </c:pt>
                <c:pt idx="29">
                  <c:v>70.457099999999997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3-4251-970C-1E8549AEB853}"/>
            </c:ext>
          </c:extLst>
        </c:ser>
        <c:ser>
          <c:idx val="4"/>
          <c:order val="4"/>
          <c:tx>
            <c:strRef>
              <c:f>'1-3)Cap_Matrix (2)'!$B$27</c:f>
              <c:strCache>
                <c:ptCount val="1"/>
                <c:pt idx="0">
                  <c:v>5Yr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(2)'!$C$27:$AF$27</c:f>
              <c:numCache>
                <c:formatCode>General</c:formatCode>
                <c:ptCount val="30"/>
                <c:pt idx="0">
                  <c:v>43.104199999999999</c:v>
                </c:pt>
                <c:pt idx="1">
                  <c:v>43.104199999999999</c:v>
                </c:pt>
                <c:pt idx="2">
                  <c:v>43.104199999999999</c:v>
                </c:pt>
                <c:pt idx="3">
                  <c:v>43.104199999999999</c:v>
                </c:pt>
                <c:pt idx="4">
                  <c:v>43.104199999999999</c:v>
                </c:pt>
                <c:pt idx="5">
                  <c:v>50.2089</c:v>
                </c:pt>
                <c:pt idx="6">
                  <c:v>43.729700000000001</c:v>
                </c:pt>
                <c:pt idx="7">
                  <c:v>44.7395</c:v>
                </c:pt>
                <c:pt idx="8">
                  <c:v>45.6845</c:v>
                </c:pt>
                <c:pt idx="9">
                  <c:v>46.553600000000003</c:v>
                </c:pt>
                <c:pt idx="10">
                  <c:v>47.900199999999998</c:v>
                </c:pt>
                <c:pt idx="11">
                  <c:v>48.950699999999998</c:v>
                </c:pt>
                <c:pt idx="12">
                  <c:v>50.289200000000001</c:v>
                </c:pt>
                <c:pt idx="13">
                  <c:v>51.7697</c:v>
                </c:pt>
                <c:pt idx="14">
                  <c:v>53.414000000000001</c:v>
                </c:pt>
                <c:pt idx="15">
                  <c:v>55.012500000000003</c:v>
                </c:pt>
                <c:pt idx="16">
                  <c:v>56.4358</c:v>
                </c:pt>
                <c:pt idx="17">
                  <c:v>57.698099999999997</c:v>
                </c:pt>
                <c:pt idx="18">
                  <c:v>58.848199999999999</c:v>
                </c:pt>
                <c:pt idx="19">
                  <c:v>59.921900000000001</c:v>
                </c:pt>
                <c:pt idx="20">
                  <c:v>60.940899999999999</c:v>
                </c:pt>
                <c:pt idx="21">
                  <c:v>61.9191</c:v>
                </c:pt>
                <c:pt idx="22">
                  <c:v>62.866500000000002</c:v>
                </c:pt>
                <c:pt idx="23">
                  <c:v>63.7898</c:v>
                </c:pt>
                <c:pt idx="24">
                  <c:v>64.693299999999994</c:v>
                </c:pt>
                <c:pt idx="25">
                  <c:v>65.580100000000002</c:v>
                </c:pt>
                <c:pt idx="26">
                  <c:v>66.4499</c:v>
                </c:pt>
                <c:pt idx="27">
                  <c:v>67.311199999999999</c:v>
                </c:pt>
                <c:pt idx="28">
                  <c:v>68.153700000000001</c:v>
                </c:pt>
                <c:pt idx="29">
                  <c:v>68.983599999999996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3-4251-970C-1E8549AEB853}"/>
            </c:ext>
          </c:extLst>
        </c:ser>
        <c:ser>
          <c:idx val="5"/>
          <c:order val="5"/>
          <c:tx>
            <c:strRef>
              <c:f>'1-3)Cap_Matrix (2)'!$B$28</c:f>
              <c:strCache>
                <c:ptCount val="1"/>
                <c:pt idx="0">
                  <c:v>6Yr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(2)'!$C$28:$AF$28</c:f>
              <c:numCache>
                <c:formatCode>General</c:formatCode>
                <c:ptCount val="30"/>
                <c:pt idx="0">
                  <c:v>42.664400000000001</c:v>
                </c:pt>
                <c:pt idx="1">
                  <c:v>42.664400000000001</c:v>
                </c:pt>
                <c:pt idx="2">
                  <c:v>42.664400000000001</c:v>
                </c:pt>
                <c:pt idx="3">
                  <c:v>42.664400000000001</c:v>
                </c:pt>
                <c:pt idx="4">
                  <c:v>42.664400000000001</c:v>
                </c:pt>
                <c:pt idx="5">
                  <c:v>50.226599999999998</c:v>
                </c:pt>
                <c:pt idx="6">
                  <c:v>43.299300000000002</c:v>
                </c:pt>
                <c:pt idx="7">
                  <c:v>44.335000000000001</c:v>
                </c:pt>
                <c:pt idx="8">
                  <c:v>45.315100000000001</c:v>
                </c:pt>
                <c:pt idx="9">
                  <c:v>46.232700000000001</c:v>
                </c:pt>
                <c:pt idx="10">
                  <c:v>47.763500000000001</c:v>
                </c:pt>
                <c:pt idx="11">
                  <c:v>48.981200000000001</c:v>
                </c:pt>
                <c:pt idx="12">
                  <c:v>50.347099999999998</c:v>
                </c:pt>
                <c:pt idx="13">
                  <c:v>51.806199999999997</c:v>
                </c:pt>
                <c:pt idx="14">
                  <c:v>53.363199999999999</c:v>
                </c:pt>
                <c:pt idx="15">
                  <c:v>54.838799999999999</c:v>
                </c:pt>
                <c:pt idx="16">
                  <c:v>56.145699999999998</c:v>
                </c:pt>
                <c:pt idx="17">
                  <c:v>57.3142</c:v>
                </c:pt>
                <c:pt idx="18">
                  <c:v>58.393500000000003</c:v>
                </c:pt>
                <c:pt idx="19">
                  <c:v>59.416499999999999</c:v>
                </c:pt>
                <c:pt idx="20">
                  <c:v>60.402299999999997</c:v>
                </c:pt>
                <c:pt idx="21">
                  <c:v>61.361800000000002</c:v>
                </c:pt>
                <c:pt idx="22">
                  <c:v>62.301000000000002</c:v>
                </c:pt>
                <c:pt idx="23">
                  <c:v>63.222999999999999</c:v>
                </c:pt>
                <c:pt idx="24">
                  <c:v>64.129199999999997</c:v>
                </c:pt>
                <c:pt idx="25">
                  <c:v>65.020200000000003</c:v>
                </c:pt>
                <c:pt idx="26">
                  <c:v>65.896199999999993</c:v>
                </c:pt>
                <c:pt idx="27">
                  <c:v>66.757400000000004</c:v>
                </c:pt>
                <c:pt idx="28">
                  <c:v>67.602599999999995</c:v>
                </c:pt>
                <c:pt idx="29">
                  <c:v>68.437899999999999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3-4251-970C-1E8549AEB853}"/>
            </c:ext>
          </c:extLst>
        </c:ser>
        <c:ser>
          <c:idx val="6"/>
          <c:order val="6"/>
          <c:tx>
            <c:strRef>
              <c:f>'1-3)Cap_Matrix (2)'!$B$29</c:f>
              <c:strCache>
                <c:ptCount val="1"/>
                <c:pt idx="0">
                  <c:v>7Yr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(2)'!$C$29:$AF$29</c:f>
              <c:numCache>
                <c:formatCode>General</c:formatCode>
                <c:ptCount val="30"/>
                <c:pt idx="0">
                  <c:v>42.501600000000003</c:v>
                </c:pt>
                <c:pt idx="1">
                  <c:v>42.501600000000003</c:v>
                </c:pt>
                <c:pt idx="2">
                  <c:v>42.501600000000003</c:v>
                </c:pt>
                <c:pt idx="3">
                  <c:v>42.501600000000003</c:v>
                </c:pt>
                <c:pt idx="4">
                  <c:v>42.501600000000003</c:v>
                </c:pt>
                <c:pt idx="5">
                  <c:v>50.216500000000003</c:v>
                </c:pt>
                <c:pt idx="6">
                  <c:v>43.132399999999997</c:v>
                </c:pt>
                <c:pt idx="7">
                  <c:v>44.159799999999997</c:v>
                </c:pt>
                <c:pt idx="8">
                  <c:v>45.138500000000001</c:v>
                </c:pt>
                <c:pt idx="9">
                  <c:v>46.064</c:v>
                </c:pt>
                <c:pt idx="10">
                  <c:v>47.668399999999998</c:v>
                </c:pt>
                <c:pt idx="11">
                  <c:v>48.980499999999999</c:v>
                </c:pt>
                <c:pt idx="12">
                  <c:v>50.365699999999997</c:v>
                </c:pt>
                <c:pt idx="13">
                  <c:v>51.809100000000001</c:v>
                </c:pt>
                <c:pt idx="14">
                  <c:v>53.307200000000002</c:v>
                </c:pt>
                <c:pt idx="15">
                  <c:v>54.708599999999997</c:v>
                </c:pt>
                <c:pt idx="16">
                  <c:v>55.956000000000003</c:v>
                </c:pt>
                <c:pt idx="17">
                  <c:v>57.087800000000001</c:v>
                </c:pt>
                <c:pt idx="18">
                  <c:v>58.150100000000002</c:v>
                </c:pt>
                <c:pt idx="19">
                  <c:v>59.1706</c:v>
                </c:pt>
                <c:pt idx="20">
                  <c:v>60.163499999999999</c:v>
                </c:pt>
                <c:pt idx="21">
                  <c:v>61.135399999999997</c:v>
                </c:pt>
                <c:pt idx="22">
                  <c:v>62.088999999999999</c:v>
                </c:pt>
                <c:pt idx="23">
                  <c:v>63.024999999999999</c:v>
                </c:pt>
                <c:pt idx="24">
                  <c:v>63.9437</c:v>
                </c:pt>
                <c:pt idx="25">
                  <c:v>64.844899999999996</c:v>
                </c:pt>
                <c:pt idx="26">
                  <c:v>65.728999999999999</c:v>
                </c:pt>
                <c:pt idx="27">
                  <c:v>66.596199999999996</c:v>
                </c:pt>
                <c:pt idx="28">
                  <c:v>67.447000000000003</c:v>
                </c:pt>
                <c:pt idx="29">
                  <c:v>68.2821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E63-4251-970C-1E8549AEB853}"/>
            </c:ext>
          </c:extLst>
        </c:ser>
        <c:ser>
          <c:idx val="7"/>
          <c:order val="7"/>
          <c:tx>
            <c:strRef>
              <c:f>'1-3)Cap_Matrix (2)'!$B$30</c:f>
              <c:strCache>
                <c:ptCount val="1"/>
                <c:pt idx="0">
                  <c:v>8Yr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(2)'!$C$30:$AF$30</c:f>
              <c:numCache>
                <c:formatCode>General</c:formatCode>
                <c:ptCount val="30"/>
                <c:pt idx="0">
                  <c:v>42.253300000000003</c:v>
                </c:pt>
                <c:pt idx="1">
                  <c:v>42.253300000000003</c:v>
                </c:pt>
                <c:pt idx="2">
                  <c:v>42.253300000000003</c:v>
                </c:pt>
                <c:pt idx="3">
                  <c:v>42.253300000000003</c:v>
                </c:pt>
                <c:pt idx="4">
                  <c:v>42.253300000000003</c:v>
                </c:pt>
                <c:pt idx="5">
                  <c:v>50.191400000000002</c:v>
                </c:pt>
                <c:pt idx="6">
                  <c:v>42.956099999999999</c:v>
                </c:pt>
                <c:pt idx="7">
                  <c:v>44.013199999999998</c:v>
                </c:pt>
                <c:pt idx="8">
                  <c:v>45.002299999999998</c:v>
                </c:pt>
                <c:pt idx="9">
                  <c:v>45.936399999999999</c:v>
                </c:pt>
                <c:pt idx="10">
                  <c:v>47.585799999999999</c:v>
                </c:pt>
                <c:pt idx="11">
                  <c:v>48.961199999999998</c:v>
                </c:pt>
                <c:pt idx="12">
                  <c:v>50.362400000000001</c:v>
                </c:pt>
                <c:pt idx="13">
                  <c:v>51.795000000000002</c:v>
                </c:pt>
                <c:pt idx="14">
                  <c:v>53.252600000000001</c:v>
                </c:pt>
                <c:pt idx="15">
                  <c:v>54.607999999999997</c:v>
                </c:pt>
                <c:pt idx="16">
                  <c:v>55.824399999999997</c:v>
                </c:pt>
                <c:pt idx="17">
                  <c:v>56.943300000000001</c:v>
                </c:pt>
                <c:pt idx="18">
                  <c:v>58.005600000000001</c:v>
                </c:pt>
                <c:pt idx="19">
                  <c:v>59.033799999999999</c:v>
                </c:pt>
                <c:pt idx="20">
                  <c:v>60.0379</c:v>
                </c:pt>
                <c:pt idx="21">
                  <c:v>61.021599999999999</c:v>
                </c:pt>
                <c:pt idx="22">
                  <c:v>61.985799999999998</c:v>
                </c:pt>
                <c:pt idx="23">
                  <c:v>62.930799999999998</c:v>
                </c:pt>
                <c:pt idx="24">
                  <c:v>63.856699999999996</c:v>
                </c:pt>
                <c:pt idx="25">
                  <c:v>64.7637</c:v>
                </c:pt>
                <c:pt idx="26">
                  <c:v>65.652199999999993</c:v>
                </c:pt>
                <c:pt idx="27">
                  <c:v>66.522999999999996</c:v>
                </c:pt>
                <c:pt idx="28">
                  <c:v>67.376800000000003</c:v>
                </c:pt>
                <c:pt idx="29">
                  <c:v>68.214399999999998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E63-4251-970C-1E8549AEB853}"/>
            </c:ext>
          </c:extLst>
        </c:ser>
        <c:ser>
          <c:idx val="8"/>
          <c:order val="8"/>
          <c:tx>
            <c:strRef>
              <c:f>'1-3)Cap_Matrix (2)'!$B$31</c:f>
              <c:strCache>
                <c:ptCount val="1"/>
                <c:pt idx="0">
                  <c:v>9Yr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(2)'!$C$31:$AF$31</c:f>
              <c:numCache>
                <c:formatCode>General</c:formatCode>
                <c:ptCount val="30"/>
                <c:pt idx="0">
                  <c:v>41.914000000000001</c:v>
                </c:pt>
                <c:pt idx="1">
                  <c:v>41.914000000000001</c:v>
                </c:pt>
                <c:pt idx="2">
                  <c:v>41.914000000000001</c:v>
                </c:pt>
                <c:pt idx="3">
                  <c:v>41.914000000000001</c:v>
                </c:pt>
                <c:pt idx="4">
                  <c:v>41.914000000000001</c:v>
                </c:pt>
                <c:pt idx="5">
                  <c:v>50.157800000000002</c:v>
                </c:pt>
                <c:pt idx="6">
                  <c:v>42.741700000000002</c:v>
                </c:pt>
                <c:pt idx="7">
                  <c:v>43.859299999999998</c:v>
                </c:pt>
                <c:pt idx="8">
                  <c:v>44.872</c:v>
                </c:pt>
                <c:pt idx="9">
                  <c:v>45.820099999999996</c:v>
                </c:pt>
                <c:pt idx="10">
                  <c:v>47.506599999999999</c:v>
                </c:pt>
                <c:pt idx="11">
                  <c:v>48.930300000000003</c:v>
                </c:pt>
                <c:pt idx="12">
                  <c:v>50.345999999999997</c:v>
                </c:pt>
                <c:pt idx="13">
                  <c:v>51.771500000000003</c:v>
                </c:pt>
                <c:pt idx="14">
                  <c:v>53.200699999999998</c:v>
                </c:pt>
                <c:pt idx="15">
                  <c:v>54.526600000000002</c:v>
                </c:pt>
                <c:pt idx="16">
                  <c:v>55.726700000000001</c:v>
                </c:pt>
                <c:pt idx="17">
                  <c:v>56.842399999999998</c:v>
                </c:pt>
                <c:pt idx="18">
                  <c:v>57.909799999999997</c:v>
                </c:pt>
                <c:pt idx="19">
                  <c:v>58.946800000000003</c:v>
                </c:pt>
                <c:pt idx="20">
                  <c:v>59.960299999999997</c:v>
                </c:pt>
                <c:pt idx="21">
                  <c:v>60.952500000000001</c:v>
                </c:pt>
                <c:pt idx="22">
                  <c:v>61.923900000000003</c:v>
                </c:pt>
                <c:pt idx="23">
                  <c:v>62.874499999999998</c:v>
                </c:pt>
                <c:pt idx="24">
                  <c:v>63.804699999999997</c:v>
                </c:pt>
                <c:pt idx="25">
                  <c:v>64.715000000000003</c:v>
                </c:pt>
                <c:pt idx="26">
                  <c:v>65.606200000000001</c:v>
                </c:pt>
                <c:pt idx="27">
                  <c:v>66.479200000000006</c:v>
                </c:pt>
                <c:pt idx="28">
                  <c:v>67.334800000000001</c:v>
                </c:pt>
                <c:pt idx="29">
                  <c:v>68.173900000000003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E63-4251-970C-1E8549AEB853}"/>
            </c:ext>
          </c:extLst>
        </c:ser>
        <c:ser>
          <c:idx val="9"/>
          <c:order val="9"/>
          <c:tx>
            <c:strRef>
              <c:f>'1-3)Cap_Matrix (2)'!$B$32</c:f>
              <c:strCache>
                <c:ptCount val="1"/>
                <c:pt idx="0">
                  <c:v>10Yr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(2)'!$C$32:$AF$32</c:f>
              <c:numCache>
                <c:formatCode>General</c:formatCode>
                <c:ptCount val="30"/>
                <c:pt idx="0">
                  <c:v>41.545000000000002</c:v>
                </c:pt>
                <c:pt idx="1">
                  <c:v>41.545000000000002</c:v>
                </c:pt>
                <c:pt idx="2">
                  <c:v>41.545000000000002</c:v>
                </c:pt>
                <c:pt idx="3">
                  <c:v>41.545000000000002</c:v>
                </c:pt>
                <c:pt idx="4">
                  <c:v>41.545000000000002</c:v>
                </c:pt>
                <c:pt idx="5">
                  <c:v>50.119100000000003</c:v>
                </c:pt>
                <c:pt idx="6">
                  <c:v>42.514800000000001</c:v>
                </c:pt>
                <c:pt idx="7">
                  <c:v>43.7044</c:v>
                </c:pt>
                <c:pt idx="8">
                  <c:v>44.746499999999997</c:v>
                </c:pt>
                <c:pt idx="9">
                  <c:v>45.711300000000001</c:v>
                </c:pt>
                <c:pt idx="10">
                  <c:v>47.430199999999999</c:v>
                </c:pt>
                <c:pt idx="11">
                  <c:v>48.892499999999998</c:v>
                </c:pt>
                <c:pt idx="12">
                  <c:v>50.321199999999997</c:v>
                </c:pt>
                <c:pt idx="13">
                  <c:v>51.7423</c:v>
                </c:pt>
                <c:pt idx="14">
                  <c:v>53.151299999999999</c:v>
                </c:pt>
                <c:pt idx="15">
                  <c:v>54.457500000000003</c:v>
                </c:pt>
                <c:pt idx="16">
                  <c:v>55.648800000000001</c:v>
                </c:pt>
                <c:pt idx="17">
                  <c:v>56.765099999999997</c:v>
                </c:pt>
                <c:pt idx="18">
                  <c:v>57.838000000000001</c:v>
                </c:pt>
                <c:pt idx="19">
                  <c:v>58.881999999999998</c:v>
                </c:pt>
                <c:pt idx="20">
                  <c:v>59.902099999999997</c:v>
                </c:pt>
                <c:pt idx="21">
                  <c:v>60.899900000000002</c:v>
                </c:pt>
                <c:pt idx="22">
                  <c:v>61.875500000000002</c:v>
                </c:pt>
                <c:pt idx="23">
                  <c:v>62.829300000000003</c:v>
                </c:pt>
                <c:pt idx="24">
                  <c:v>63.761899999999997</c:v>
                </c:pt>
                <c:pt idx="25">
                  <c:v>64.674000000000007</c:v>
                </c:pt>
                <c:pt idx="26">
                  <c:v>65.566599999999994</c:v>
                </c:pt>
                <c:pt idx="27">
                  <c:v>66.440700000000007</c:v>
                </c:pt>
                <c:pt idx="28">
                  <c:v>67.297200000000004</c:v>
                </c:pt>
                <c:pt idx="29">
                  <c:v>68.137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E63-4251-970C-1E8549AEB853}"/>
            </c:ext>
          </c:extLst>
        </c:ser>
        <c:ser>
          <c:idx val="10"/>
          <c:order val="10"/>
          <c:tx>
            <c:strRef>
              <c:f>'1-3)Cap_Matrix (2)'!$B$33</c:f>
              <c:strCache>
                <c:ptCount val="1"/>
                <c:pt idx="0">
                  <c:v>12Yr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(2)'!$C$33:$AF$33</c:f>
              <c:numCache>
                <c:formatCode>General</c:formatCode>
                <c:ptCount val="30"/>
                <c:pt idx="0">
                  <c:v>40.703299999999999</c:v>
                </c:pt>
                <c:pt idx="1">
                  <c:v>40.703299999999999</c:v>
                </c:pt>
                <c:pt idx="2">
                  <c:v>40.703299999999999</c:v>
                </c:pt>
                <c:pt idx="3">
                  <c:v>40.703299999999999</c:v>
                </c:pt>
                <c:pt idx="4">
                  <c:v>40.703299999999999</c:v>
                </c:pt>
                <c:pt idx="5">
                  <c:v>49.993600000000001</c:v>
                </c:pt>
                <c:pt idx="6">
                  <c:v>41.977800000000002</c:v>
                </c:pt>
                <c:pt idx="7">
                  <c:v>43.332700000000003</c:v>
                </c:pt>
                <c:pt idx="8">
                  <c:v>44.447400000000002</c:v>
                </c:pt>
                <c:pt idx="9">
                  <c:v>45.454999999999998</c:v>
                </c:pt>
                <c:pt idx="10">
                  <c:v>47.240600000000001</c:v>
                </c:pt>
                <c:pt idx="11">
                  <c:v>48.769500000000001</c:v>
                </c:pt>
                <c:pt idx="12">
                  <c:v>50.223700000000001</c:v>
                </c:pt>
                <c:pt idx="13">
                  <c:v>51.639600000000002</c:v>
                </c:pt>
                <c:pt idx="14">
                  <c:v>53.018599999999999</c:v>
                </c:pt>
                <c:pt idx="15">
                  <c:v>54.296500000000002</c:v>
                </c:pt>
                <c:pt idx="16">
                  <c:v>55.4741</c:v>
                </c:pt>
                <c:pt idx="17">
                  <c:v>56.588099999999997</c:v>
                </c:pt>
                <c:pt idx="18">
                  <c:v>57.6633</c:v>
                </c:pt>
                <c:pt idx="19">
                  <c:v>58.710099999999997</c:v>
                </c:pt>
                <c:pt idx="20">
                  <c:v>59.7318</c:v>
                </c:pt>
                <c:pt idx="21">
                  <c:v>60.729399999999998</c:v>
                </c:pt>
                <c:pt idx="22">
                  <c:v>61.703400000000002</c:v>
                </c:pt>
                <c:pt idx="23">
                  <c:v>62.654600000000002</c:v>
                </c:pt>
                <c:pt idx="24">
                  <c:v>63.5839</c:v>
                </c:pt>
                <c:pt idx="25">
                  <c:v>64.492599999999996</c:v>
                </c:pt>
                <c:pt idx="26">
                  <c:v>65.381699999999995</c:v>
                </c:pt>
                <c:pt idx="27">
                  <c:v>66.252300000000005</c:v>
                </c:pt>
                <c:pt idx="28">
                  <c:v>67.105599999999995</c:v>
                </c:pt>
                <c:pt idx="29">
                  <c:v>67.942300000000003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E63-4251-970C-1E8549AEB853}"/>
            </c:ext>
          </c:extLst>
        </c:ser>
        <c:ser>
          <c:idx val="11"/>
          <c:order val="11"/>
          <c:tx>
            <c:strRef>
              <c:f>'1-3)Cap_Matrix (2)'!$B$34</c:f>
              <c:strCache>
                <c:ptCount val="1"/>
                <c:pt idx="0">
                  <c:v>15Yr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(2)'!$C$34:$AF$34</c:f>
              <c:numCache>
                <c:formatCode>General</c:formatCode>
                <c:ptCount val="30"/>
                <c:pt idx="0">
                  <c:v>36.735700000000001</c:v>
                </c:pt>
                <c:pt idx="1">
                  <c:v>36.735700000000001</c:v>
                </c:pt>
                <c:pt idx="2">
                  <c:v>36.735700000000001</c:v>
                </c:pt>
                <c:pt idx="3">
                  <c:v>36.735700000000001</c:v>
                </c:pt>
                <c:pt idx="4">
                  <c:v>36.735700000000001</c:v>
                </c:pt>
                <c:pt idx="5">
                  <c:v>48.548099999999998</c:v>
                </c:pt>
                <c:pt idx="6">
                  <c:v>38.731699999999996</c:v>
                </c:pt>
                <c:pt idx="7">
                  <c:v>40.6554</c:v>
                </c:pt>
                <c:pt idx="8">
                  <c:v>42.127499999999998</c:v>
                </c:pt>
                <c:pt idx="9">
                  <c:v>43.403300000000002</c:v>
                </c:pt>
                <c:pt idx="10">
                  <c:v>45.597999999999999</c:v>
                </c:pt>
                <c:pt idx="11">
                  <c:v>47.430999999999997</c:v>
                </c:pt>
                <c:pt idx="12">
                  <c:v>49.031999999999996</c:v>
                </c:pt>
                <c:pt idx="13">
                  <c:v>50.461399999999998</c:v>
                </c:pt>
                <c:pt idx="14">
                  <c:v>51.764899999999997</c:v>
                </c:pt>
                <c:pt idx="15">
                  <c:v>52.936300000000003</c:v>
                </c:pt>
                <c:pt idx="16">
                  <c:v>54.003500000000003</c:v>
                </c:pt>
                <c:pt idx="17">
                  <c:v>55.006900000000002</c:v>
                </c:pt>
                <c:pt idx="18">
                  <c:v>55.969900000000003</c:v>
                </c:pt>
                <c:pt idx="19">
                  <c:v>56.902299999999997</c:v>
                </c:pt>
                <c:pt idx="20">
                  <c:v>57.807400000000001</c:v>
                </c:pt>
                <c:pt idx="21">
                  <c:v>58.686900000000001</c:v>
                </c:pt>
                <c:pt idx="22">
                  <c:v>59.541899999999998</c:v>
                </c:pt>
                <c:pt idx="23">
                  <c:v>60.374000000000002</c:v>
                </c:pt>
                <c:pt idx="24">
                  <c:v>61.184600000000003</c:v>
                </c:pt>
                <c:pt idx="25">
                  <c:v>61.9754</c:v>
                </c:pt>
                <c:pt idx="26">
                  <c:v>62.747799999999998</c:v>
                </c:pt>
                <c:pt idx="27">
                  <c:v>63.503500000000003</c:v>
                </c:pt>
                <c:pt idx="28">
                  <c:v>64.243799999999993</c:v>
                </c:pt>
                <c:pt idx="29">
                  <c:v>64.97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E63-4251-970C-1E8549AEB853}"/>
            </c:ext>
          </c:extLst>
        </c:ser>
        <c:ser>
          <c:idx val="12"/>
          <c:order val="12"/>
          <c:tx>
            <c:strRef>
              <c:f>'1-3)Cap_Matrix (2)'!$B$35</c:f>
              <c:strCache>
                <c:ptCount val="1"/>
                <c:pt idx="0">
                  <c:v>20Yr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(2)'!$C$35:$AF$35</c:f>
              <c:numCache>
                <c:formatCode>General</c:formatCode>
                <c:ptCount val="30"/>
                <c:pt idx="0">
                  <c:v>29.6983</c:v>
                </c:pt>
                <c:pt idx="1">
                  <c:v>29.6983</c:v>
                </c:pt>
                <c:pt idx="2">
                  <c:v>29.6983</c:v>
                </c:pt>
                <c:pt idx="3">
                  <c:v>29.6983</c:v>
                </c:pt>
                <c:pt idx="4">
                  <c:v>29.6983</c:v>
                </c:pt>
                <c:pt idx="5">
                  <c:v>45.096600000000002</c:v>
                </c:pt>
                <c:pt idx="6">
                  <c:v>32.626199999999997</c:v>
                </c:pt>
                <c:pt idx="7">
                  <c:v>35.355499999999999</c:v>
                </c:pt>
                <c:pt idx="8">
                  <c:v>37.378999999999998</c:v>
                </c:pt>
                <c:pt idx="9">
                  <c:v>39.101399999999998</c:v>
                </c:pt>
                <c:pt idx="10">
                  <c:v>42.023600000000002</c:v>
                </c:pt>
                <c:pt idx="11">
                  <c:v>44.426299999999998</c:v>
                </c:pt>
                <c:pt idx="12">
                  <c:v>46.360799999999998</c:v>
                </c:pt>
                <c:pt idx="13">
                  <c:v>47.899799999999999</c:v>
                </c:pt>
                <c:pt idx="14">
                  <c:v>49.165100000000002</c:v>
                </c:pt>
                <c:pt idx="15">
                  <c:v>50.238199999999999</c:v>
                </c:pt>
                <c:pt idx="16">
                  <c:v>51.186500000000002</c:v>
                </c:pt>
                <c:pt idx="17">
                  <c:v>52.058900000000001</c:v>
                </c:pt>
                <c:pt idx="18">
                  <c:v>52.880499999999998</c:v>
                </c:pt>
                <c:pt idx="19">
                  <c:v>53.661900000000003</c:v>
                </c:pt>
                <c:pt idx="20">
                  <c:v>54.407800000000002</c:v>
                </c:pt>
                <c:pt idx="21">
                  <c:v>55.121699999999997</c:v>
                </c:pt>
                <c:pt idx="22">
                  <c:v>55.806699999999999</c:v>
                </c:pt>
                <c:pt idx="23">
                  <c:v>56.466299999999997</c:v>
                </c:pt>
                <c:pt idx="24">
                  <c:v>57.103999999999999</c:v>
                </c:pt>
                <c:pt idx="25">
                  <c:v>57.723100000000002</c:v>
                </c:pt>
                <c:pt idx="26">
                  <c:v>58.327100000000002</c:v>
                </c:pt>
                <c:pt idx="27">
                  <c:v>58.918799999999997</c:v>
                </c:pt>
                <c:pt idx="28">
                  <c:v>59.500999999999998</c:v>
                </c:pt>
                <c:pt idx="29">
                  <c:v>60.076000000000001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E63-4251-970C-1E8549AEB853}"/>
            </c:ext>
          </c:extLst>
        </c:ser>
        <c:ser>
          <c:idx val="13"/>
          <c:order val="13"/>
          <c:tx>
            <c:strRef>
              <c:f>'1-3)Cap_Matrix (2)'!$B$36</c:f>
              <c:strCache>
                <c:ptCount val="1"/>
                <c:pt idx="0">
                  <c:v>25Yr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(2)'!$C$36:$AF$36</c:f>
              <c:numCache>
                <c:formatCode>General</c:formatCode>
                <c:ptCount val="30"/>
                <c:pt idx="0">
                  <c:v>27.2806</c:v>
                </c:pt>
                <c:pt idx="1">
                  <c:v>27.2806</c:v>
                </c:pt>
                <c:pt idx="2">
                  <c:v>27.2806</c:v>
                </c:pt>
                <c:pt idx="3">
                  <c:v>27.2806</c:v>
                </c:pt>
                <c:pt idx="4">
                  <c:v>27.2806</c:v>
                </c:pt>
                <c:pt idx="5">
                  <c:v>42.931600000000003</c:v>
                </c:pt>
                <c:pt idx="6">
                  <c:v>30.494599999999998</c:v>
                </c:pt>
                <c:pt idx="7">
                  <c:v>33.378500000000003</c:v>
                </c:pt>
                <c:pt idx="8">
                  <c:v>35.459800000000001</c:v>
                </c:pt>
                <c:pt idx="9">
                  <c:v>37.217799999999997</c:v>
                </c:pt>
                <c:pt idx="10">
                  <c:v>40.212800000000001</c:v>
                </c:pt>
                <c:pt idx="11">
                  <c:v>42.708100000000002</c:v>
                </c:pt>
                <c:pt idx="12">
                  <c:v>44.7042</c:v>
                </c:pt>
                <c:pt idx="13">
                  <c:v>46.237400000000001</c:v>
                </c:pt>
                <c:pt idx="14">
                  <c:v>47.440399999999997</c:v>
                </c:pt>
                <c:pt idx="15">
                  <c:v>48.428800000000003</c:v>
                </c:pt>
                <c:pt idx="16">
                  <c:v>49.286099999999998</c:v>
                </c:pt>
                <c:pt idx="17">
                  <c:v>50.064900000000002</c:v>
                </c:pt>
                <c:pt idx="18">
                  <c:v>50.792700000000004</c:v>
                </c:pt>
                <c:pt idx="19">
                  <c:v>51.483699999999999</c:v>
                </c:pt>
                <c:pt idx="20">
                  <c:v>52.147399999999998</c:v>
                </c:pt>
                <c:pt idx="21">
                  <c:v>52.791600000000003</c:v>
                </c:pt>
                <c:pt idx="22">
                  <c:v>53.423999999999999</c:v>
                </c:pt>
                <c:pt idx="23">
                  <c:v>54.050899999999999</c:v>
                </c:pt>
                <c:pt idx="24">
                  <c:v>54.677700000000002</c:v>
                </c:pt>
                <c:pt idx="25">
                  <c:v>55.308599999999998</c:v>
                </c:pt>
                <c:pt idx="26">
                  <c:v>55.946100000000001</c:v>
                </c:pt>
                <c:pt idx="27">
                  <c:v>56.591500000000003</c:v>
                </c:pt>
                <c:pt idx="28">
                  <c:v>57.244999999999997</c:v>
                </c:pt>
                <c:pt idx="29">
                  <c:v>57.905999999999999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E63-4251-970C-1E8549AEB853}"/>
            </c:ext>
          </c:extLst>
        </c:ser>
        <c:ser>
          <c:idx val="14"/>
          <c:order val="14"/>
          <c:tx>
            <c:strRef>
              <c:f>'1-3)Cap_Matrix (2)'!$B$37</c:f>
              <c:strCache>
                <c:ptCount val="1"/>
                <c:pt idx="0">
                  <c:v>30Yr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(2)'!$C$22:$AF$22</c:f>
              <c:strCache>
                <c:ptCount val="30"/>
                <c:pt idx="0">
                  <c:v>-1.5%</c:v>
                </c:pt>
                <c:pt idx="1">
                  <c:v>-1%</c:v>
                </c:pt>
                <c:pt idx="2">
                  <c:v>-0.75%</c:v>
                </c:pt>
                <c:pt idx="3">
                  <c:v>-0.5%</c:v>
                </c:pt>
                <c:pt idx="4">
                  <c:v>-0.25%</c:v>
                </c:pt>
                <c:pt idx="5">
                  <c:v>ATM</c:v>
                </c:pt>
                <c:pt idx="6">
                  <c:v>0.25%</c:v>
                </c:pt>
                <c:pt idx="7">
                  <c:v>0.5%</c:v>
                </c:pt>
                <c:pt idx="8">
                  <c:v>0.75%</c:v>
                </c:pt>
                <c:pt idx="9">
                  <c:v>1%</c:v>
                </c:pt>
                <c:pt idx="10">
                  <c:v>1.5%</c:v>
                </c:pt>
                <c:pt idx="11">
                  <c:v>2%</c:v>
                </c:pt>
                <c:pt idx="12">
                  <c:v>2.5%</c:v>
                </c:pt>
                <c:pt idx="13">
                  <c:v>3%</c:v>
                </c:pt>
                <c:pt idx="14">
                  <c:v>3.5%</c:v>
                </c:pt>
                <c:pt idx="15">
                  <c:v>4%</c:v>
                </c:pt>
                <c:pt idx="16">
                  <c:v>4.5%</c:v>
                </c:pt>
                <c:pt idx="17">
                  <c:v>5%</c:v>
                </c:pt>
                <c:pt idx="18">
                  <c:v>5.5%</c:v>
                </c:pt>
                <c:pt idx="19">
                  <c:v>6%</c:v>
                </c:pt>
                <c:pt idx="20">
                  <c:v>6.5%</c:v>
                </c:pt>
                <c:pt idx="21">
                  <c:v>7%</c:v>
                </c:pt>
                <c:pt idx="22">
                  <c:v>7.5%</c:v>
                </c:pt>
                <c:pt idx="23">
                  <c:v>8%</c:v>
                </c:pt>
                <c:pt idx="24">
                  <c:v>8.5%</c:v>
                </c:pt>
                <c:pt idx="25">
                  <c:v>9%</c:v>
                </c:pt>
                <c:pt idx="26">
                  <c:v>9.5%</c:v>
                </c:pt>
                <c:pt idx="27">
                  <c:v>10%</c:v>
                </c:pt>
                <c:pt idx="28">
                  <c:v>10.5%</c:v>
                </c:pt>
                <c:pt idx="29">
                  <c:v>11%</c:v>
                </c:pt>
              </c:strCache>
            </c:strRef>
          </c:cat>
          <c:val>
            <c:numRef>
              <c:f>'1-3)Cap_Matrix (2)'!$C$37:$AF$37</c:f>
              <c:numCache>
                <c:formatCode>General</c:formatCode>
                <c:ptCount val="30"/>
                <c:pt idx="0">
                  <c:v>25.807700000000001</c:v>
                </c:pt>
                <c:pt idx="1">
                  <c:v>25.807700000000001</c:v>
                </c:pt>
                <c:pt idx="2">
                  <c:v>25.807700000000001</c:v>
                </c:pt>
                <c:pt idx="3">
                  <c:v>25.807700000000001</c:v>
                </c:pt>
                <c:pt idx="4">
                  <c:v>25.807700000000001</c:v>
                </c:pt>
                <c:pt idx="5">
                  <c:v>41.473199999999999</c:v>
                </c:pt>
                <c:pt idx="6">
                  <c:v>29.2408</c:v>
                </c:pt>
                <c:pt idx="7">
                  <c:v>32.241100000000003</c:v>
                </c:pt>
                <c:pt idx="8">
                  <c:v>34.350299999999997</c:v>
                </c:pt>
                <c:pt idx="9">
                  <c:v>36.108499999999999</c:v>
                </c:pt>
                <c:pt idx="10">
                  <c:v>39.087600000000002</c:v>
                </c:pt>
                <c:pt idx="11">
                  <c:v>41.578800000000001</c:v>
                </c:pt>
                <c:pt idx="12">
                  <c:v>43.572899999999997</c:v>
                </c:pt>
                <c:pt idx="13">
                  <c:v>45.084899999999998</c:v>
                </c:pt>
                <c:pt idx="14">
                  <c:v>46.248600000000003</c:v>
                </c:pt>
                <c:pt idx="15">
                  <c:v>47.196199999999997</c:v>
                </c:pt>
                <c:pt idx="16">
                  <c:v>48.019599999999997</c:v>
                </c:pt>
                <c:pt idx="17">
                  <c:v>48.7742</c:v>
                </c:pt>
                <c:pt idx="18">
                  <c:v>49.489899999999999</c:v>
                </c:pt>
                <c:pt idx="19">
                  <c:v>50.183999999999997</c:v>
                </c:pt>
                <c:pt idx="20">
                  <c:v>50.868299999999998</c:v>
                </c:pt>
                <c:pt idx="21">
                  <c:v>51.551699999999997</c:v>
                </c:pt>
                <c:pt idx="22">
                  <c:v>52.240699999999997</c:v>
                </c:pt>
                <c:pt idx="23">
                  <c:v>52.939100000000003</c:v>
                </c:pt>
                <c:pt idx="24">
                  <c:v>53.648600000000002</c:v>
                </c:pt>
                <c:pt idx="25">
                  <c:v>54.368899999999996</c:v>
                </c:pt>
                <c:pt idx="26">
                  <c:v>55.098199999999999</c:v>
                </c:pt>
                <c:pt idx="27">
                  <c:v>55.834200000000003</c:v>
                </c:pt>
                <c:pt idx="28">
                  <c:v>56.574300000000001</c:v>
                </c:pt>
                <c:pt idx="29">
                  <c:v>57.315600000000003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E63-4251-970C-1E8549AEB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5330632"/>
        <c:axId val="1615328008"/>
      </c:lineChart>
      <c:catAx>
        <c:axId val="161533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15328008"/>
        <c:crosses val="autoZero"/>
        <c:auto val="1"/>
        <c:lblAlgn val="ctr"/>
        <c:lblOffset val="100"/>
        <c:noMultiLvlLbl val="0"/>
      </c:catAx>
      <c:valAx>
        <c:axId val="161532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1533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Cap</a:t>
            </a:r>
            <a:r>
              <a:rPr lang="en-US" altLang="ko-KR" baseline="0"/>
              <a:t> Normal Volatility by ATM + @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'1-3)Cap_Matrix (2)'!$AI$23</c:f>
              <c:strCache>
                <c:ptCount val="1"/>
                <c:pt idx="0">
                  <c:v>70.3429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(2)'!$AJ$23:$BU$23</c:f>
              <c:numCache>
                <c:formatCode>General</c:formatCode>
                <c:ptCount val="38"/>
                <c:pt idx="0">
                  <c:v>71.1173</c:v>
                </c:pt>
                <c:pt idx="1">
                  <c:v>71.881399999999999</c:v>
                </c:pt>
                <c:pt idx="2">
                  <c:v>72.630600000000001</c:v>
                </c:pt>
                <c:pt idx="3">
                  <c:v>73.365200000000002</c:v>
                </c:pt>
                <c:pt idx="4">
                  <c:v>74.096000000000004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BC-4725-BCAB-4D7A37606199}"/>
            </c:ext>
          </c:extLst>
        </c:ser>
        <c:ser>
          <c:idx val="1"/>
          <c:order val="1"/>
          <c:tx>
            <c:strRef>
              <c:f>'1-3)Cap_Matrix (2)'!$AI$24</c:f>
              <c:strCache>
                <c:ptCount val="1"/>
                <c:pt idx="0">
                  <c:v>64.4165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(2)'!$AJ$24:$BU$24</c:f>
              <c:numCache>
                <c:formatCode>General</c:formatCode>
                <c:ptCount val="38"/>
                <c:pt idx="0">
                  <c:v>65.124200000000002</c:v>
                </c:pt>
                <c:pt idx="1">
                  <c:v>65.8142</c:v>
                </c:pt>
                <c:pt idx="2">
                  <c:v>66.495800000000003</c:v>
                </c:pt>
                <c:pt idx="3">
                  <c:v>67.168499999999995</c:v>
                </c:pt>
                <c:pt idx="4">
                  <c:v>67.830100000000002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BC-4725-BCAB-4D7A37606199}"/>
            </c:ext>
          </c:extLst>
        </c:ser>
        <c:ser>
          <c:idx val="2"/>
          <c:order val="2"/>
          <c:tx>
            <c:strRef>
              <c:f>'1-3)Cap_Matrix (2)'!$AI$25</c:f>
              <c:strCache>
                <c:ptCount val="1"/>
                <c:pt idx="0">
                  <c:v>70.4483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(2)'!$AJ$25:$BU$25</c:f>
              <c:numCache>
                <c:formatCode>General</c:formatCode>
                <c:ptCount val="38"/>
                <c:pt idx="0">
                  <c:v>71.215599999999995</c:v>
                </c:pt>
                <c:pt idx="1">
                  <c:v>71.974800000000002</c:v>
                </c:pt>
                <c:pt idx="2">
                  <c:v>72.721999999999994</c:v>
                </c:pt>
                <c:pt idx="3">
                  <c:v>73.457099999999997</c:v>
                </c:pt>
                <c:pt idx="4">
                  <c:v>74.182100000000005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BC-4725-BCAB-4D7A37606199}"/>
            </c:ext>
          </c:extLst>
        </c:ser>
        <c:ser>
          <c:idx val="3"/>
          <c:order val="3"/>
          <c:tx>
            <c:strRef>
              <c:f>'1-3)Cap_Matrix (2)'!$AI$26</c:f>
              <c:strCache>
                <c:ptCount val="1"/>
                <c:pt idx="0">
                  <c:v>72.9462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(2)'!$AJ$26:$BU$26</c:f>
              <c:numCache>
                <c:formatCode>General</c:formatCode>
                <c:ptCount val="38"/>
                <c:pt idx="0">
                  <c:v>73.746499999999997</c:v>
                </c:pt>
                <c:pt idx="1">
                  <c:v>74.532700000000006</c:v>
                </c:pt>
                <c:pt idx="2">
                  <c:v>75.306299999999993</c:v>
                </c:pt>
                <c:pt idx="3">
                  <c:v>76.070999999999998</c:v>
                </c:pt>
                <c:pt idx="4">
                  <c:v>76.8249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BC-4725-BCAB-4D7A37606199}"/>
            </c:ext>
          </c:extLst>
        </c:ser>
        <c:ser>
          <c:idx val="4"/>
          <c:order val="4"/>
          <c:tx>
            <c:strRef>
              <c:f>'1-3)Cap_Matrix (2)'!$AI$27</c:f>
              <c:strCache>
                <c:ptCount val="1"/>
                <c:pt idx="0">
                  <c:v>71.402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(2)'!$AJ$27:$BU$27</c:f>
              <c:numCache>
                <c:formatCode>General</c:formatCode>
                <c:ptCount val="38"/>
                <c:pt idx="0">
                  <c:v>72.182100000000005</c:v>
                </c:pt>
                <c:pt idx="1">
                  <c:v>72.953800000000001</c:v>
                </c:pt>
                <c:pt idx="2">
                  <c:v>73.711200000000005</c:v>
                </c:pt>
                <c:pt idx="3">
                  <c:v>74.457800000000006</c:v>
                </c:pt>
                <c:pt idx="4">
                  <c:v>75.192999999999998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BC-4725-BCAB-4D7A37606199}"/>
            </c:ext>
          </c:extLst>
        </c:ser>
        <c:ser>
          <c:idx val="5"/>
          <c:order val="5"/>
          <c:tx>
            <c:strRef>
              <c:f>'1-3)Cap_Matrix (2)'!$AI$28</c:f>
              <c:strCache>
                <c:ptCount val="1"/>
                <c:pt idx="0">
                  <c:v>70.8502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(2)'!$AJ$28:$BU$28</c:f>
              <c:numCache>
                <c:formatCode>General</c:formatCode>
                <c:ptCount val="38"/>
                <c:pt idx="0">
                  <c:v>71.628600000000006</c:v>
                </c:pt>
                <c:pt idx="1">
                  <c:v>72.394800000000004</c:v>
                </c:pt>
                <c:pt idx="2">
                  <c:v>73.150000000000006</c:v>
                </c:pt>
                <c:pt idx="3">
                  <c:v>73.893900000000002</c:v>
                </c:pt>
                <c:pt idx="4">
                  <c:v>74.626000000000005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9BC-4725-BCAB-4D7A37606199}"/>
            </c:ext>
          </c:extLst>
        </c:ser>
        <c:ser>
          <c:idx val="6"/>
          <c:order val="6"/>
          <c:tx>
            <c:strRef>
              <c:f>'1-3)Cap_Matrix (2)'!$AI$29</c:f>
              <c:strCache>
                <c:ptCount val="1"/>
                <c:pt idx="0">
                  <c:v>70.699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(2)'!$AJ$29:$BU$29</c:f>
              <c:numCache>
                <c:formatCode>General</c:formatCode>
                <c:ptCount val="38"/>
                <c:pt idx="0">
                  <c:v>71.477500000000006</c:v>
                </c:pt>
                <c:pt idx="1">
                  <c:v>72.243499999999997</c:v>
                </c:pt>
                <c:pt idx="2">
                  <c:v>72.996300000000005</c:v>
                </c:pt>
                <c:pt idx="3">
                  <c:v>73.738</c:v>
                </c:pt>
                <c:pt idx="4">
                  <c:v>74.469399999999993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9BC-4725-BCAB-4D7A37606199}"/>
            </c:ext>
          </c:extLst>
        </c:ser>
        <c:ser>
          <c:idx val="7"/>
          <c:order val="7"/>
          <c:tx>
            <c:strRef>
              <c:f>'1-3)Cap_Matrix (2)'!$AI$30</c:f>
              <c:strCache>
                <c:ptCount val="1"/>
                <c:pt idx="0">
                  <c:v>70.6362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(2)'!$AJ$30:$BU$30</c:f>
              <c:numCache>
                <c:formatCode>General</c:formatCode>
                <c:ptCount val="38"/>
                <c:pt idx="0">
                  <c:v>71.417299999999997</c:v>
                </c:pt>
                <c:pt idx="1">
                  <c:v>72.184700000000007</c:v>
                </c:pt>
                <c:pt idx="2">
                  <c:v>72.939499999999995</c:v>
                </c:pt>
                <c:pt idx="3">
                  <c:v>73.682699999999997</c:v>
                </c:pt>
                <c:pt idx="4">
                  <c:v>74.417000000000002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9BC-4725-BCAB-4D7A37606199}"/>
            </c:ext>
          </c:extLst>
        </c:ser>
        <c:ser>
          <c:idx val="8"/>
          <c:order val="8"/>
          <c:tx>
            <c:strRef>
              <c:f>'1-3)Cap_Matrix (2)'!$AI$31</c:f>
              <c:strCache>
                <c:ptCount val="1"/>
                <c:pt idx="0">
                  <c:v>70.6001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(2)'!$AJ$31:$BU$31</c:f>
              <c:numCache>
                <c:formatCode>General</c:formatCode>
                <c:ptCount val="38"/>
                <c:pt idx="0">
                  <c:v>71.379800000000003</c:v>
                </c:pt>
                <c:pt idx="1">
                  <c:v>72.151499999999999</c:v>
                </c:pt>
                <c:pt idx="2">
                  <c:v>72.905199999999994</c:v>
                </c:pt>
                <c:pt idx="3">
                  <c:v>73.650099999999995</c:v>
                </c:pt>
                <c:pt idx="4">
                  <c:v>74.382999999999996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9BC-4725-BCAB-4D7A37606199}"/>
            </c:ext>
          </c:extLst>
        </c:ser>
        <c:ser>
          <c:idx val="9"/>
          <c:order val="9"/>
          <c:tx>
            <c:strRef>
              <c:f>'1-3)Cap_Matrix (2)'!$AI$32</c:f>
              <c:strCache>
                <c:ptCount val="1"/>
                <c:pt idx="0">
                  <c:v>70.5651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(2)'!$AJ$32:$BU$32</c:f>
              <c:numCache>
                <c:formatCode>General</c:formatCode>
                <c:ptCount val="38"/>
                <c:pt idx="0">
                  <c:v>71.346599999999995</c:v>
                </c:pt>
                <c:pt idx="1">
                  <c:v>72.114199999999997</c:v>
                </c:pt>
                <c:pt idx="2">
                  <c:v>72.871300000000005</c:v>
                </c:pt>
                <c:pt idx="3">
                  <c:v>73.616699999999994</c:v>
                </c:pt>
                <c:pt idx="4">
                  <c:v>74.349400000000003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BC-4725-BCAB-4D7A37606199}"/>
            </c:ext>
          </c:extLst>
        </c:ser>
        <c:ser>
          <c:idx val="10"/>
          <c:order val="10"/>
          <c:tx>
            <c:strRef>
              <c:f>'1-3)Cap_Matrix (2)'!$AI$33</c:f>
              <c:strCache>
                <c:ptCount val="1"/>
                <c:pt idx="0">
                  <c:v>70.3627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(2)'!$AJ$33:$BU$33</c:f>
              <c:numCache>
                <c:formatCode>General</c:formatCode>
                <c:ptCount val="38"/>
                <c:pt idx="0">
                  <c:v>71.141999999999996</c:v>
                </c:pt>
                <c:pt idx="1">
                  <c:v>71.908699999999996</c:v>
                </c:pt>
                <c:pt idx="2">
                  <c:v>72.663300000000007</c:v>
                </c:pt>
                <c:pt idx="3">
                  <c:v>73.406499999999994</c:v>
                </c:pt>
                <c:pt idx="4">
                  <c:v>74.1387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9BC-4725-BCAB-4D7A37606199}"/>
            </c:ext>
          </c:extLst>
        </c:ser>
        <c:ser>
          <c:idx val="11"/>
          <c:order val="11"/>
          <c:tx>
            <c:strRef>
              <c:f>'1-3)Cap_Matrix (2)'!$AI$34</c:f>
              <c:strCache>
                <c:ptCount val="1"/>
                <c:pt idx="0">
                  <c:v>67.0751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(2)'!$AJ$34:$BU$34</c:f>
              <c:numCache>
                <c:formatCode>General</c:formatCode>
                <c:ptCount val="38"/>
                <c:pt idx="0">
                  <c:v>67.755799999999994</c:v>
                </c:pt>
                <c:pt idx="1">
                  <c:v>68.427300000000002</c:v>
                </c:pt>
                <c:pt idx="2">
                  <c:v>69.090400000000002</c:v>
                </c:pt>
                <c:pt idx="3">
                  <c:v>69.745800000000003</c:v>
                </c:pt>
                <c:pt idx="4">
                  <c:v>70.394099999999995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9BC-4725-BCAB-4D7A37606199}"/>
            </c:ext>
          </c:extLst>
        </c:ser>
        <c:ser>
          <c:idx val="12"/>
          <c:order val="12"/>
          <c:tx>
            <c:strRef>
              <c:f>'1-3)Cap_Matrix (2)'!$AI$35</c:f>
              <c:strCache>
                <c:ptCount val="1"/>
                <c:pt idx="0">
                  <c:v>61.7756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(2)'!$AJ$35:$BU$35</c:f>
              <c:numCache>
                <c:formatCode>General</c:formatCode>
                <c:ptCount val="38"/>
                <c:pt idx="0">
                  <c:v>62.337899999999998</c:v>
                </c:pt>
                <c:pt idx="1">
                  <c:v>62.8996</c:v>
                </c:pt>
                <c:pt idx="2">
                  <c:v>63.461100000000002</c:v>
                </c:pt>
                <c:pt idx="3">
                  <c:v>64.022800000000004</c:v>
                </c:pt>
                <c:pt idx="4">
                  <c:v>64.584800000000001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9BC-4725-BCAB-4D7A37606199}"/>
            </c:ext>
          </c:extLst>
        </c:ser>
        <c:ser>
          <c:idx val="13"/>
          <c:order val="13"/>
          <c:tx>
            <c:strRef>
              <c:f>'1-3)Cap_Matrix (2)'!$AI$36</c:f>
              <c:strCache>
                <c:ptCount val="1"/>
                <c:pt idx="0">
                  <c:v>59.9212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(2)'!$AJ$36:$BU$36</c:f>
              <c:numCache>
                <c:formatCode>General</c:formatCode>
                <c:ptCount val="38"/>
                <c:pt idx="0">
                  <c:v>60.598300000000002</c:v>
                </c:pt>
                <c:pt idx="1">
                  <c:v>61.275300000000001</c:v>
                </c:pt>
                <c:pt idx="2">
                  <c:v>61.951000000000001</c:v>
                </c:pt>
                <c:pt idx="3">
                  <c:v>62.624000000000002</c:v>
                </c:pt>
                <c:pt idx="4">
                  <c:v>63.293199999999999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9BC-4725-BCAB-4D7A37606199}"/>
            </c:ext>
          </c:extLst>
        </c:ser>
        <c:ser>
          <c:idx val="14"/>
          <c:order val="14"/>
          <c:tx>
            <c:strRef>
              <c:f>'1-3)Cap_Matrix (2)'!$AI$37</c:f>
              <c:strCache>
                <c:ptCount val="1"/>
                <c:pt idx="0">
                  <c:v>59.5247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'1-3)Cap_Matrix (2)'!$AJ$22:$BU$22</c:f>
              <c:strCache>
                <c:ptCount val="5"/>
                <c:pt idx="0">
                  <c:v>13%</c:v>
                </c:pt>
                <c:pt idx="1">
                  <c:v>13.5%</c:v>
                </c:pt>
                <c:pt idx="2">
                  <c:v>14%</c:v>
                </c:pt>
                <c:pt idx="3">
                  <c:v>14.5%</c:v>
                </c:pt>
                <c:pt idx="4">
                  <c:v>15%</c:v>
                </c:pt>
              </c:strCache>
            </c:strRef>
          </c:cat>
          <c:val>
            <c:numRef>
              <c:f>'1-3)Cap_Matrix (2)'!$AJ$37:$BU$37</c:f>
              <c:numCache>
                <c:formatCode>General</c:formatCode>
                <c:ptCount val="38"/>
                <c:pt idx="0">
                  <c:v>60.250399999999999</c:v>
                </c:pt>
                <c:pt idx="1">
                  <c:v>60.968699999999998</c:v>
                </c:pt>
                <c:pt idx="2">
                  <c:v>61.679099999999998</c:v>
                </c:pt>
                <c:pt idx="3">
                  <c:v>62.381</c:v>
                </c:pt>
                <c:pt idx="4">
                  <c:v>63.074199999999998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9BC-4725-BCAB-4D7A37606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7360440"/>
        <c:axId val="1187361096"/>
      </c:lineChart>
      <c:catAx>
        <c:axId val="1187360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7361096"/>
        <c:crosses val="autoZero"/>
        <c:auto val="1"/>
        <c:lblAlgn val="ctr"/>
        <c:lblOffset val="100"/>
        <c:noMultiLvlLbl val="0"/>
      </c:catAx>
      <c:valAx>
        <c:axId val="118736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736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1596675415573385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20Y1Y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Sheet1!$C$3:$C$20</c:f>
              <c:numCache>
                <c:formatCode>0.00</c:formatCode>
                <c:ptCount val="9"/>
                <c:pt idx="0">
                  <c:v>32.9</c:v>
                </c:pt>
                <c:pt idx="1">
                  <c:v>22.6</c:v>
                </c:pt>
                <c:pt idx="2">
                  <c:v>22.7</c:v>
                </c:pt>
                <c:pt idx="3">
                  <c:v>22.8</c:v>
                </c:pt>
                <c:pt idx="4">
                  <c:v>22.2</c:v>
                </c:pt>
                <c:pt idx="5">
                  <c:v>21.7</c:v>
                </c:pt>
                <c:pt idx="6">
                  <c:v>21.8</c:v>
                </c:pt>
                <c:pt idx="7">
                  <c:v>21.5</c:v>
                </c:pt>
                <c:pt idx="8">
                  <c:v>20.6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EC-4D03-A5FA-62321BEE3AAE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15Y2Y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Sheet1!$D$3:$D$20</c:f>
              <c:numCache>
                <c:formatCode>0.00</c:formatCode>
                <c:ptCount val="9"/>
                <c:pt idx="0">
                  <c:v>28.2</c:v>
                </c:pt>
                <c:pt idx="1">
                  <c:v>27.2</c:v>
                </c:pt>
                <c:pt idx="2">
                  <c:v>27.4</c:v>
                </c:pt>
                <c:pt idx="3">
                  <c:v>27.4</c:v>
                </c:pt>
                <c:pt idx="4">
                  <c:v>26.7</c:v>
                </c:pt>
                <c:pt idx="5">
                  <c:v>25.9</c:v>
                </c:pt>
                <c:pt idx="6">
                  <c:v>25.8</c:v>
                </c:pt>
                <c:pt idx="7">
                  <c:v>25.4</c:v>
                </c:pt>
                <c:pt idx="8">
                  <c:v>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EC-4D03-A5FA-62321BEE3AAE}"/>
            </c:ext>
          </c:extLst>
        </c:ser>
        <c:ser>
          <c:idx val="2"/>
          <c:order val="2"/>
          <c:tx>
            <c:strRef>
              <c:f>Sheet1!$E$2</c:f>
              <c:strCache>
                <c:ptCount val="1"/>
                <c:pt idx="0">
                  <c:v>10Y3Y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Sheet1!$E$3:$E$20</c:f>
              <c:numCache>
                <c:formatCode>0.00</c:formatCode>
                <c:ptCount val="9"/>
                <c:pt idx="0">
                  <c:v>26.1</c:v>
                </c:pt>
                <c:pt idx="1">
                  <c:v>23.2</c:v>
                </c:pt>
                <c:pt idx="2">
                  <c:v>23.3</c:v>
                </c:pt>
                <c:pt idx="3">
                  <c:v>23.3</c:v>
                </c:pt>
                <c:pt idx="4">
                  <c:v>22.8</c:v>
                </c:pt>
                <c:pt idx="5">
                  <c:v>22.2</c:v>
                </c:pt>
                <c:pt idx="6">
                  <c:v>22</c:v>
                </c:pt>
                <c:pt idx="7">
                  <c:v>21.8</c:v>
                </c:pt>
                <c:pt idx="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EC-4D03-A5FA-62321BEE3AAE}"/>
            </c:ext>
          </c:extLst>
        </c:ser>
        <c:ser>
          <c:idx val="3"/>
          <c:order val="3"/>
          <c:tx>
            <c:strRef>
              <c:f>Sheet1!$F$2</c:f>
              <c:strCache>
                <c:ptCount val="1"/>
                <c:pt idx="0">
                  <c:v>7Y4Y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Sheet1!$F$3:$F$20</c:f>
              <c:numCache>
                <c:formatCode>0.00</c:formatCode>
                <c:ptCount val="9"/>
                <c:pt idx="0">
                  <c:v>24.5</c:v>
                </c:pt>
                <c:pt idx="1">
                  <c:v>22.5</c:v>
                </c:pt>
                <c:pt idx="2">
                  <c:v>22.6</c:v>
                </c:pt>
                <c:pt idx="3">
                  <c:v>22.6</c:v>
                </c:pt>
                <c:pt idx="4">
                  <c:v>22.1</c:v>
                </c:pt>
                <c:pt idx="5">
                  <c:v>21.6</c:v>
                </c:pt>
                <c:pt idx="6">
                  <c:v>21.5</c:v>
                </c:pt>
                <c:pt idx="7">
                  <c:v>21.3</c:v>
                </c:pt>
                <c:pt idx="8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EC-4D03-A5FA-62321BEE3AAE}"/>
            </c:ext>
          </c:extLst>
        </c:ser>
        <c:ser>
          <c:idx val="4"/>
          <c:order val="4"/>
          <c:tx>
            <c:strRef>
              <c:f>Sheet1!$G$2</c:f>
              <c:strCache>
                <c:ptCount val="1"/>
                <c:pt idx="0">
                  <c:v>5Y5Y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Sheet1!$G$3:$G$20</c:f>
              <c:numCache>
                <c:formatCode>0.00</c:formatCode>
                <c:ptCount val="9"/>
                <c:pt idx="0">
                  <c:v>23.5</c:v>
                </c:pt>
                <c:pt idx="1">
                  <c:v>23.1</c:v>
                </c:pt>
                <c:pt idx="2">
                  <c:v>23.2</c:v>
                </c:pt>
                <c:pt idx="3">
                  <c:v>23.1</c:v>
                </c:pt>
                <c:pt idx="4">
                  <c:v>22.5</c:v>
                </c:pt>
                <c:pt idx="5">
                  <c:v>22.3</c:v>
                </c:pt>
                <c:pt idx="6">
                  <c:v>22.5</c:v>
                </c:pt>
                <c:pt idx="7">
                  <c:v>22.3</c:v>
                </c:pt>
                <c:pt idx="8">
                  <c:v>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EC-4D03-A5FA-62321BEE3AAE}"/>
            </c:ext>
          </c:extLst>
        </c:ser>
        <c:ser>
          <c:idx val="5"/>
          <c:order val="5"/>
          <c:tx>
            <c:strRef>
              <c:f>Sheet1!$H$2</c:f>
              <c:strCache>
                <c:ptCount val="1"/>
                <c:pt idx="0">
                  <c:v>4Y7Y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Sheet1!$H$3:$H$20</c:f>
              <c:numCache>
                <c:formatCode>0.00</c:formatCode>
                <c:ptCount val="9"/>
                <c:pt idx="0">
                  <c:v>23.8</c:v>
                </c:pt>
                <c:pt idx="1">
                  <c:v>23.9</c:v>
                </c:pt>
                <c:pt idx="2">
                  <c:v>24</c:v>
                </c:pt>
                <c:pt idx="3">
                  <c:v>23.9</c:v>
                </c:pt>
                <c:pt idx="4">
                  <c:v>23.5</c:v>
                </c:pt>
                <c:pt idx="5">
                  <c:v>23.4</c:v>
                </c:pt>
                <c:pt idx="6">
                  <c:v>23.4</c:v>
                </c:pt>
                <c:pt idx="7">
                  <c:v>23.2</c:v>
                </c:pt>
                <c:pt idx="8">
                  <c:v>22.9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7EC-4D03-A5FA-62321BEE3AAE}"/>
            </c:ext>
          </c:extLst>
        </c:ser>
        <c:ser>
          <c:idx val="6"/>
          <c:order val="6"/>
          <c:tx>
            <c:strRef>
              <c:f>Sheet1!$I$2</c:f>
              <c:strCache>
                <c:ptCount val="1"/>
                <c:pt idx="0">
                  <c:v>3Y10Y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Sheet1!$I$3:$I$20</c:f>
              <c:numCache>
                <c:formatCode>0.00</c:formatCode>
                <c:ptCount val="9"/>
                <c:pt idx="0">
                  <c:v>25.9</c:v>
                </c:pt>
                <c:pt idx="1">
                  <c:v>25.4</c:v>
                </c:pt>
                <c:pt idx="2">
                  <c:v>25.5</c:v>
                </c:pt>
                <c:pt idx="3">
                  <c:v>25.5</c:v>
                </c:pt>
                <c:pt idx="4">
                  <c:v>25.3</c:v>
                </c:pt>
                <c:pt idx="5">
                  <c:v>24.9</c:v>
                </c:pt>
                <c:pt idx="6">
                  <c:v>24.8</c:v>
                </c:pt>
                <c:pt idx="7">
                  <c:v>24.6</c:v>
                </c:pt>
                <c:pt idx="8">
                  <c:v>24.2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7EC-4D03-A5FA-62321BEE3AAE}"/>
            </c:ext>
          </c:extLst>
        </c:ser>
        <c:ser>
          <c:idx val="7"/>
          <c:order val="7"/>
          <c:tx>
            <c:strRef>
              <c:f>Sheet1!$J$2</c:f>
              <c:strCache>
                <c:ptCount val="1"/>
                <c:pt idx="0">
                  <c:v>2Y15Y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Sheet1!$J$3:$J$20</c:f>
              <c:numCache>
                <c:formatCode>0.00</c:formatCode>
                <c:ptCount val="9"/>
                <c:pt idx="0">
                  <c:v>26.8</c:v>
                </c:pt>
                <c:pt idx="1">
                  <c:v>28.9</c:v>
                </c:pt>
                <c:pt idx="2">
                  <c:v>29.1</c:v>
                </c:pt>
                <c:pt idx="3">
                  <c:v>29.2</c:v>
                </c:pt>
                <c:pt idx="4">
                  <c:v>28.8</c:v>
                </c:pt>
                <c:pt idx="5">
                  <c:v>28</c:v>
                </c:pt>
                <c:pt idx="6">
                  <c:v>28</c:v>
                </c:pt>
                <c:pt idx="7">
                  <c:v>27.8</c:v>
                </c:pt>
                <c:pt idx="8">
                  <c:v>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7EC-4D03-A5FA-62321BEE3AAE}"/>
            </c:ext>
          </c:extLst>
        </c:ser>
        <c:ser>
          <c:idx val="8"/>
          <c:order val="8"/>
          <c:tx>
            <c:strRef>
              <c:f>Sheet1!$K$2</c:f>
              <c:strCache>
                <c:ptCount val="1"/>
                <c:pt idx="0">
                  <c:v>1Y20Y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Sheet1!$A$3:$B$20</c:f>
              <c:multiLvlStrCache>
                <c:ptCount val="9"/>
                <c:lvl>
                  <c:pt idx="0">
                    <c:v>Black</c:v>
                  </c:pt>
                  <c:pt idx="1">
                    <c:v>Black</c:v>
                  </c:pt>
                  <c:pt idx="2">
                    <c:v>Black</c:v>
                  </c:pt>
                  <c:pt idx="3">
                    <c:v>Black</c:v>
                  </c:pt>
                  <c:pt idx="4">
                    <c:v>Black</c:v>
                  </c:pt>
                  <c:pt idx="5">
                    <c:v>Black</c:v>
                  </c:pt>
                  <c:pt idx="6">
                    <c:v>Black</c:v>
                  </c:pt>
                  <c:pt idx="7">
                    <c:v>Black</c:v>
                  </c:pt>
                  <c:pt idx="8">
                    <c:v>Black</c:v>
                  </c:pt>
                </c:lvl>
                <c:lvl>
                  <c:pt idx="0">
                    <c:v>2021-04-19</c:v>
                  </c:pt>
                  <c:pt idx="1">
                    <c:v>2021-04-20</c:v>
                  </c:pt>
                  <c:pt idx="2">
                    <c:v>2021-04-21</c:v>
                  </c:pt>
                  <c:pt idx="3">
                    <c:v>2021-04-22</c:v>
                  </c:pt>
                  <c:pt idx="4">
                    <c:v>2021-04-23</c:v>
                  </c:pt>
                  <c:pt idx="5">
                    <c:v>2021-04-26</c:v>
                  </c:pt>
                  <c:pt idx="6">
                    <c:v>2021-04-27</c:v>
                  </c:pt>
                  <c:pt idx="7">
                    <c:v>2021-04-28</c:v>
                  </c:pt>
                  <c:pt idx="8">
                    <c:v>2021-04-29</c:v>
                  </c:pt>
                </c:lvl>
              </c:multiLvlStrCache>
            </c:multiLvlStrRef>
          </c:cat>
          <c:val>
            <c:numRef>
              <c:f>Sheet1!$K$3:$K$20</c:f>
              <c:numCache>
                <c:formatCode>0.00</c:formatCode>
                <c:ptCount val="9"/>
                <c:pt idx="0">
                  <c:v>27.6</c:v>
                </c:pt>
                <c:pt idx="1">
                  <c:v>32.9</c:v>
                </c:pt>
                <c:pt idx="2">
                  <c:v>33.4</c:v>
                </c:pt>
                <c:pt idx="3">
                  <c:v>33.5</c:v>
                </c:pt>
                <c:pt idx="4">
                  <c:v>32.700000000000003</c:v>
                </c:pt>
                <c:pt idx="5">
                  <c:v>31.8</c:v>
                </c:pt>
                <c:pt idx="6">
                  <c:v>31.9</c:v>
                </c:pt>
                <c:pt idx="7">
                  <c:v>31.5</c:v>
                </c:pt>
                <c:pt idx="8">
                  <c:v>31.2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7EC-4D03-A5FA-62321BEE3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0313968"/>
        <c:axId val="1490315608"/>
      </c:lineChart>
      <c:catAx>
        <c:axId val="149031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0315608"/>
        <c:crosses val="autoZero"/>
        <c:auto val="1"/>
        <c:lblAlgn val="ctr"/>
        <c:lblOffset val="100"/>
        <c:noMultiLvlLbl val="0"/>
      </c:catAx>
      <c:valAx>
        <c:axId val="149031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031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13" Type="http://schemas.openxmlformats.org/officeDocument/2006/relationships/chart" Target="../charts/chart66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12" Type="http://schemas.openxmlformats.org/officeDocument/2006/relationships/chart" Target="../charts/chart65.xml"/><Relationship Id="rId17" Type="http://schemas.openxmlformats.org/officeDocument/2006/relationships/chart" Target="../charts/chart70.xml"/><Relationship Id="rId2" Type="http://schemas.openxmlformats.org/officeDocument/2006/relationships/chart" Target="../charts/chart55.xml"/><Relationship Id="rId16" Type="http://schemas.openxmlformats.org/officeDocument/2006/relationships/chart" Target="../charts/chart69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11" Type="http://schemas.openxmlformats.org/officeDocument/2006/relationships/chart" Target="../charts/chart64.xml"/><Relationship Id="rId5" Type="http://schemas.openxmlformats.org/officeDocument/2006/relationships/chart" Target="../charts/chart58.xml"/><Relationship Id="rId15" Type="http://schemas.openxmlformats.org/officeDocument/2006/relationships/chart" Target="../charts/chart68.xml"/><Relationship Id="rId10" Type="http://schemas.openxmlformats.org/officeDocument/2006/relationships/chart" Target="../charts/chart63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Relationship Id="rId14" Type="http://schemas.openxmlformats.org/officeDocument/2006/relationships/chart" Target="../charts/chart6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68194</xdr:colOff>
      <xdr:row>30</xdr:row>
      <xdr:rowOff>158438</xdr:rowOff>
    </xdr:from>
    <xdr:to>
      <xdr:col>8</xdr:col>
      <xdr:colOff>145675</xdr:colOff>
      <xdr:row>54</xdr:row>
      <xdr:rowOff>72038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201707</xdr:colOff>
      <xdr:row>30</xdr:row>
      <xdr:rowOff>145197</xdr:rowOff>
    </xdr:from>
    <xdr:to>
      <xdr:col>13</xdr:col>
      <xdr:colOff>295428</xdr:colOff>
      <xdr:row>54</xdr:row>
      <xdr:rowOff>128868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217713</xdr:colOff>
      <xdr:row>30</xdr:row>
      <xdr:rowOff>115290</xdr:rowOff>
    </xdr:from>
    <xdr:to>
      <xdr:col>19</xdr:col>
      <xdr:colOff>27214</xdr:colOff>
      <xdr:row>53</xdr:row>
      <xdr:rowOff>163286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571502</xdr:colOff>
      <xdr:row>88</xdr:row>
      <xdr:rowOff>104776</xdr:rowOff>
    </xdr:from>
    <xdr:to>
      <xdr:col>8</xdr:col>
      <xdr:colOff>204109</xdr:colOff>
      <xdr:row>104</xdr:row>
      <xdr:rowOff>163286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142876</xdr:colOff>
      <xdr:row>89</xdr:row>
      <xdr:rowOff>9523</xdr:rowOff>
    </xdr:from>
    <xdr:to>
      <xdr:col>18</xdr:col>
      <xdr:colOff>68038</xdr:colOff>
      <xdr:row>104</xdr:row>
      <xdr:rowOff>163284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183695</xdr:colOff>
      <xdr:row>89</xdr:row>
      <xdr:rowOff>9522</xdr:rowOff>
    </xdr:from>
    <xdr:to>
      <xdr:col>22</xdr:col>
      <xdr:colOff>653142</xdr:colOff>
      <xdr:row>105</xdr:row>
      <xdr:rowOff>31294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156478</xdr:colOff>
      <xdr:row>88</xdr:row>
      <xdr:rowOff>104772</xdr:rowOff>
    </xdr:from>
    <xdr:to>
      <xdr:col>13</xdr:col>
      <xdr:colOff>54426</xdr:colOff>
      <xdr:row>104</xdr:row>
      <xdr:rowOff>99331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88</xdr:row>
      <xdr:rowOff>36739</xdr:rowOff>
    </xdr:from>
    <xdr:to>
      <xdr:col>3</xdr:col>
      <xdr:colOff>489857</xdr:colOff>
      <xdr:row>104</xdr:row>
      <xdr:rowOff>149678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40821</xdr:colOff>
      <xdr:row>57</xdr:row>
      <xdr:rowOff>54430</xdr:rowOff>
    </xdr:from>
    <xdr:to>
      <xdr:col>3</xdr:col>
      <xdr:colOff>533879</xdr:colOff>
      <xdr:row>71</xdr:row>
      <xdr:rowOff>163286</xdr:rowOff>
    </xdr:to>
    <xdr:graphicFrame macro="">
      <xdr:nvGraphicFramePr>
        <xdr:cNvPr id="10" name="차트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619125</xdr:colOff>
      <xdr:row>57</xdr:row>
      <xdr:rowOff>13608</xdr:rowOff>
    </xdr:from>
    <xdr:to>
      <xdr:col>8</xdr:col>
      <xdr:colOff>217715</xdr:colOff>
      <xdr:row>71</xdr:row>
      <xdr:rowOff>108857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110058</xdr:colOff>
      <xdr:row>56</xdr:row>
      <xdr:rowOff>190499</xdr:rowOff>
    </xdr:from>
    <xdr:to>
      <xdr:col>23</xdr:col>
      <xdr:colOff>24814</xdr:colOff>
      <xdr:row>71</xdr:row>
      <xdr:rowOff>153681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322170</xdr:colOff>
      <xdr:row>57</xdr:row>
      <xdr:rowOff>27214</xdr:rowOff>
    </xdr:from>
    <xdr:to>
      <xdr:col>13</xdr:col>
      <xdr:colOff>188900</xdr:colOff>
      <xdr:row>71</xdr:row>
      <xdr:rowOff>101732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137272</xdr:colOff>
      <xdr:row>56</xdr:row>
      <xdr:rowOff>190501</xdr:rowOff>
    </xdr:from>
    <xdr:to>
      <xdr:col>17</xdr:col>
      <xdr:colOff>674754</xdr:colOff>
      <xdr:row>71</xdr:row>
      <xdr:rowOff>101736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71</xdr:row>
      <xdr:rowOff>172809</xdr:rowOff>
    </xdr:from>
    <xdr:to>
      <xdr:col>3</xdr:col>
      <xdr:colOff>585107</xdr:colOff>
      <xdr:row>86</xdr:row>
      <xdr:rowOff>13607</xdr:rowOff>
    </xdr:to>
    <xdr:graphicFrame macro="">
      <xdr:nvGraphicFramePr>
        <xdr:cNvPr id="15" name="차트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625928</xdr:colOff>
      <xdr:row>72</xdr:row>
      <xdr:rowOff>-1</xdr:rowOff>
    </xdr:from>
    <xdr:to>
      <xdr:col>8</xdr:col>
      <xdr:colOff>258535</xdr:colOff>
      <xdr:row>86</xdr:row>
      <xdr:rowOff>17690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343381</xdr:colOff>
      <xdr:row>71</xdr:row>
      <xdr:rowOff>161684</xdr:rowOff>
    </xdr:from>
    <xdr:to>
      <xdr:col>13</xdr:col>
      <xdr:colOff>112060</xdr:colOff>
      <xdr:row>86</xdr:row>
      <xdr:rowOff>2482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184897</xdr:colOff>
      <xdr:row>71</xdr:row>
      <xdr:rowOff>143274</xdr:rowOff>
    </xdr:from>
    <xdr:to>
      <xdr:col>18</xdr:col>
      <xdr:colOff>48826</xdr:colOff>
      <xdr:row>85</xdr:row>
      <xdr:rowOff>160965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92048</xdr:colOff>
      <xdr:row>71</xdr:row>
      <xdr:rowOff>152081</xdr:rowOff>
    </xdr:from>
    <xdr:to>
      <xdr:col>23</xdr:col>
      <xdr:colOff>119262</xdr:colOff>
      <xdr:row>85</xdr:row>
      <xdr:rowOff>169772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42</xdr:row>
          <xdr:rowOff>47625</xdr:rowOff>
        </xdr:from>
        <xdr:to>
          <xdr:col>2</xdr:col>
          <xdr:colOff>0</xdr:colOff>
          <xdr:row>44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Black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45</xdr:row>
          <xdr:rowOff>123825</xdr:rowOff>
        </xdr:from>
        <xdr:to>
          <xdr:col>2</xdr:col>
          <xdr:colOff>38100</xdr:colOff>
          <xdr:row>48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Normal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35378</xdr:colOff>
      <xdr:row>31</xdr:row>
      <xdr:rowOff>4756</xdr:rowOff>
    </xdr:from>
    <xdr:to>
      <xdr:col>8</xdr:col>
      <xdr:colOff>122463</xdr:colOff>
      <xdr:row>54</xdr:row>
      <xdr:rowOff>95249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163287</xdr:colOff>
      <xdr:row>30</xdr:row>
      <xdr:rowOff>166008</xdr:rowOff>
    </xdr:from>
    <xdr:to>
      <xdr:col>13</xdr:col>
      <xdr:colOff>247404</xdr:colOff>
      <xdr:row>54</xdr:row>
      <xdr:rowOff>149679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217713</xdr:colOff>
      <xdr:row>30</xdr:row>
      <xdr:rowOff>115290</xdr:rowOff>
    </xdr:from>
    <xdr:to>
      <xdr:col>19</xdr:col>
      <xdr:colOff>27214</xdr:colOff>
      <xdr:row>53</xdr:row>
      <xdr:rowOff>163286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571502</xdr:colOff>
      <xdr:row>88</xdr:row>
      <xdr:rowOff>104776</xdr:rowOff>
    </xdr:from>
    <xdr:to>
      <xdr:col>8</xdr:col>
      <xdr:colOff>204109</xdr:colOff>
      <xdr:row>104</xdr:row>
      <xdr:rowOff>163286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142876</xdr:colOff>
      <xdr:row>89</xdr:row>
      <xdr:rowOff>9523</xdr:rowOff>
    </xdr:from>
    <xdr:to>
      <xdr:col>18</xdr:col>
      <xdr:colOff>68038</xdr:colOff>
      <xdr:row>104</xdr:row>
      <xdr:rowOff>163284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183695</xdr:colOff>
      <xdr:row>89</xdr:row>
      <xdr:rowOff>9522</xdr:rowOff>
    </xdr:from>
    <xdr:to>
      <xdr:col>22</xdr:col>
      <xdr:colOff>653142</xdr:colOff>
      <xdr:row>105</xdr:row>
      <xdr:rowOff>31294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156478</xdr:colOff>
      <xdr:row>88</xdr:row>
      <xdr:rowOff>104772</xdr:rowOff>
    </xdr:from>
    <xdr:to>
      <xdr:col>13</xdr:col>
      <xdr:colOff>54426</xdr:colOff>
      <xdr:row>104</xdr:row>
      <xdr:rowOff>99331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88</xdr:row>
      <xdr:rowOff>36739</xdr:rowOff>
    </xdr:from>
    <xdr:to>
      <xdr:col>3</xdr:col>
      <xdr:colOff>489857</xdr:colOff>
      <xdr:row>104</xdr:row>
      <xdr:rowOff>149678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40821</xdr:colOff>
      <xdr:row>57</xdr:row>
      <xdr:rowOff>54430</xdr:rowOff>
    </xdr:from>
    <xdr:to>
      <xdr:col>3</xdr:col>
      <xdr:colOff>533879</xdr:colOff>
      <xdr:row>71</xdr:row>
      <xdr:rowOff>163286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619125</xdr:colOff>
      <xdr:row>57</xdr:row>
      <xdr:rowOff>13608</xdr:rowOff>
    </xdr:from>
    <xdr:to>
      <xdr:col>8</xdr:col>
      <xdr:colOff>217715</xdr:colOff>
      <xdr:row>71</xdr:row>
      <xdr:rowOff>108857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110058</xdr:colOff>
      <xdr:row>56</xdr:row>
      <xdr:rowOff>190499</xdr:rowOff>
    </xdr:from>
    <xdr:to>
      <xdr:col>23</xdr:col>
      <xdr:colOff>24814</xdr:colOff>
      <xdr:row>71</xdr:row>
      <xdr:rowOff>153681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322170</xdr:colOff>
      <xdr:row>57</xdr:row>
      <xdr:rowOff>27214</xdr:rowOff>
    </xdr:from>
    <xdr:to>
      <xdr:col>13</xdr:col>
      <xdr:colOff>188900</xdr:colOff>
      <xdr:row>71</xdr:row>
      <xdr:rowOff>101732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137272</xdr:colOff>
      <xdr:row>56</xdr:row>
      <xdr:rowOff>190501</xdr:rowOff>
    </xdr:from>
    <xdr:to>
      <xdr:col>17</xdr:col>
      <xdr:colOff>674754</xdr:colOff>
      <xdr:row>71</xdr:row>
      <xdr:rowOff>101736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71</xdr:row>
      <xdr:rowOff>172809</xdr:rowOff>
    </xdr:from>
    <xdr:to>
      <xdr:col>3</xdr:col>
      <xdr:colOff>585107</xdr:colOff>
      <xdr:row>86</xdr:row>
      <xdr:rowOff>13607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625928</xdr:colOff>
      <xdr:row>72</xdr:row>
      <xdr:rowOff>-1</xdr:rowOff>
    </xdr:from>
    <xdr:to>
      <xdr:col>8</xdr:col>
      <xdr:colOff>258535</xdr:colOff>
      <xdr:row>86</xdr:row>
      <xdr:rowOff>17690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343381</xdr:colOff>
      <xdr:row>71</xdr:row>
      <xdr:rowOff>161684</xdr:rowOff>
    </xdr:from>
    <xdr:to>
      <xdr:col>13</xdr:col>
      <xdr:colOff>112060</xdr:colOff>
      <xdr:row>86</xdr:row>
      <xdr:rowOff>2482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184897</xdr:colOff>
      <xdr:row>71</xdr:row>
      <xdr:rowOff>143274</xdr:rowOff>
    </xdr:from>
    <xdr:to>
      <xdr:col>18</xdr:col>
      <xdr:colOff>48826</xdr:colOff>
      <xdr:row>85</xdr:row>
      <xdr:rowOff>160965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92048</xdr:colOff>
      <xdr:row>71</xdr:row>
      <xdr:rowOff>152081</xdr:rowOff>
    </xdr:from>
    <xdr:to>
      <xdr:col>23</xdr:col>
      <xdr:colOff>119262</xdr:colOff>
      <xdr:row>85</xdr:row>
      <xdr:rowOff>169772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42</xdr:row>
          <xdr:rowOff>47625</xdr:rowOff>
        </xdr:from>
        <xdr:to>
          <xdr:col>2</xdr:col>
          <xdr:colOff>0</xdr:colOff>
          <xdr:row>44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Black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45</xdr:row>
          <xdr:rowOff>123825</xdr:rowOff>
        </xdr:from>
        <xdr:to>
          <xdr:col>2</xdr:col>
          <xdr:colOff>38100</xdr:colOff>
          <xdr:row>48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Normal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68194</xdr:colOff>
      <xdr:row>38</xdr:row>
      <xdr:rowOff>158438</xdr:rowOff>
    </xdr:from>
    <xdr:to>
      <xdr:col>8</xdr:col>
      <xdr:colOff>145675</xdr:colOff>
      <xdr:row>62</xdr:row>
      <xdr:rowOff>72038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79167</xdr:colOff>
      <xdr:row>39</xdr:row>
      <xdr:rowOff>63335</xdr:rowOff>
    </xdr:from>
    <xdr:to>
      <xdr:col>14</xdr:col>
      <xdr:colOff>390896</xdr:colOff>
      <xdr:row>62</xdr:row>
      <xdr:rowOff>111331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571502</xdr:colOff>
      <xdr:row>96</xdr:row>
      <xdr:rowOff>104776</xdr:rowOff>
    </xdr:from>
    <xdr:to>
      <xdr:col>8</xdr:col>
      <xdr:colOff>204109</xdr:colOff>
      <xdr:row>112</xdr:row>
      <xdr:rowOff>163286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142876</xdr:colOff>
      <xdr:row>97</xdr:row>
      <xdr:rowOff>9523</xdr:rowOff>
    </xdr:from>
    <xdr:to>
      <xdr:col>18</xdr:col>
      <xdr:colOff>68038</xdr:colOff>
      <xdr:row>112</xdr:row>
      <xdr:rowOff>163284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183695</xdr:colOff>
      <xdr:row>97</xdr:row>
      <xdr:rowOff>9522</xdr:rowOff>
    </xdr:from>
    <xdr:to>
      <xdr:col>22</xdr:col>
      <xdr:colOff>653142</xdr:colOff>
      <xdr:row>113</xdr:row>
      <xdr:rowOff>31294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156478</xdr:colOff>
      <xdr:row>96</xdr:row>
      <xdr:rowOff>104772</xdr:rowOff>
    </xdr:from>
    <xdr:to>
      <xdr:col>13</xdr:col>
      <xdr:colOff>54426</xdr:colOff>
      <xdr:row>112</xdr:row>
      <xdr:rowOff>99331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96</xdr:row>
      <xdr:rowOff>36739</xdr:rowOff>
    </xdr:from>
    <xdr:to>
      <xdr:col>3</xdr:col>
      <xdr:colOff>489857</xdr:colOff>
      <xdr:row>112</xdr:row>
      <xdr:rowOff>149678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65</xdr:row>
      <xdr:rowOff>54430</xdr:rowOff>
    </xdr:from>
    <xdr:to>
      <xdr:col>3</xdr:col>
      <xdr:colOff>533879</xdr:colOff>
      <xdr:row>79</xdr:row>
      <xdr:rowOff>163286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619125</xdr:colOff>
      <xdr:row>65</xdr:row>
      <xdr:rowOff>13608</xdr:rowOff>
    </xdr:from>
    <xdr:to>
      <xdr:col>8</xdr:col>
      <xdr:colOff>217715</xdr:colOff>
      <xdr:row>79</xdr:row>
      <xdr:rowOff>108857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110058</xdr:colOff>
      <xdr:row>64</xdr:row>
      <xdr:rowOff>190499</xdr:rowOff>
    </xdr:from>
    <xdr:to>
      <xdr:col>23</xdr:col>
      <xdr:colOff>24814</xdr:colOff>
      <xdr:row>79</xdr:row>
      <xdr:rowOff>153681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322170</xdr:colOff>
      <xdr:row>65</xdr:row>
      <xdr:rowOff>27214</xdr:rowOff>
    </xdr:from>
    <xdr:to>
      <xdr:col>13</xdr:col>
      <xdr:colOff>188900</xdr:colOff>
      <xdr:row>79</xdr:row>
      <xdr:rowOff>101732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137272</xdr:colOff>
      <xdr:row>64</xdr:row>
      <xdr:rowOff>190501</xdr:rowOff>
    </xdr:from>
    <xdr:to>
      <xdr:col>17</xdr:col>
      <xdr:colOff>674754</xdr:colOff>
      <xdr:row>79</xdr:row>
      <xdr:rowOff>101736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79</xdr:row>
      <xdr:rowOff>172809</xdr:rowOff>
    </xdr:from>
    <xdr:to>
      <xdr:col>3</xdr:col>
      <xdr:colOff>585107</xdr:colOff>
      <xdr:row>94</xdr:row>
      <xdr:rowOff>13607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625928</xdr:colOff>
      <xdr:row>80</xdr:row>
      <xdr:rowOff>-1</xdr:rowOff>
    </xdr:from>
    <xdr:to>
      <xdr:col>8</xdr:col>
      <xdr:colOff>258535</xdr:colOff>
      <xdr:row>94</xdr:row>
      <xdr:rowOff>17690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343381</xdr:colOff>
      <xdr:row>79</xdr:row>
      <xdr:rowOff>161684</xdr:rowOff>
    </xdr:from>
    <xdr:to>
      <xdr:col>13</xdr:col>
      <xdr:colOff>112060</xdr:colOff>
      <xdr:row>94</xdr:row>
      <xdr:rowOff>2482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184897</xdr:colOff>
      <xdr:row>79</xdr:row>
      <xdr:rowOff>143274</xdr:rowOff>
    </xdr:from>
    <xdr:to>
      <xdr:col>18</xdr:col>
      <xdr:colOff>48826</xdr:colOff>
      <xdr:row>93</xdr:row>
      <xdr:rowOff>160965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92048</xdr:colOff>
      <xdr:row>79</xdr:row>
      <xdr:rowOff>152081</xdr:rowOff>
    </xdr:from>
    <xdr:to>
      <xdr:col>23</xdr:col>
      <xdr:colOff>119262</xdr:colOff>
      <xdr:row>93</xdr:row>
      <xdr:rowOff>169772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50</xdr:row>
          <xdr:rowOff>47625</xdr:rowOff>
        </xdr:from>
        <xdr:to>
          <xdr:col>2</xdr:col>
          <xdr:colOff>0</xdr:colOff>
          <xdr:row>52</xdr:row>
          <xdr:rowOff>180975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Black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53</xdr:row>
          <xdr:rowOff>123825</xdr:rowOff>
        </xdr:from>
        <xdr:to>
          <xdr:col>2</xdr:col>
          <xdr:colOff>38100</xdr:colOff>
          <xdr:row>56</xdr:row>
          <xdr:rowOff>85725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Normal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68194</xdr:colOff>
      <xdr:row>38</xdr:row>
      <xdr:rowOff>158438</xdr:rowOff>
    </xdr:from>
    <xdr:to>
      <xdr:col>8</xdr:col>
      <xdr:colOff>145675</xdr:colOff>
      <xdr:row>62</xdr:row>
      <xdr:rowOff>72038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79167</xdr:colOff>
      <xdr:row>39</xdr:row>
      <xdr:rowOff>63335</xdr:rowOff>
    </xdr:from>
    <xdr:to>
      <xdr:col>14</xdr:col>
      <xdr:colOff>390896</xdr:colOff>
      <xdr:row>62</xdr:row>
      <xdr:rowOff>111331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571502</xdr:colOff>
      <xdr:row>96</xdr:row>
      <xdr:rowOff>104776</xdr:rowOff>
    </xdr:from>
    <xdr:to>
      <xdr:col>8</xdr:col>
      <xdr:colOff>204109</xdr:colOff>
      <xdr:row>112</xdr:row>
      <xdr:rowOff>163286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142876</xdr:colOff>
      <xdr:row>97</xdr:row>
      <xdr:rowOff>9523</xdr:rowOff>
    </xdr:from>
    <xdr:to>
      <xdr:col>18</xdr:col>
      <xdr:colOff>68038</xdr:colOff>
      <xdr:row>112</xdr:row>
      <xdr:rowOff>163284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183695</xdr:colOff>
      <xdr:row>97</xdr:row>
      <xdr:rowOff>9522</xdr:rowOff>
    </xdr:from>
    <xdr:to>
      <xdr:col>22</xdr:col>
      <xdr:colOff>653142</xdr:colOff>
      <xdr:row>113</xdr:row>
      <xdr:rowOff>31294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156478</xdr:colOff>
      <xdr:row>96</xdr:row>
      <xdr:rowOff>104772</xdr:rowOff>
    </xdr:from>
    <xdr:to>
      <xdr:col>13</xdr:col>
      <xdr:colOff>54426</xdr:colOff>
      <xdr:row>112</xdr:row>
      <xdr:rowOff>99331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96</xdr:row>
      <xdr:rowOff>36739</xdr:rowOff>
    </xdr:from>
    <xdr:to>
      <xdr:col>3</xdr:col>
      <xdr:colOff>489857</xdr:colOff>
      <xdr:row>112</xdr:row>
      <xdr:rowOff>149678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65</xdr:row>
      <xdr:rowOff>54430</xdr:rowOff>
    </xdr:from>
    <xdr:to>
      <xdr:col>3</xdr:col>
      <xdr:colOff>533879</xdr:colOff>
      <xdr:row>79</xdr:row>
      <xdr:rowOff>163286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619125</xdr:colOff>
      <xdr:row>65</xdr:row>
      <xdr:rowOff>13608</xdr:rowOff>
    </xdr:from>
    <xdr:to>
      <xdr:col>8</xdr:col>
      <xdr:colOff>217715</xdr:colOff>
      <xdr:row>79</xdr:row>
      <xdr:rowOff>108857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110058</xdr:colOff>
      <xdr:row>64</xdr:row>
      <xdr:rowOff>190499</xdr:rowOff>
    </xdr:from>
    <xdr:to>
      <xdr:col>23</xdr:col>
      <xdr:colOff>24814</xdr:colOff>
      <xdr:row>79</xdr:row>
      <xdr:rowOff>153681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322170</xdr:colOff>
      <xdr:row>65</xdr:row>
      <xdr:rowOff>27214</xdr:rowOff>
    </xdr:from>
    <xdr:to>
      <xdr:col>13</xdr:col>
      <xdr:colOff>188900</xdr:colOff>
      <xdr:row>79</xdr:row>
      <xdr:rowOff>101732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137272</xdr:colOff>
      <xdr:row>64</xdr:row>
      <xdr:rowOff>190501</xdr:rowOff>
    </xdr:from>
    <xdr:to>
      <xdr:col>17</xdr:col>
      <xdr:colOff>674754</xdr:colOff>
      <xdr:row>79</xdr:row>
      <xdr:rowOff>101736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79</xdr:row>
      <xdr:rowOff>172809</xdr:rowOff>
    </xdr:from>
    <xdr:to>
      <xdr:col>3</xdr:col>
      <xdr:colOff>585107</xdr:colOff>
      <xdr:row>94</xdr:row>
      <xdr:rowOff>13607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625928</xdr:colOff>
      <xdr:row>80</xdr:row>
      <xdr:rowOff>-1</xdr:rowOff>
    </xdr:from>
    <xdr:to>
      <xdr:col>8</xdr:col>
      <xdr:colOff>258535</xdr:colOff>
      <xdr:row>94</xdr:row>
      <xdr:rowOff>17690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343381</xdr:colOff>
      <xdr:row>79</xdr:row>
      <xdr:rowOff>161684</xdr:rowOff>
    </xdr:from>
    <xdr:to>
      <xdr:col>13</xdr:col>
      <xdr:colOff>112060</xdr:colOff>
      <xdr:row>94</xdr:row>
      <xdr:rowOff>2482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184897</xdr:colOff>
      <xdr:row>79</xdr:row>
      <xdr:rowOff>143274</xdr:rowOff>
    </xdr:from>
    <xdr:to>
      <xdr:col>18</xdr:col>
      <xdr:colOff>48826</xdr:colOff>
      <xdr:row>93</xdr:row>
      <xdr:rowOff>160965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92048</xdr:colOff>
      <xdr:row>79</xdr:row>
      <xdr:rowOff>152081</xdr:rowOff>
    </xdr:from>
    <xdr:to>
      <xdr:col>23</xdr:col>
      <xdr:colOff>119262</xdr:colOff>
      <xdr:row>93</xdr:row>
      <xdr:rowOff>169772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50</xdr:row>
          <xdr:rowOff>47625</xdr:rowOff>
        </xdr:from>
        <xdr:to>
          <xdr:col>2</xdr:col>
          <xdr:colOff>0</xdr:colOff>
          <xdr:row>52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Black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53</xdr:row>
          <xdr:rowOff>123825</xdr:rowOff>
        </xdr:from>
        <xdr:to>
          <xdr:col>2</xdr:col>
          <xdr:colOff>38100</xdr:colOff>
          <xdr:row>56</xdr:row>
          <xdr:rowOff>85725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Normal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405123</xdr:colOff>
      <xdr:row>39</xdr:row>
      <xdr:rowOff>158583</xdr:rowOff>
    </xdr:from>
    <xdr:to>
      <xdr:col>14</xdr:col>
      <xdr:colOff>415637</xdr:colOff>
      <xdr:row>61</xdr:row>
      <xdr:rowOff>196993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476249</xdr:colOff>
      <xdr:row>39</xdr:row>
      <xdr:rowOff>183786</xdr:rowOff>
    </xdr:from>
    <xdr:to>
      <xdr:col>28</xdr:col>
      <xdr:colOff>642936</xdr:colOff>
      <xdr:row>62</xdr:row>
      <xdr:rowOff>25976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190500</xdr:colOff>
      <xdr:row>15</xdr:row>
      <xdr:rowOff>157162</xdr:rowOff>
    </xdr:from>
    <xdr:ext cx="1815625" cy="1790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8582025" y="3300412"/>
              <a:ext cx="1815625" cy="17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a:fld id="{3A5772FA-9ED0-41F6-ACEB-2D5F7204452C}" type="mathplaceholder">
                      <a:rPr lang="ko-KR" altLang="en-US" sz="1100" i="1">
                        <a:latin typeface="Cambria Math" panose="02040503050406030204" pitchFamily="18" charset="0"/>
                      </a:rPr>
                      <a:t>여기에</a:t>
                    </a:fld>
                    <a:fld id="{5F09674A-C043-436D-98E6-574A4BF5C660}" type="mathplaceholder">
                      <a:rPr lang="ko-KR" altLang="en-US" sz="1100" i="1">
                        <a:latin typeface="Cambria Math" panose="02040503050406030204" pitchFamily="18" charset="0"/>
                      </a:rPr>
                      <a:t> </a:t>
                    </a:fld>
                    <a:fld id="{D1305C17-970E-4B71-A683-A010D0E3027E}" type="mathplaceholder">
                      <a:rPr lang="ko-KR" altLang="en-US" sz="1100" i="1">
                        <a:latin typeface="Cambria Math" panose="02040503050406030204" pitchFamily="18" charset="0"/>
                      </a:rPr>
                      <a:t>수식을</a:t>
                    </a:fld>
                    <a:fld id="{5B3C8400-F355-45BE-B0FB-3E79E117F22C}" type="mathplaceholder">
                      <a:rPr lang="ko-KR" altLang="en-US" sz="1100" i="1">
                        <a:latin typeface="Cambria Math" panose="02040503050406030204" pitchFamily="18" charset="0"/>
                      </a:rPr>
                      <a:t> </a:t>
                    </a:fld>
                    <a:fld id="{88B37BE5-1CC6-4E8C-B00C-1D5E89343697}" type="mathplaceholder">
                      <a:rPr lang="ko-KR" altLang="en-US" sz="1100" i="1">
                        <a:latin typeface="Cambria Math" panose="02040503050406030204" pitchFamily="18" charset="0"/>
                      </a:rPr>
                      <a:t>입력하십시오</a:t>
                    </a:fld>
                    <a:fld id="{92DA5E58-AD4C-41BB-BAE8-B7F80C54C30B}" type="mathplaceholder">
                      <a:rPr lang="ko-KR" altLang="en-US" sz="1100" i="1">
                        <a:latin typeface="Cambria Math" panose="02040503050406030204" pitchFamily="18" charset="0"/>
                      </a:rPr>
                      <a:t>.</a:t>
                    </a:fl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582025" y="3300412"/>
              <a:ext cx="1815625" cy="17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"여기에 수식을 입력하십시오."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9</xdr:col>
      <xdr:colOff>419099</xdr:colOff>
      <xdr:row>20</xdr:row>
      <xdr:rowOff>80962</xdr:rowOff>
    </xdr:from>
    <xdr:to>
      <xdr:col>22</xdr:col>
      <xdr:colOff>180974</xdr:colOff>
      <xdr:row>45</xdr:row>
      <xdr:rowOff>133350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0.79998168889431442"/>
  </sheetPr>
  <dimension ref="A2:F30"/>
  <sheetViews>
    <sheetView topLeftCell="A13" workbookViewId="0">
      <selection activeCell="D40" sqref="D40"/>
    </sheetView>
  </sheetViews>
  <sheetFormatPr defaultRowHeight="16.5" x14ac:dyDescent="0.3"/>
  <cols>
    <col min="1" max="1" width="19.25" bestFit="1" customWidth="1"/>
    <col min="2" max="2" width="15.25" customWidth="1"/>
  </cols>
  <sheetData>
    <row r="2" spans="1:6" x14ac:dyDescent="0.3">
      <c r="B2" t="s">
        <v>576</v>
      </c>
      <c r="F2" t="s">
        <v>577</v>
      </c>
    </row>
    <row r="4" spans="1:6" x14ac:dyDescent="0.3">
      <c r="A4" t="s">
        <v>582</v>
      </c>
      <c r="B4" t="s">
        <v>583</v>
      </c>
      <c r="F4" t="s">
        <v>578</v>
      </c>
    </row>
    <row r="5" spans="1:6" x14ac:dyDescent="0.3">
      <c r="A5" t="s">
        <v>581</v>
      </c>
      <c r="B5" t="s">
        <v>580</v>
      </c>
      <c r="F5" t="s">
        <v>579</v>
      </c>
    </row>
    <row r="6" spans="1:6" x14ac:dyDescent="0.3">
      <c r="A6" t="s">
        <v>584</v>
      </c>
      <c r="B6" t="s">
        <v>585</v>
      </c>
      <c r="F6" t="s">
        <v>586</v>
      </c>
    </row>
    <row r="8" spans="1:6" x14ac:dyDescent="0.3">
      <c r="F8" t="s">
        <v>587</v>
      </c>
    </row>
    <row r="9" spans="1:6" x14ac:dyDescent="0.3">
      <c r="F9" t="s">
        <v>588</v>
      </c>
    </row>
    <row r="10" spans="1:6" x14ac:dyDescent="0.3">
      <c r="F10" t="s">
        <v>589</v>
      </c>
    </row>
    <row r="13" spans="1:6" s="64" customFormat="1" x14ac:dyDescent="0.3"/>
    <row r="15" spans="1:6" x14ac:dyDescent="0.3">
      <c r="A15" t="s">
        <v>3270</v>
      </c>
    </row>
    <row r="16" spans="1:6" x14ac:dyDescent="0.3">
      <c r="A16" t="s">
        <v>3262</v>
      </c>
      <c r="B16" t="s">
        <v>3260</v>
      </c>
      <c r="E16" t="s">
        <v>3261</v>
      </c>
      <c r="F16" t="s">
        <v>3263</v>
      </c>
    </row>
    <row r="17" spans="1:6" x14ac:dyDescent="0.3">
      <c r="E17" t="s">
        <v>3271</v>
      </c>
      <c r="F17" t="s">
        <v>3272</v>
      </c>
    </row>
    <row r="18" spans="1:6" x14ac:dyDescent="0.3">
      <c r="E18" t="s">
        <v>3277</v>
      </c>
      <c r="F18" t="s">
        <v>3278</v>
      </c>
    </row>
    <row r="19" spans="1:6" x14ac:dyDescent="0.3">
      <c r="B19" t="s">
        <v>3264</v>
      </c>
      <c r="C19" t="s">
        <v>3265</v>
      </c>
    </row>
    <row r="20" spans="1:6" x14ac:dyDescent="0.3">
      <c r="B20" t="s">
        <v>3279</v>
      </c>
      <c r="C20" t="s">
        <v>3280</v>
      </c>
    </row>
    <row r="23" spans="1:6" x14ac:dyDescent="0.3">
      <c r="A23" t="s">
        <v>3266</v>
      </c>
      <c r="B23" t="s">
        <v>3267</v>
      </c>
      <c r="C23" t="s">
        <v>3285</v>
      </c>
    </row>
    <row r="24" spans="1:6" x14ac:dyDescent="0.3">
      <c r="A24" t="s">
        <v>3283</v>
      </c>
      <c r="B24" t="s">
        <v>3281</v>
      </c>
      <c r="C24" t="s">
        <v>3282</v>
      </c>
    </row>
    <row r="25" spans="1:6" x14ac:dyDescent="0.3">
      <c r="A25" t="s">
        <v>3284</v>
      </c>
      <c r="B25" t="s">
        <v>3286</v>
      </c>
      <c r="C25" t="s">
        <v>3288</v>
      </c>
    </row>
    <row r="26" spans="1:6" x14ac:dyDescent="0.3">
      <c r="B26" t="s">
        <v>3268</v>
      </c>
      <c r="C26" t="s">
        <v>3276</v>
      </c>
    </row>
    <row r="27" spans="1:6" x14ac:dyDescent="0.3">
      <c r="B27" t="s">
        <v>3269</v>
      </c>
    </row>
    <row r="29" spans="1:6" x14ac:dyDescent="0.3">
      <c r="A29" t="s">
        <v>3273</v>
      </c>
      <c r="B29" t="s">
        <v>3274</v>
      </c>
    </row>
    <row r="30" spans="1:6" x14ac:dyDescent="0.3">
      <c r="B30" t="s">
        <v>3275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2:AV88"/>
  <sheetViews>
    <sheetView zoomScale="85" zoomScaleNormal="85" workbookViewId="0">
      <selection activeCell="C3" sqref="C3"/>
    </sheetView>
  </sheetViews>
  <sheetFormatPr defaultRowHeight="13.5" x14ac:dyDescent="0.3"/>
  <cols>
    <col min="1" max="1" width="14.875" style="1" bestFit="1" customWidth="1"/>
    <col min="2" max="2" width="13" style="1" customWidth="1"/>
    <col min="3" max="3" width="10.25" style="1" customWidth="1"/>
    <col min="4" max="4" width="12.5" style="1" customWidth="1"/>
    <col min="5" max="5" width="10.875" style="1" customWidth="1"/>
    <col min="6" max="6" width="7.75" style="1" customWidth="1"/>
    <col min="7" max="7" width="8.375" style="1" customWidth="1"/>
    <col min="8" max="8" width="12.5" style="1" customWidth="1"/>
    <col min="9" max="9" width="8.375" style="1" customWidth="1"/>
    <col min="10" max="10" width="11.75" style="1" customWidth="1"/>
    <col min="11" max="11" width="8" style="1" customWidth="1"/>
    <col min="12" max="12" width="8.625" style="1" customWidth="1"/>
    <col min="13" max="13" width="13.375" style="1" customWidth="1"/>
    <col min="14" max="14" width="10" style="1" customWidth="1"/>
    <col min="15" max="15" width="9" style="1"/>
    <col min="16" max="16" width="12.125" style="1" customWidth="1"/>
    <col min="17" max="19" width="9" style="1"/>
    <col min="20" max="20" width="11" style="1" bestFit="1" customWidth="1"/>
    <col min="21" max="16384" width="9" style="1"/>
  </cols>
  <sheetData>
    <row r="2" spans="1:28" x14ac:dyDescent="0.3">
      <c r="A2" s="5" t="s">
        <v>174</v>
      </c>
      <c r="B2" s="1" t="s">
        <v>171</v>
      </c>
      <c r="C2" s="1" t="s">
        <v>155</v>
      </c>
      <c r="D2" s="1" t="s">
        <v>156</v>
      </c>
      <c r="E2" s="1" t="s">
        <v>157</v>
      </c>
      <c r="F2" s="1" t="s">
        <v>158</v>
      </c>
      <c r="G2" s="1" t="s">
        <v>159</v>
      </c>
      <c r="H2" s="1" t="s">
        <v>160</v>
      </c>
      <c r="I2" s="1" t="s">
        <v>161</v>
      </c>
      <c r="J2" s="1" t="s">
        <v>162</v>
      </c>
      <c r="K2" s="1" t="s">
        <v>163</v>
      </c>
      <c r="L2" s="1" t="s">
        <v>164</v>
      </c>
      <c r="M2" s="1" t="s">
        <v>165</v>
      </c>
      <c r="N2" s="1" t="s">
        <v>166</v>
      </c>
      <c r="P2" s="1" t="s">
        <v>301</v>
      </c>
      <c r="Q2" s="1" t="s">
        <v>302</v>
      </c>
      <c r="R2" s="1" t="s">
        <v>303</v>
      </c>
      <c r="S2" s="1" t="s">
        <v>304</v>
      </c>
      <c r="T2" s="1" t="s">
        <v>305</v>
      </c>
      <c r="U2" s="1" t="s">
        <v>306</v>
      </c>
      <c r="V2" s="1" t="s">
        <v>307</v>
      </c>
      <c r="W2" s="1" t="s">
        <v>308</v>
      </c>
      <c r="X2" s="1" t="s">
        <v>309</v>
      </c>
      <c r="Y2" s="1" t="s">
        <v>310</v>
      </c>
      <c r="Z2" s="1" t="s">
        <v>311</v>
      </c>
      <c r="AA2" s="1" t="s">
        <v>312</v>
      </c>
      <c r="AB2" s="1" t="s">
        <v>313</v>
      </c>
    </row>
    <row r="3" spans="1:28" x14ac:dyDescent="0.3">
      <c r="A3" s="5" t="s">
        <v>321</v>
      </c>
      <c r="B3" s="1" t="s">
        <v>167</v>
      </c>
      <c r="C3" s="3" t="s">
        <v>3289</v>
      </c>
      <c r="D3" s="3" t="s">
        <v>323</v>
      </c>
      <c r="E3" s="3" t="s">
        <v>324</v>
      </c>
      <c r="F3" s="3" t="s">
        <v>325</v>
      </c>
      <c r="G3" s="3" t="s">
        <v>326</v>
      </c>
      <c r="H3" s="3" t="s">
        <v>327</v>
      </c>
      <c r="I3" s="3" t="s">
        <v>328</v>
      </c>
      <c r="J3" s="3" t="s">
        <v>329</v>
      </c>
      <c r="K3" s="3" t="s">
        <v>330</v>
      </c>
      <c r="L3" s="3" t="s">
        <v>331</v>
      </c>
      <c r="M3" s="3" t="s">
        <v>332</v>
      </c>
      <c r="N3" s="3" t="s">
        <v>333</v>
      </c>
      <c r="P3" s="3" t="s">
        <v>314</v>
      </c>
      <c r="Q3" s="1" t="s">
        <v>0</v>
      </c>
      <c r="R3" s="1" t="s">
        <v>1</v>
      </c>
      <c r="S3" s="1" t="s">
        <v>2</v>
      </c>
      <c r="T3" s="1" t="s">
        <v>3</v>
      </c>
      <c r="U3" s="1" t="s">
        <v>4</v>
      </c>
      <c r="V3" s="1" t="s">
        <v>5</v>
      </c>
      <c r="W3" s="1" t="s">
        <v>6</v>
      </c>
      <c r="X3" s="1" t="s">
        <v>7</v>
      </c>
      <c r="Y3" s="1" t="s">
        <v>8</v>
      </c>
      <c r="Z3" s="1" t="s">
        <v>9</v>
      </c>
      <c r="AA3" s="1" t="s">
        <v>319</v>
      </c>
      <c r="AB3" s="1" t="s">
        <v>10</v>
      </c>
    </row>
    <row r="4" spans="1:28" x14ac:dyDescent="0.3">
      <c r="B4" s="1" t="s">
        <v>168</v>
      </c>
      <c r="C4" s="3" t="s">
        <v>2202</v>
      </c>
      <c r="D4" s="3" t="s">
        <v>334</v>
      </c>
      <c r="E4" s="3" t="s">
        <v>335</v>
      </c>
      <c r="F4" s="3" t="s">
        <v>336</v>
      </c>
      <c r="G4" s="3" t="s">
        <v>337</v>
      </c>
      <c r="H4" s="3" t="s">
        <v>338</v>
      </c>
      <c r="I4" s="3" t="s">
        <v>339</v>
      </c>
      <c r="J4" s="3" t="s">
        <v>340</v>
      </c>
      <c r="K4" s="3" t="s">
        <v>341</v>
      </c>
      <c r="L4" s="3" t="s">
        <v>342</v>
      </c>
      <c r="M4" s="3" t="s">
        <v>343</v>
      </c>
      <c r="N4" s="3" t="s">
        <v>344</v>
      </c>
      <c r="P4" s="3" t="s">
        <v>315</v>
      </c>
      <c r="Q4" s="1" t="s">
        <v>11</v>
      </c>
      <c r="R4" s="1" t="s">
        <v>12</v>
      </c>
      <c r="S4" s="1" t="s">
        <v>13</v>
      </c>
      <c r="T4" s="1" t="s">
        <v>14</v>
      </c>
      <c r="U4" s="1" t="s">
        <v>15</v>
      </c>
      <c r="V4" s="1" t="s">
        <v>16</v>
      </c>
      <c r="W4" s="1" t="s">
        <v>17</v>
      </c>
      <c r="X4" s="1" t="s">
        <v>18</v>
      </c>
      <c r="Y4" s="1" t="s">
        <v>19</v>
      </c>
      <c r="Z4" s="1" t="s">
        <v>20</v>
      </c>
      <c r="AA4" s="1" t="s">
        <v>21</v>
      </c>
      <c r="AB4" s="1" t="s">
        <v>22</v>
      </c>
    </row>
    <row r="5" spans="1:28" x14ac:dyDescent="0.3">
      <c r="B5" s="1" t="s">
        <v>169</v>
      </c>
      <c r="C5" s="3" t="s">
        <v>345</v>
      </c>
      <c r="D5" s="3" t="s">
        <v>346</v>
      </c>
      <c r="E5" s="3" t="s">
        <v>347</v>
      </c>
      <c r="F5" s="3" t="s">
        <v>348</v>
      </c>
      <c r="G5" s="3" t="s">
        <v>349</v>
      </c>
      <c r="H5" s="3" t="s">
        <v>350</v>
      </c>
      <c r="I5" s="3" t="s">
        <v>351</v>
      </c>
      <c r="J5" s="3" t="s">
        <v>352</v>
      </c>
      <c r="K5" s="3" t="s">
        <v>353</v>
      </c>
      <c r="L5" s="3" t="s">
        <v>354</v>
      </c>
      <c r="M5" s="3" t="s">
        <v>355</v>
      </c>
      <c r="N5" s="3" t="s">
        <v>356</v>
      </c>
      <c r="P5" s="3" t="s">
        <v>316</v>
      </c>
      <c r="Q5" s="1" t="s">
        <v>23</v>
      </c>
      <c r="R5" s="1" t="s">
        <v>24</v>
      </c>
      <c r="S5" s="1" t="s">
        <v>25</v>
      </c>
      <c r="T5" s="1" t="s">
        <v>26</v>
      </c>
      <c r="U5" s="1" t="s">
        <v>27</v>
      </c>
      <c r="V5" s="1" t="s">
        <v>28</v>
      </c>
      <c r="W5" s="1" t="s">
        <v>29</v>
      </c>
      <c r="X5" s="1" t="s">
        <v>30</v>
      </c>
      <c r="Y5" s="1" t="s">
        <v>31</v>
      </c>
      <c r="Z5" s="1" t="s">
        <v>32</v>
      </c>
      <c r="AA5" s="1" t="s">
        <v>33</v>
      </c>
      <c r="AB5" s="1" t="s">
        <v>34</v>
      </c>
    </row>
    <row r="6" spans="1:28" x14ac:dyDescent="0.3">
      <c r="B6" s="1" t="s">
        <v>170</v>
      </c>
      <c r="C6" s="3" t="s">
        <v>357</v>
      </c>
      <c r="D6" s="3" t="s">
        <v>358</v>
      </c>
      <c r="E6" s="3" t="s">
        <v>359</v>
      </c>
      <c r="F6" s="3" t="s">
        <v>360</v>
      </c>
      <c r="G6" s="3" t="s">
        <v>361</v>
      </c>
      <c r="H6" s="3" t="s">
        <v>362</v>
      </c>
      <c r="I6" s="3" t="s">
        <v>363</v>
      </c>
      <c r="J6" s="3" t="s">
        <v>364</v>
      </c>
      <c r="K6" s="3" t="s">
        <v>365</v>
      </c>
      <c r="L6" s="3" t="s">
        <v>366</v>
      </c>
      <c r="M6" s="3" t="s">
        <v>367</v>
      </c>
      <c r="N6" s="3" t="s">
        <v>368</v>
      </c>
      <c r="P6" s="3" t="s">
        <v>317</v>
      </c>
      <c r="Q6" s="1" t="s">
        <v>35</v>
      </c>
      <c r="R6" s="1" t="s">
        <v>36</v>
      </c>
      <c r="S6" s="1" t="s">
        <v>37</v>
      </c>
      <c r="T6" s="1" t="s">
        <v>38</v>
      </c>
      <c r="U6" s="1" t="s">
        <v>39</v>
      </c>
      <c r="V6" s="1" t="s">
        <v>40</v>
      </c>
      <c r="W6" s="1" t="s">
        <v>41</v>
      </c>
      <c r="X6" s="1" t="s">
        <v>42</v>
      </c>
      <c r="Y6" s="1" t="s">
        <v>43</v>
      </c>
      <c r="Z6" s="1" t="s">
        <v>44</v>
      </c>
      <c r="AA6" s="1" t="s">
        <v>45</v>
      </c>
      <c r="AB6" s="1" t="s">
        <v>46</v>
      </c>
    </row>
    <row r="7" spans="1:28" x14ac:dyDescent="0.3">
      <c r="B7" s="1" t="s">
        <v>155</v>
      </c>
      <c r="C7" s="3" t="s">
        <v>369</v>
      </c>
      <c r="D7" s="3" t="s">
        <v>370</v>
      </c>
      <c r="E7" s="3" t="s">
        <v>371</v>
      </c>
      <c r="F7" s="3" t="s">
        <v>372</v>
      </c>
      <c r="G7" s="3" t="s">
        <v>373</v>
      </c>
      <c r="H7" s="3" t="s">
        <v>374</v>
      </c>
      <c r="I7" s="3" t="s">
        <v>375</v>
      </c>
      <c r="J7" s="3" t="s">
        <v>376</v>
      </c>
      <c r="K7" s="3" t="s">
        <v>377</v>
      </c>
      <c r="L7" s="3" t="s">
        <v>378</v>
      </c>
      <c r="M7" s="3" t="s">
        <v>379</v>
      </c>
      <c r="N7" s="3" t="s">
        <v>380</v>
      </c>
      <c r="P7" s="3" t="s">
        <v>302</v>
      </c>
      <c r="Q7" s="1" t="s">
        <v>47</v>
      </c>
      <c r="R7" s="1" t="s">
        <v>48</v>
      </c>
      <c r="S7" s="1" t="s">
        <v>49</v>
      </c>
      <c r="T7" s="1" t="s">
        <v>50</v>
      </c>
      <c r="U7" s="1" t="s">
        <v>51</v>
      </c>
      <c r="V7" s="1" t="s">
        <v>52</v>
      </c>
      <c r="W7" s="1" t="s">
        <v>53</v>
      </c>
      <c r="X7" s="1" t="s">
        <v>54</v>
      </c>
      <c r="Y7" s="1" t="s">
        <v>55</v>
      </c>
      <c r="Z7" s="1" t="s">
        <v>56</v>
      </c>
      <c r="AA7" s="1" t="s">
        <v>57</v>
      </c>
      <c r="AB7" s="1" t="s">
        <v>58</v>
      </c>
    </row>
    <row r="8" spans="1:28" x14ac:dyDescent="0.3">
      <c r="B8" s="1" t="s">
        <v>156</v>
      </c>
      <c r="C8" s="3" t="s">
        <v>381</v>
      </c>
      <c r="D8" s="3" t="s">
        <v>382</v>
      </c>
      <c r="E8" s="3" t="s">
        <v>383</v>
      </c>
      <c r="F8" s="3" t="s">
        <v>2203</v>
      </c>
      <c r="G8" s="3" t="s">
        <v>384</v>
      </c>
      <c r="H8" s="3" t="s">
        <v>385</v>
      </c>
      <c r="I8" s="3" t="s">
        <v>386</v>
      </c>
      <c r="J8" s="3" t="s">
        <v>387</v>
      </c>
      <c r="K8" s="3" t="s">
        <v>388</v>
      </c>
      <c r="L8" s="3" t="s">
        <v>389</v>
      </c>
      <c r="M8" s="3" t="s">
        <v>390</v>
      </c>
      <c r="N8" s="3" t="s">
        <v>391</v>
      </c>
      <c r="P8" s="3" t="s">
        <v>303</v>
      </c>
      <c r="Q8" s="1" t="s">
        <v>59</v>
      </c>
      <c r="R8" s="1" t="s">
        <v>60</v>
      </c>
      <c r="S8" s="1" t="s">
        <v>61</v>
      </c>
      <c r="T8" s="1" t="s">
        <v>62</v>
      </c>
      <c r="U8" s="1" t="s">
        <v>63</v>
      </c>
      <c r="V8" s="1" t="s">
        <v>64</v>
      </c>
      <c r="W8" s="1" t="s">
        <v>65</v>
      </c>
      <c r="X8" s="1" t="s">
        <v>66</v>
      </c>
      <c r="Y8" s="1" t="s">
        <v>67</v>
      </c>
      <c r="Z8" s="1" t="s">
        <v>68</v>
      </c>
      <c r="AA8" s="1" t="s">
        <v>69</v>
      </c>
      <c r="AB8" s="1" t="s">
        <v>70</v>
      </c>
    </row>
    <row r="9" spans="1:28" x14ac:dyDescent="0.3">
      <c r="B9" s="1" t="s">
        <v>157</v>
      </c>
      <c r="C9" s="3" t="s">
        <v>392</v>
      </c>
      <c r="D9" s="3" t="s">
        <v>393</v>
      </c>
      <c r="E9" s="3" t="s">
        <v>394</v>
      </c>
      <c r="F9" s="3" t="s">
        <v>395</v>
      </c>
      <c r="G9" s="3" t="s">
        <v>396</v>
      </c>
      <c r="H9" s="3" t="s">
        <v>397</v>
      </c>
      <c r="I9" s="3" t="s">
        <v>398</v>
      </c>
      <c r="J9" s="3" t="s">
        <v>399</v>
      </c>
      <c r="K9" s="3" t="s">
        <v>400</v>
      </c>
      <c r="L9" s="3" t="s">
        <v>401</v>
      </c>
      <c r="M9" s="3" t="s">
        <v>402</v>
      </c>
      <c r="N9" s="3" t="s">
        <v>403</v>
      </c>
      <c r="P9" s="3" t="s">
        <v>304</v>
      </c>
      <c r="Q9" s="1" t="s">
        <v>71</v>
      </c>
      <c r="R9" s="1" t="s">
        <v>72</v>
      </c>
      <c r="S9" s="1" t="s">
        <v>73</v>
      </c>
      <c r="T9" s="1" t="s">
        <v>74</v>
      </c>
      <c r="U9" s="1" t="s">
        <v>75</v>
      </c>
      <c r="V9" s="1" t="s">
        <v>76</v>
      </c>
      <c r="W9" s="1" t="s">
        <v>77</v>
      </c>
      <c r="X9" s="1" t="s">
        <v>78</v>
      </c>
      <c r="Y9" s="1" t="s">
        <v>79</v>
      </c>
      <c r="Z9" s="1" t="s">
        <v>80</v>
      </c>
      <c r="AA9" s="1" t="s">
        <v>81</v>
      </c>
      <c r="AB9" s="1" t="s">
        <v>82</v>
      </c>
    </row>
    <row r="10" spans="1:28" x14ac:dyDescent="0.3">
      <c r="B10" s="1" t="s">
        <v>158</v>
      </c>
      <c r="C10" s="3" t="s">
        <v>404</v>
      </c>
      <c r="D10" s="3" t="s">
        <v>405</v>
      </c>
      <c r="E10" s="3" t="s">
        <v>406</v>
      </c>
      <c r="F10" s="3" t="s">
        <v>407</v>
      </c>
      <c r="G10" s="3" t="s">
        <v>408</v>
      </c>
      <c r="H10" s="3" t="s">
        <v>409</v>
      </c>
      <c r="I10" s="3" t="s">
        <v>410</v>
      </c>
      <c r="J10" s="3" t="s">
        <v>411</v>
      </c>
      <c r="K10" s="3" t="s">
        <v>412</v>
      </c>
      <c r="L10" s="3" t="s">
        <v>413</v>
      </c>
      <c r="M10" s="3" t="s">
        <v>414</v>
      </c>
      <c r="N10" s="3" t="s">
        <v>415</v>
      </c>
      <c r="P10" s="3" t="s">
        <v>305</v>
      </c>
      <c r="Q10" s="1" t="s">
        <v>83</v>
      </c>
      <c r="R10" s="1" t="s">
        <v>84</v>
      </c>
      <c r="S10" s="1" t="s">
        <v>85</v>
      </c>
      <c r="T10" s="1" t="s">
        <v>86</v>
      </c>
      <c r="U10" s="1" t="s">
        <v>87</v>
      </c>
      <c r="V10" s="1" t="s">
        <v>88</v>
      </c>
      <c r="W10" s="1" t="s">
        <v>89</v>
      </c>
      <c r="X10" s="1" t="s">
        <v>90</v>
      </c>
      <c r="Y10" s="1" t="s">
        <v>91</v>
      </c>
      <c r="Z10" s="1" t="s">
        <v>92</v>
      </c>
      <c r="AA10" s="1" t="s">
        <v>93</v>
      </c>
      <c r="AB10" s="1" t="s">
        <v>94</v>
      </c>
    </row>
    <row r="11" spans="1:28" x14ac:dyDescent="0.3">
      <c r="B11" s="1" t="s">
        <v>159</v>
      </c>
      <c r="C11" s="3" t="s">
        <v>416</v>
      </c>
      <c r="D11" s="3" t="s">
        <v>417</v>
      </c>
      <c r="E11" s="3" t="s">
        <v>418</v>
      </c>
      <c r="F11" s="3" t="s">
        <v>419</v>
      </c>
      <c r="G11" s="3" t="s">
        <v>420</v>
      </c>
      <c r="H11" s="3" t="s">
        <v>421</v>
      </c>
      <c r="I11" s="3" t="s">
        <v>422</v>
      </c>
      <c r="J11" s="3" t="s">
        <v>423</v>
      </c>
      <c r="K11" s="3" t="s">
        <v>424</v>
      </c>
      <c r="L11" s="3" t="s">
        <v>425</v>
      </c>
      <c r="M11" s="3" t="s">
        <v>426</v>
      </c>
      <c r="N11" s="3" t="s">
        <v>427</v>
      </c>
      <c r="P11" s="3" t="s">
        <v>306</v>
      </c>
      <c r="Q11" s="1" t="s">
        <v>143</v>
      </c>
      <c r="R11" s="1" t="s">
        <v>144</v>
      </c>
      <c r="S11" s="1" t="s">
        <v>145</v>
      </c>
      <c r="T11" s="1" t="s">
        <v>146</v>
      </c>
      <c r="U11" s="1" t="s">
        <v>147</v>
      </c>
      <c r="V11" s="1" t="s">
        <v>148</v>
      </c>
      <c r="W11" s="1" t="s">
        <v>149</v>
      </c>
      <c r="X11" s="1" t="s">
        <v>150</v>
      </c>
      <c r="Y11" s="1" t="s">
        <v>151</v>
      </c>
      <c r="Z11" s="1" t="s">
        <v>152</v>
      </c>
      <c r="AA11" s="1" t="s">
        <v>153</v>
      </c>
      <c r="AB11" s="1" t="s">
        <v>154</v>
      </c>
    </row>
    <row r="12" spans="1:28" x14ac:dyDescent="0.3">
      <c r="B12" s="1" t="s">
        <v>161</v>
      </c>
      <c r="C12" s="3" t="s">
        <v>428</v>
      </c>
      <c r="D12" s="3" t="s">
        <v>429</v>
      </c>
      <c r="E12" s="3" t="s">
        <v>430</v>
      </c>
      <c r="F12" s="3" t="s">
        <v>431</v>
      </c>
      <c r="G12" s="3" t="s">
        <v>432</v>
      </c>
      <c r="H12" s="3" t="s">
        <v>433</v>
      </c>
      <c r="I12" s="3" t="s">
        <v>434</v>
      </c>
      <c r="J12" s="3" t="s">
        <v>435</v>
      </c>
      <c r="K12" s="3" t="s">
        <v>436</v>
      </c>
      <c r="L12" s="3" t="s">
        <v>437</v>
      </c>
      <c r="M12" s="3" t="s">
        <v>438</v>
      </c>
      <c r="N12" s="3" t="s">
        <v>439</v>
      </c>
      <c r="P12" s="3" t="s">
        <v>308</v>
      </c>
      <c r="Q12" s="1" t="s">
        <v>95</v>
      </c>
      <c r="R12" s="1" t="s">
        <v>96</v>
      </c>
      <c r="S12" s="1" t="s">
        <v>97</v>
      </c>
      <c r="T12" s="1" t="s">
        <v>98</v>
      </c>
      <c r="U12" s="1" t="s">
        <v>99</v>
      </c>
      <c r="V12" s="1" t="s">
        <v>100</v>
      </c>
      <c r="W12" s="1" t="s">
        <v>101</v>
      </c>
      <c r="X12" s="1" t="s">
        <v>102</v>
      </c>
      <c r="Y12" s="1" t="s">
        <v>103</v>
      </c>
      <c r="Z12" s="1" t="s">
        <v>104</v>
      </c>
      <c r="AA12" s="1" t="s">
        <v>105</v>
      </c>
      <c r="AB12" s="1" t="s">
        <v>106</v>
      </c>
    </row>
    <row r="13" spans="1:28" x14ac:dyDescent="0.3">
      <c r="B13" s="1" t="s">
        <v>164</v>
      </c>
      <c r="C13" s="3" t="s">
        <v>440</v>
      </c>
      <c r="D13" s="3" t="s">
        <v>441</v>
      </c>
      <c r="E13" s="3" t="s">
        <v>442</v>
      </c>
      <c r="F13" s="3" t="s">
        <v>443</v>
      </c>
      <c r="G13" s="3" t="s">
        <v>444</v>
      </c>
      <c r="H13" s="3" t="s">
        <v>445</v>
      </c>
      <c r="I13" s="3" t="s">
        <v>446</v>
      </c>
      <c r="J13" s="3" t="s">
        <v>447</v>
      </c>
      <c r="K13" s="3" t="s">
        <v>448</v>
      </c>
      <c r="L13" s="3" t="s">
        <v>449</v>
      </c>
      <c r="M13" s="3" t="s">
        <v>450</v>
      </c>
      <c r="N13" s="3" t="s">
        <v>451</v>
      </c>
      <c r="P13" s="3" t="s">
        <v>311</v>
      </c>
      <c r="Q13" s="1" t="s">
        <v>107</v>
      </c>
      <c r="R13" s="1" t="s">
        <v>108</v>
      </c>
      <c r="S13" s="1" t="s">
        <v>109</v>
      </c>
      <c r="T13" s="1" t="s">
        <v>110</v>
      </c>
      <c r="U13" s="1" t="s">
        <v>111</v>
      </c>
      <c r="V13" s="1" t="s">
        <v>112</v>
      </c>
      <c r="W13" s="1" t="s">
        <v>113</v>
      </c>
      <c r="X13" s="1" t="s">
        <v>114</v>
      </c>
      <c r="Y13" s="1" t="s">
        <v>115</v>
      </c>
      <c r="Z13" s="1" t="s">
        <v>116</v>
      </c>
      <c r="AA13" s="1" t="s">
        <v>117</v>
      </c>
      <c r="AB13" s="1" t="s">
        <v>118</v>
      </c>
    </row>
    <row r="14" spans="1:28" x14ac:dyDescent="0.3">
      <c r="B14" s="1" t="s">
        <v>165</v>
      </c>
      <c r="C14" s="3" t="s">
        <v>452</v>
      </c>
      <c r="D14" s="3" t="s">
        <v>453</v>
      </c>
      <c r="E14" s="3" t="s">
        <v>454</v>
      </c>
      <c r="F14" s="3" t="s">
        <v>455</v>
      </c>
      <c r="G14" s="3" t="s">
        <v>456</v>
      </c>
      <c r="H14" s="3" t="s">
        <v>457</v>
      </c>
      <c r="I14" s="3" t="s">
        <v>458</v>
      </c>
      <c r="J14" s="3" t="s">
        <v>459</v>
      </c>
      <c r="K14" s="3" t="s">
        <v>460</v>
      </c>
      <c r="L14" s="3" t="s">
        <v>461</v>
      </c>
      <c r="M14" s="3" t="s">
        <v>462</v>
      </c>
      <c r="N14" s="3" t="s">
        <v>463</v>
      </c>
      <c r="P14" s="3" t="s">
        <v>312</v>
      </c>
      <c r="Q14" s="1" t="s">
        <v>119</v>
      </c>
      <c r="R14" s="1" t="s">
        <v>120</v>
      </c>
      <c r="S14" s="1" t="s">
        <v>121</v>
      </c>
      <c r="T14" s="1" t="s">
        <v>122</v>
      </c>
      <c r="U14" s="1" t="s">
        <v>123</v>
      </c>
      <c r="V14" s="1" t="s">
        <v>124</v>
      </c>
      <c r="W14" s="1" t="s">
        <v>125</v>
      </c>
      <c r="X14" s="1" t="s">
        <v>126</v>
      </c>
      <c r="Y14" s="1" t="s">
        <v>127</v>
      </c>
      <c r="Z14" s="1" t="s">
        <v>128</v>
      </c>
      <c r="AA14" s="1" t="s">
        <v>129</v>
      </c>
      <c r="AB14" s="1" t="s">
        <v>130</v>
      </c>
    </row>
    <row r="15" spans="1:28" x14ac:dyDescent="0.3">
      <c r="B15" s="1" t="s">
        <v>166</v>
      </c>
      <c r="C15" s="3" t="s">
        <v>464</v>
      </c>
      <c r="D15" s="3" t="s">
        <v>465</v>
      </c>
      <c r="E15" s="3" t="s">
        <v>466</v>
      </c>
      <c r="F15" s="3" t="s">
        <v>467</v>
      </c>
      <c r="G15" s="3" t="s">
        <v>468</v>
      </c>
      <c r="H15" s="3" t="s">
        <v>469</v>
      </c>
      <c r="I15" s="3" t="s">
        <v>470</v>
      </c>
      <c r="J15" s="3" t="s">
        <v>471</v>
      </c>
      <c r="K15" s="3" t="s">
        <v>472</v>
      </c>
      <c r="L15" s="3" t="s">
        <v>473</v>
      </c>
      <c r="M15" s="3" t="s">
        <v>474</v>
      </c>
      <c r="N15" s="3" t="s">
        <v>475</v>
      </c>
      <c r="P15" s="3" t="s">
        <v>313</v>
      </c>
      <c r="Q15" s="1" t="s">
        <v>131</v>
      </c>
      <c r="R15" s="1" t="s">
        <v>132</v>
      </c>
      <c r="S15" s="1" t="s">
        <v>133</v>
      </c>
      <c r="T15" s="1" t="s">
        <v>134</v>
      </c>
      <c r="U15" s="1" t="s">
        <v>135</v>
      </c>
      <c r="V15" s="1" t="s">
        <v>136</v>
      </c>
      <c r="W15" s="1" t="s">
        <v>137</v>
      </c>
      <c r="X15" s="1" t="s">
        <v>138</v>
      </c>
      <c r="Y15" s="1" t="s">
        <v>139</v>
      </c>
      <c r="Z15" s="1" t="s">
        <v>140</v>
      </c>
      <c r="AA15" s="1" t="s">
        <v>141</v>
      </c>
      <c r="AB15" s="1" t="s">
        <v>142</v>
      </c>
    </row>
    <row r="16" spans="1:28" x14ac:dyDescent="0.3">
      <c r="B16" s="1" t="s">
        <v>498</v>
      </c>
      <c r="C16" s="66" t="s">
        <v>172</v>
      </c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</row>
    <row r="17" spans="1:48" x14ac:dyDescent="0.3">
      <c r="A17" s="5" t="s">
        <v>318</v>
      </c>
      <c r="B17" s="4">
        <v>44645</v>
      </c>
      <c r="C17" s="1" t="s">
        <v>155</v>
      </c>
      <c r="D17" s="1" t="s">
        <v>156</v>
      </c>
      <c r="E17" s="1" t="s">
        <v>157</v>
      </c>
      <c r="F17" s="1" t="s">
        <v>158</v>
      </c>
      <c r="G17" s="1" t="s">
        <v>159</v>
      </c>
      <c r="H17" s="1" t="s">
        <v>160</v>
      </c>
      <c r="I17" s="1" t="s">
        <v>161</v>
      </c>
      <c r="J17" s="1" t="s">
        <v>162</v>
      </c>
      <c r="K17" s="1" t="s">
        <v>163</v>
      </c>
      <c r="L17" s="1" t="s">
        <v>164</v>
      </c>
      <c r="M17" s="1" t="s">
        <v>165</v>
      </c>
      <c r="N17" s="1" t="s">
        <v>166</v>
      </c>
      <c r="P17" s="5" t="s">
        <v>322</v>
      </c>
      <c r="Q17" s="1" t="s">
        <v>155</v>
      </c>
      <c r="R17" s="1" t="s">
        <v>156</v>
      </c>
      <c r="S17" s="1" t="s">
        <v>157</v>
      </c>
      <c r="T17" s="1" t="s">
        <v>158</v>
      </c>
      <c r="U17" s="1" t="s">
        <v>159</v>
      </c>
      <c r="V17" s="1" t="s">
        <v>160</v>
      </c>
      <c r="W17" s="1" t="s">
        <v>161</v>
      </c>
      <c r="X17" s="1" t="s">
        <v>162</v>
      </c>
      <c r="Y17" s="1" t="s">
        <v>163</v>
      </c>
      <c r="Z17" s="1" t="s">
        <v>164</v>
      </c>
      <c r="AA17" s="1" t="s">
        <v>165</v>
      </c>
      <c r="AB17" s="1" t="s">
        <v>166</v>
      </c>
      <c r="AD17" s="5" t="s">
        <v>591</v>
      </c>
      <c r="AE17" s="5" t="s">
        <v>155</v>
      </c>
      <c r="AF17" s="5" t="s">
        <v>156</v>
      </c>
      <c r="AG17" s="5" t="s">
        <v>157</v>
      </c>
      <c r="AH17" s="5" t="s">
        <v>158</v>
      </c>
      <c r="AI17" s="5" t="s">
        <v>159</v>
      </c>
      <c r="AJ17" s="5" t="s">
        <v>161</v>
      </c>
      <c r="AK17" s="5" t="s">
        <v>164</v>
      </c>
      <c r="AL17" s="5" t="s">
        <v>165</v>
      </c>
      <c r="AM17" s="5" t="s">
        <v>166</v>
      </c>
      <c r="AO17" s="1" t="s">
        <v>590</v>
      </c>
    </row>
    <row r="18" spans="1:48" x14ac:dyDescent="0.3">
      <c r="A18" s="66" t="s">
        <v>173</v>
      </c>
      <c r="B18" s="1" t="s">
        <v>494</v>
      </c>
      <c r="C18" s="9">
        <f>_xll.BDH(C3,$B$2,$B$17,$B$17)</f>
        <v>70.488500000000002</v>
      </c>
      <c r="D18" s="9">
        <f>_xll.BDH(D3,$B$2,$B$17,$B$17)</f>
        <v>71.984300000000005</v>
      </c>
      <c r="E18" s="9">
        <f>_xll.BDH(E3,$B$2,$B$17,$B$17)</f>
        <v>73.847099999999998</v>
      </c>
      <c r="F18" s="9">
        <f>_xll.BDH(F3,$B$2,$B$17,$B$17)</f>
        <v>75.58</v>
      </c>
      <c r="G18" s="9">
        <f>_xll.BDH(G3,$B$2,$B$17,$B$17)</f>
        <v>77.343000000000004</v>
      </c>
      <c r="H18" s="9">
        <f>_xll.BDH(H3,$B$2,$B$17,$B$17)</f>
        <v>78.207899999999995</v>
      </c>
      <c r="I18" s="9">
        <f>_xll.BDH(I3,$B$2,$B$17,$B$17)</f>
        <v>79.121200000000002</v>
      </c>
      <c r="J18" s="9">
        <f>_xll.BDH(J3,$B$2,$B$17,$B$17)</f>
        <v>79.934700000000007</v>
      </c>
      <c r="K18" s="9">
        <f>_xll.BDH(K3,$B$2,$B$17,$B$17)</f>
        <v>80.762799999999999</v>
      </c>
      <c r="L18" s="9">
        <f>_xll.BDH(L3,$B$2,$B$17,$B$17)</f>
        <v>81.622600000000006</v>
      </c>
      <c r="M18" s="9">
        <f>_xll.BDH(M3,$B$2,$B$17,$B$17)</f>
        <v>82.245099999999994</v>
      </c>
      <c r="N18" s="9">
        <f>_xll.BDH(N3,$B$2,$B$17,$B$17)</f>
        <v>82.388800000000003</v>
      </c>
      <c r="O18" s="67" t="s">
        <v>173</v>
      </c>
      <c r="P18" s="9" t="s">
        <v>167</v>
      </c>
      <c r="Q18" s="9">
        <f>_xll.BDH(Q3,$B$2,$B$17,$B$17)</f>
        <v>32.869999999999997</v>
      </c>
      <c r="R18" s="9">
        <f>_xll.BDH(R3,$B$2,$B$17,$B$17)</f>
        <v>25.36</v>
      </c>
      <c r="S18" s="9">
        <f>_xll.BDH(S3,$B$2,$B$17,$B$17)</f>
        <v>28.14</v>
      </c>
      <c r="T18" s="9">
        <f>_xll.BDH(T3,$B$2,$B$17,$B$17)</f>
        <v>30.76</v>
      </c>
      <c r="U18" s="9">
        <f>_xll.BDH(U3,$B$2,$B$17,$B$17)</f>
        <v>31.74</v>
      </c>
      <c r="V18" s="9">
        <f>_xll.BDH(V3,$B$2,$B$17,$B$17)</f>
        <v>32.503999999999998</v>
      </c>
      <c r="W18" s="9">
        <f>_xll.BDH(W3,$B$2,$B$17,$B$17)</f>
        <v>31.6</v>
      </c>
      <c r="X18" s="9">
        <f>_xll.BDH(X3,$B$2,$B$17,$B$17)</f>
        <v>30.841000000000001</v>
      </c>
      <c r="Y18" s="9">
        <f>_xll.BDH(Y3,$B$2,$B$17,$B$17)</f>
        <v>30.416</v>
      </c>
      <c r="Z18" s="9">
        <f>_xll.BDH(Z3,$B$2,$B$17,$B$17)</f>
        <v>30.36</v>
      </c>
      <c r="AA18" s="9">
        <f>_xll.BDH(AA3,$B$2,$B$17,$B$17)</f>
        <v>31.9</v>
      </c>
      <c r="AB18" s="9">
        <f>_xll.BDH(AB3,$B$2,$B$17,$B$17)</f>
        <v>36.433999999999997</v>
      </c>
      <c r="AD18" s="5" t="s">
        <v>155</v>
      </c>
      <c r="AE18" s="5">
        <f t="shared" ref="AE18:AE26" si="0">Q22/100</f>
        <v>0.27363999999999999</v>
      </c>
      <c r="AF18" s="5">
        <f t="shared" ref="AF18:AF26" si="1">R22/100</f>
        <v>0.27079000000000003</v>
      </c>
      <c r="AG18" s="5">
        <f t="shared" ref="AG18:AG26" si="2">S22/100</f>
        <v>0.26576</v>
      </c>
      <c r="AH18" s="5">
        <f t="shared" ref="AH18:AH26" si="3">T22/100</f>
        <v>0.24410000000000001</v>
      </c>
      <c r="AI18" s="5">
        <f t="shared" ref="AI18:AI26" si="4">U22/100</f>
        <v>0.24120999999999998</v>
      </c>
      <c r="AJ18" s="5">
        <f t="shared" ref="AJ18:AJ26" si="5">V22/100</f>
        <v>0.24036000000000002</v>
      </c>
      <c r="AK18" s="5">
        <f t="shared" ref="AK18:AK26" si="6">W22/100</f>
        <v>0.24792999999999998</v>
      </c>
      <c r="AL18" s="5">
        <f t="shared" ref="AL18:AL26" si="7">X22/100</f>
        <v>0.24943000000000001</v>
      </c>
      <c r="AM18" s="5">
        <f t="shared" ref="AM18:AM26" si="8">Y22/100</f>
        <v>0.25335999999999997</v>
      </c>
      <c r="AO18" s="5" t="str">
        <f>AE18&amp;", "&amp;AF18&amp;", "&amp;AG18&amp;", "&amp;AH18&amp;", "&amp;AI18&amp;", "&amp;AJ18&amp;", "&amp;AK18&amp;", "&amp;AL18&amp;", "&amp;AM18&amp;","</f>
        <v>0.27364, 0.27079, 0.26576, 0.2441, 0.24121, 0.24036, 0.24793, 0.24943, 0.25336,</v>
      </c>
      <c r="AP18" s="5"/>
      <c r="AQ18" s="5"/>
      <c r="AR18" s="5"/>
      <c r="AS18" s="5"/>
      <c r="AT18" s="5"/>
      <c r="AU18" s="5"/>
      <c r="AV18" s="5"/>
    </row>
    <row r="19" spans="1:48" x14ac:dyDescent="0.3">
      <c r="A19" s="66"/>
      <c r="B19" s="1" t="s">
        <v>168</v>
      </c>
      <c r="C19" s="9">
        <f>_xll.BDH(C4,$B$2,$B$17,$B$17)</f>
        <v>75.105900000000005</v>
      </c>
      <c r="D19" s="9">
        <f>_xll.BDH(D4,$B$2,$B$17,$B$17)</f>
        <v>78.814499999999995</v>
      </c>
      <c r="E19" s="9">
        <f>_xll.BDH(E4,$B$2,$B$17,$B$17)</f>
        <v>72.906700000000001</v>
      </c>
      <c r="F19" s="9">
        <f>_xll.BDH(F4,$B$2,$B$17,$B$17)</f>
        <v>74.123599999999996</v>
      </c>
      <c r="G19" s="9">
        <f>_xll.BDH(G4,$B$2,$B$17,$B$17)</f>
        <v>75.3489</v>
      </c>
      <c r="H19" s="9">
        <f>_xll.BDH(H4,$B$2,$B$17,$B$17)</f>
        <v>75.866</v>
      </c>
      <c r="I19" s="9">
        <f>_xll.BDH(I4,$B$2,$B$17,$B$17)</f>
        <v>76.457700000000003</v>
      </c>
      <c r="J19" s="9">
        <f>_xll.BDH(J4,$B$2,$B$17,$B$17)</f>
        <v>76.8917</v>
      </c>
      <c r="K19" s="9">
        <f>_xll.BDH(K4,$B$2,$B$17,$B$17)</f>
        <v>77.352400000000003</v>
      </c>
      <c r="L19" s="9">
        <f>_xll.BDH(L4,$B$2,$B$17,$B$17)</f>
        <v>77.892300000000006</v>
      </c>
      <c r="M19" s="9">
        <f>_xll.BDH(M4,$B$2,$B$17,$B$17)</f>
        <v>80.56</v>
      </c>
      <c r="N19" s="9">
        <f>_xll.BDH(N4,$B$2,$B$17,$B$17)</f>
        <v>83.002799999999993</v>
      </c>
      <c r="O19" s="67"/>
      <c r="P19" s="9" t="s">
        <v>168</v>
      </c>
      <c r="Q19" s="9">
        <f>_xll.BDH(Q4,$B$2,$B$17,$B$17)</f>
        <v>30.809000000000001</v>
      </c>
      <c r="R19" s="9">
        <f>_xll.BDH(R4,$B$2,$B$17,$B$17)</f>
        <v>27.905000000000001</v>
      </c>
      <c r="S19" s="9">
        <f>_xll.BDH(S4,$B$2,$B$17,$B$17)</f>
        <v>28.512</v>
      </c>
      <c r="T19" s="9">
        <f>_xll.BDH(T4,$B$2,$B$17,$B$17)</f>
        <v>28.66</v>
      </c>
      <c r="U19" s="9">
        <f>_xll.BDH(U4,$B$2,$B$17,$B$17)</f>
        <v>29.238</v>
      </c>
      <c r="V19" s="9">
        <f>_xll.BDH(V4,$B$2,$B$17,$B$17)</f>
        <v>29.567</v>
      </c>
      <c r="W19" s="9">
        <f>_xll.BDH(W4,$B$2,$B$17,$B$17)</f>
        <v>29.420999999999999</v>
      </c>
      <c r="X19" s="9">
        <f>_xll.BDH(X4,$B$2,$B$17,$B$17)</f>
        <v>29.32</v>
      </c>
      <c r="Y19" s="9">
        <f>_xll.BDH(Y4,$B$2,$B$17,$B$17)</f>
        <v>29.338000000000001</v>
      </c>
      <c r="Z19" s="9">
        <f>_xll.BDH(Z4,$B$2,$B$17,$B$17)</f>
        <v>29.561</v>
      </c>
      <c r="AA19" s="9">
        <f>_xll.BDH(AA4,$B$2,$B$17,$B$17)</f>
        <v>31.100999999999999</v>
      </c>
      <c r="AB19" s="9">
        <f>_xll.BDH(AB4,$B$2,$B$17,$B$17)</f>
        <v>35.546999999999997</v>
      </c>
      <c r="AD19" s="5" t="s">
        <v>156</v>
      </c>
      <c r="AE19" s="5">
        <f t="shared" si="0"/>
        <v>0.25237999999999999</v>
      </c>
      <c r="AF19" s="5">
        <f t="shared" si="1"/>
        <v>0.25070999999999999</v>
      </c>
      <c r="AG19" s="5">
        <f t="shared" si="2"/>
        <v>0.24498</v>
      </c>
      <c r="AH19" s="5">
        <f t="shared" si="3"/>
        <v>0.22390000000000002</v>
      </c>
      <c r="AI19" s="5">
        <f t="shared" si="4"/>
        <v>0.21693999999999999</v>
      </c>
      <c r="AJ19" s="5">
        <f t="shared" si="5"/>
        <v>0.21654000000000001</v>
      </c>
      <c r="AK19" s="5">
        <f t="shared" si="6"/>
        <v>0.21879000000000001</v>
      </c>
      <c r="AL19" s="5">
        <f t="shared" si="7"/>
        <v>0.22140000000000001</v>
      </c>
      <c r="AM19" s="5">
        <f t="shared" si="8"/>
        <v>0.22381000000000001</v>
      </c>
      <c r="AO19" s="5" t="str">
        <f t="shared" ref="AO19:AO25" si="9">AE19&amp;", "&amp;AF19&amp;", "&amp;AG19&amp;", "&amp;AH19&amp;", "&amp;AI19&amp;", "&amp;AJ19&amp;", "&amp;AK19&amp;", "&amp;AL19&amp;", "&amp;AM19&amp;","</f>
        <v>0.25238, 0.25071, 0.24498, 0.2239, 0.21694, 0.21654, 0.21879, 0.2214, 0.22381,</v>
      </c>
      <c r="AP19" s="5"/>
      <c r="AQ19" s="5"/>
      <c r="AR19" s="5"/>
      <c r="AS19" s="5"/>
      <c r="AT19" s="5"/>
      <c r="AU19" s="5"/>
      <c r="AV19" s="5"/>
    </row>
    <row r="20" spans="1:48" x14ac:dyDescent="0.3">
      <c r="A20" s="66"/>
      <c r="B20" s="1" t="s">
        <v>169</v>
      </c>
      <c r="C20" s="9">
        <f>_xll.BDH(C5,$B$2,$B$17,$B$17)</f>
        <v>73.194500000000005</v>
      </c>
      <c r="D20" s="9">
        <f>_xll.BDH(D5,$B$2,$B$17,$B$17)</f>
        <v>74.125</v>
      </c>
      <c r="E20" s="9">
        <f>_xll.BDH(E5,$B$2,$B$17,$B$17)</f>
        <v>75.114400000000003</v>
      </c>
      <c r="F20" s="9">
        <f>_xll.BDH(F5,$B$2,$B$17,$B$17)</f>
        <v>72.3279</v>
      </c>
      <c r="G20" s="9">
        <f>_xll.BDH(G5,$B$2,$B$17,$B$17)</f>
        <v>72.514300000000006</v>
      </c>
      <c r="H20" s="9">
        <f>_xll.BDH(H5,$B$2,$B$17,$B$17)</f>
        <v>73.173299999999998</v>
      </c>
      <c r="I20" s="9">
        <f>_xll.BDH(I5,$B$2,$B$17,$B$17)</f>
        <v>73.923199999999994</v>
      </c>
      <c r="J20" s="9">
        <f>_xll.BDH(J5,$B$2,$B$17,$B$17)</f>
        <v>74.595299999999995</v>
      </c>
      <c r="K20" s="9">
        <f>_xll.BDH(K5,$B$2,$B$17,$B$17)</f>
        <v>75.303799999999995</v>
      </c>
      <c r="L20" s="9">
        <f>_xll.BDH(L5,$B$2,$B$17,$B$17)</f>
        <v>76.151600000000002</v>
      </c>
      <c r="M20" s="9">
        <f>_xll.BDH(M5,$B$2,$B$17,$B$17)</f>
        <v>78.728099999999998</v>
      </c>
      <c r="N20" s="9">
        <f>_xll.BDH(N5,$B$2,$B$17,$B$17)</f>
        <v>81.601900000000001</v>
      </c>
      <c r="O20" s="67"/>
      <c r="P20" s="9" t="s">
        <v>169</v>
      </c>
      <c r="Q20" s="9">
        <f>_xll.BDH(Q5,$B$2,$B$17,$B$17)</f>
        <v>29.123000000000001</v>
      </c>
      <c r="R20" s="9">
        <f>_xll.BDH(R5,$B$2,$B$17,$B$17)</f>
        <v>26.800999999999998</v>
      </c>
      <c r="S20" s="9">
        <f>_xll.BDH(S5,$B$2,$B$17,$B$17)</f>
        <v>27.085000000000001</v>
      </c>
      <c r="T20" s="9">
        <f>_xll.BDH(T5,$B$2,$B$17,$B$17)</f>
        <v>26.3</v>
      </c>
      <c r="U20" s="9">
        <f>_xll.BDH(U5,$B$2,$B$17,$B$17)</f>
        <v>26.632999999999999</v>
      </c>
      <c r="V20" s="9">
        <f>_xll.BDH(V5,$B$2,$B$17,$B$17)</f>
        <v>27.286000000000001</v>
      </c>
      <c r="W20" s="9">
        <f>_xll.BDH(W5,$B$2,$B$17,$B$17)</f>
        <v>27.504000000000001</v>
      </c>
      <c r="X20" s="9">
        <f>_xll.BDH(X5,$B$2,$B$17,$B$17)</f>
        <v>28.384</v>
      </c>
      <c r="Y20" s="9">
        <f>_xll.BDH(Y5,$B$2,$B$17,$B$17)</f>
        <v>28.38</v>
      </c>
      <c r="Z20" s="9">
        <f>_xll.BDH(Z5,$B$2,$B$17,$B$17)</f>
        <v>28.533000000000001</v>
      </c>
      <c r="AA20" s="9">
        <f>_xll.BDH(AA5,$B$2,$B$17,$B$17)</f>
        <v>30.231000000000002</v>
      </c>
      <c r="AB20" s="9">
        <f>_xll.BDH(AB5,$B$2,$B$17,$B$17)</f>
        <v>34.945</v>
      </c>
      <c r="AD20" s="5" t="s">
        <v>157</v>
      </c>
      <c r="AE20" s="5">
        <f t="shared" si="0"/>
        <v>0.24356999999999998</v>
      </c>
      <c r="AF20" s="5">
        <f t="shared" si="1"/>
        <v>0.23998</v>
      </c>
      <c r="AG20" s="5">
        <f t="shared" si="2"/>
        <v>0.23485</v>
      </c>
      <c r="AH20" s="5">
        <f t="shared" si="3"/>
        <v>0.21739999999999998</v>
      </c>
      <c r="AI20" s="5">
        <f t="shared" si="4"/>
        <v>0.20980000000000001</v>
      </c>
      <c r="AJ20" s="5">
        <f t="shared" si="5"/>
        <v>0.21162</v>
      </c>
      <c r="AK20" s="5">
        <f t="shared" si="6"/>
        <v>0.21317</v>
      </c>
      <c r="AL20" s="5">
        <f t="shared" si="7"/>
        <v>0.21486</v>
      </c>
      <c r="AM20" s="5">
        <f t="shared" si="8"/>
        <v>0.21651000000000001</v>
      </c>
      <c r="AO20" s="5" t="str">
        <f t="shared" si="9"/>
        <v>0.24357, 0.23998, 0.23485, 0.2174, 0.2098, 0.21162, 0.21317, 0.21486, 0.21651,</v>
      </c>
      <c r="AP20" s="5"/>
      <c r="AQ20" s="5"/>
      <c r="AR20" s="5"/>
      <c r="AS20" s="5"/>
      <c r="AT20" s="5"/>
      <c r="AU20" s="5"/>
      <c r="AV20" s="5"/>
    </row>
    <row r="21" spans="1:48" x14ac:dyDescent="0.3">
      <c r="A21" s="66"/>
      <c r="B21" s="1" t="s">
        <v>170</v>
      </c>
      <c r="C21" s="9">
        <f>_xll.BDH(C6,$B$2,$B$17,$B$17)</f>
        <v>74.062200000000004</v>
      </c>
      <c r="D21" s="9">
        <f>_xll.BDH(D6,$B$2,$B$17,$B$17)</f>
        <v>71.578500000000005</v>
      </c>
      <c r="E21" s="9">
        <f>_xll.BDH(E6,$B$2,$B$17,$B$17)</f>
        <v>70.978999999999999</v>
      </c>
      <c r="F21" s="9">
        <f>_xll.BDH(F6,$B$2,$B$17,$B$17)</f>
        <v>70.417000000000002</v>
      </c>
      <c r="G21" s="9">
        <f>_xll.BDH(G6,$B$2,$B$17,$B$17)</f>
        <v>69.792400000000001</v>
      </c>
      <c r="H21" s="9">
        <f>_xll.BDH(H6,$B$2,$B$17,$B$17)</f>
        <v>70.700100000000006</v>
      </c>
      <c r="I21" s="9">
        <f>_xll.BDH(I6,$B$2,$B$17,$B$17)</f>
        <v>71.698400000000007</v>
      </c>
      <c r="J21" s="9">
        <f>_xll.BDH(J6,$B$2,$B$17,$B$17)</f>
        <v>72.434399999999997</v>
      </c>
      <c r="K21" s="9">
        <f>_xll.BDH(K6,$B$2,$B$17,$B$17)</f>
        <v>73.209599999999995</v>
      </c>
      <c r="L21" s="9">
        <f>_xll.BDH(L6,$B$2,$B$17,$B$17)</f>
        <v>74.177700000000002</v>
      </c>
      <c r="M21" s="9">
        <f>_xll.BDH(M6,$B$2,$B$17,$B$17)</f>
        <v>76.951999999999998</v>
      </c>
      <c r="N21" s="9">
        <f>_xll.BDH(N6,$B$2,$B$17,$B$17)</f>
        <v>80.162199999999999</v>
      </c>
      <c r="O21" s="67"/>
      <c r="P21" s="9" t="s">
        <v>170</v>
      </c>
      <c r="Q21" s="9">
        <f>_xll.BDH(Q6,$B$2,$B$17,$B$17)</f>
        <v>27.85</v>
      </c>
      <c r="R21" s="9">
        <f>_xll.BDH(R6,$B$2,$B$17,$B$17)</f>
        <v>26.670999999999999</v>
      </c>
      <c r="S21" s="9">
        <f>_xll.BDH(S6,$B$2,$B$17,$B$17)</f>
        <v>26.401</v>
      </c>
      <c r="T21" s="9">
        <f>_xll.BDH(T6,$B$2,$B$17,$B$17)</f>
        <v>25.228999999999999</v>
      </c>
      <c r="U21" s="9">
        <f>_xll.BDH(U6,$B$2,$B$17,$B$17)</f>
        <v>25.344999999999999</v>
      </c>
      <c r="V21" s="9">
        <f>_xll.BDH(V6,$B$2,$B$17,$B$17)</f>
        <v>25.370999999999999</v>
      </c>
      <c r="W21" s="9">
        <f>_xll.BDH(W6,$B$2,$B$17,$B$17)</f>
        <v>26.14</v>
      </c>
      <c r="X21" s="9">
        <f>_xll.BDH(X6,$B$2,$B$17,$B$17)</f>
        <v>26.128</v>
      </c>
      <c r="Y21" s="9">
        <f>_xll.BDH(Y6,$B$2,$B$17,$B$17)</f>
        <v>26.475999999999999</v>
      </c>
      <c r="Z21" s="9">
        <f>_xll.BDH(Z6,$B$2,$B$17,$B$17)</f>
        <v>26.95</v>
      </c>
      <c r="AA21" s="9">
        <f>_xll.BDH(AA6,$B$2,$B$17,$B$17)</f>
        <v>28.646000000000001</v>
      </c>
      <c r="AB21" s="9">
        <f>_xll.BDH(AB6,$B$2,$B$17,$B$17)</f>
        <v>33.406999999999996</v>
      </c>
      <c r="AD21" s="5" t="s">
        <v>158</v>
      </c>
      <c r="AE21" s="5">
        <f t="shared" si="0"/>
        <v>0.2298</v>
      </c>
      <c r="AF21" s="5">
        <f t="shared" si="1"/>
        <v>0.22409999999999999</v>
      </c>
      <c r="AG21" s="5">
        <f t="shared" si="2"/>
        <v>0.22170000000000001</v>
      </c>
      <c r="AH21" s="5">
        <f t="shared" si="3"/>
        <v>0.2109</v>
      </c>
      <c r="AI21" s="5">
        <f t="shared" si="4"/>
        <v>0.20749999999999999</v>
      </c>
      <c r="AJ21" s="5">
        <f t="shared" si="5"/>
        <v>0.20782</v>
      </c>
      <c r="AK21" s="5">
        <f t="shared" si="6"/>
        <v>0.20949999999999999</v>
      </c>
      <c r="AL21" s="5">
        <f t="shared" si="7"/>
        <v>0.21126</v>
      </c>
      <c r="AM21" s="5">
        <f t="shared" si="8"/>
        <v>0.21318000000000001</v>
      </c>
      <c r="AO21" s="5" t="str">
        <f t="shared" si="9"/>
        <v>0.2298, 0.2241, 0.2217, 0.2109, 0.2075, 0.20782, 0.2095, 0.21126, 0.21318,</v>
      </c>
      <c r="AP21" s="5"/>
      <c r="AQ21" s="5"/>
      <c r="AR21" s="5"/>
      <c r="AS21" s="5"/>
      <c r="AT21" s="5"/>
      <c r="AU21" s="5"/>
      <c r="AV21" s="5"/>
    </row>
    <row r="22" spans="1:48" x14ac:dyDescent="0.3">
      <c r="A22" s="66"/>
      <c r="B22" s="1" t="s">
        <v>155</v>
      </c>
      <c r="C22" s="34">
        <f>_xll.BDH(C7,$B$2,$B$17,$B$17)</f>
        <v>78.019099999999995</v>
      </c>
      <c r="D22" s="34">
        <f>_xll.BDH(D7,$B$2,$B$17,$B$17)</f>
        <v>77.264600000000002</v>
      </c>
      <c r="E22" s="34">
        <f>_xll.BDH(E7,$B$2,$B$17,$B$17)</f>
        <v>74.655100000000004</v>
      </c>
      <c r="F22" s="34">
        <f>_xll.BDH(F7,$B$2,$B$17,$B$17)</f>
        <v>67.498000000000005</v>
      </c>
      <c r="G22" s="34">
        <f>_xll.BDH(G7,$B$2,$B$17,$B$17)</f>
        <v>65.899900000000002</v>
      </c>
      <c r="H22" s="9">
        <f>_xll.BDH(H7,$B$2,$B$17,$B$17)</f>
        <v>66.301900000000003</v>
      </c>
      <c r="I22" s="34">
        <f>_xll.BDH(I7,$B$2,$B$17,$B$17)</f>
        <v>66.8005</v>
      </c>
      <c r="J22" s="9">
        <f>_xll.BDH(J7,$B$2,$B$17,$B$17)</f>
        <v>67.388599999999997</v>
      </c>
      <c r="K22" s="9">
        <f>_xll.BDH(K7,$B$2,$B$17,$B$17)</f>
        <v>68.013900000000007</v>
      </c>
      <c r="L22" s="34">
        <f>_xll.BDH(L7,$B$2,$B$17,$B$17)</f>
        <v>68.864199999999997</v>
      </c>
      <c r="M22" s="34">
        <f>_xll.BDH(M7,$B$2,$B$17,$B$17)</f>
        <v>69.961600000000004</v>
      </c>
      <c r="N22" s="34">
        <f>_xll.BDH(N7,$B$2,$B$17,$B$17)</f>
        <v>77.920900000000003</v>
      </c>
      <c r="O22" s="67"/>
      <c r="P22" s="9" t="s">
        <v>155</v>
      </c>
      <c r="Q22" s="34">
        <f>_xll.BDH(Q7,$B$2,$B$17,$B$17)</f>
        <v>27.364000000000001</v>
      </c>
      <c r="R22" s="34">
        <f>_xll.BDH(R7,$B$2,$B$17,$B$17)</f>
        <v>27.079000000000001</v>
      </c>
      <c r="S22" s="34">
        <f>_xll.BDH(S7,$B$2,$B$17,$B$17)</f>
        <v>26.576000000000001</v>
      </c>
      <c r="T22" s="34">
        <f>_xll.BDH(T7,$B$2,$B$17,$B$17)</f>
        <v>24.41</v>
      </c>
      <c r="U22" s="34">
        <f>_xll.BDH(U7,$B$2,$B$17,$B$17)</f>
        <v>24.120999999999999</v>
      </c>
      <c r="V22" s="9">
        <f>_xll.BDH(V7,$B$2,$B$17,$B$17)</f>
        <v>24.036000000000001</v>
      </c>
      <c r="W22" s="34">
        <f>_xll.BDH(W7,$B$2,$B$17,$B$17)</f>
        <v>24.792999999999999</v>
      </c>
      <c r="X22" s="9">
        <f>_xll.BDH(X7,$B$2,$B$17,$B$17)</f>
        <v>24.943000000000001</v>
      </c>
      <c r="Y22" s="9">
        <f>_xll.BDH(Y7,$B$2,$B$17,$B$17)</f>
        <v>25.335999999999999</v>
      </c>
      <c r="Z22" s="34">
        <f>_xll.BDH(Z7,$B$2,$B$17,$B$17)</f>
        <v>25.707000000000001</v>
      </c>
      <c r="AA22" s="34">
        <f>_xll.BDH(AA7,$B$2,$B$17,$B$17)</f>
        <v>27.119</v>
      </c>
      <c r="AB22" s="34">
        <f>_xll.BDH(AB7,$B$2,$B$17,$B$17)</f>
        <v>31.291</v>
      </c>
      <c r="AD22" s="5" t="s">
        <v>159</v>
      </c>
      <c r="AE22" s="5">
        <f t="shared" si="0"/>
        <v>0.20873</v>
      </c>
      <c r="AF22" s="5">
        <f t="shared" si="1"/>
        <v>0.21159</v>
      </c>
      <c r="AG22" s="5">
        <f t="shared" si="2"/>
        <v>0.21503</v>
      </c>
      <c r="AH22" s="5">
        <f t="shared" si="3"/>
        <v>0.20350000000000001</v>
      </c>
      <c r="AI22" s="5">
        <f t="shared" si="4"/>
        <v>0.20321999999999998</v>
      </c>
      <c r="AJ22" s="5">
        <f t="shared" si="5"/>
        <v>0.20370999999999997</v>
      </c>
      <c r="AK22" s="5">
        <f t="shared" si="6"/>
        <v>0.20547000000000001</v>
      </c>
      <c r="AL22" s="5">
        <f t="shared" si="7"/>
        <v>0.20763999999999999</v>
      </c>
      <c r="AM22" s="5">
        <f t="shared" si="8"/>
        <v>0.21007999999999999</v>
      </c>
      <c r="AO22" s="5" t="str">
        <f t="shared" si="9"/>
        <v>0.20873, 0.21159, 0.21503, 0.2035, 0.20322, 0.20371, 0.20547, 0.20764, 0.21008,</v>
      </c>
      <c r="AP22" s="5"/>
      <c r="AQ22" s="5"/>
      <c r="AR22" s="5"/>
      <c r="AS22" s="5"/>
      <c r="AT22" s="5"/>
      <c r="AU22" s="5"/>
      <c r="AV22" s="5"/>
    </row>
    <row r="23" spans="1:48" x14ac:dyDescent="0.3">
      <c r="A23" s="66"/>
      <c r="B23" s="1" t="s">
        <v>156</v>
      </c>
      <c r="C23" s="34">
        <f>_xll.BDH(C8,$B$2,$B$17,$B$17)</f>
        <v>71.901799999999994</v>
      </c>
      <c r="D23" s="34">
        <f>_xll.BDH(D8,$B$2,$B$17,$B$17)</f>
        <v>69.718400000000003</v>
      </c>
      <c r="E23" s="34">
        <f>_xll.BDH(E8,$B$2,$B$17,$B$17)</f>
        <v>66.839200000000005</v>
      </c>
      <c r="F23" s="34">
        <f>_xll.BDH(F8,$B$2,$B$17,$B$17)</f>
        <v>60.3521</v>
      </c>
      <c r="G23" s="34">
        <f>_xll.BDH(G8,$B$2,$B$17,$B$17)</f>
        <v>62.013199999999998</v>
      </c>
      <c r="H23" s="9">
        <f>_xll.BDH(H8,$B$2,$B$17,$B$17)</f>
        <v>59.987699999999997</v>
      </c>
      <c r="I23" s="34">
        <f>_xll.BDH(I8,$B$2,$B$17,$B$17)</f>
        <v>58.030299999999997</v>
      </c>
      <c r="J23" s="9">
        <f>_xll.BDH(J8,$B$2,$B$17,$B$17)</f>
        <v>58.5974</v>
      </c>
      <c r="K23" s="9">
        <f>_xll.BDH(K8,$B$2,$B$17,$B$17)</f>
        <v>59.380400000000002</v>
      </c>
      <c r="L23" s="34">
        <f>_xll.BDH(L8,$B$2,$B$17,$B$17)</f>
        <v>60.136800000000001</v>
      </c>
      <c r="M23" s="34">
        <f>_xll.BDH(M8,$B$2,$B$17,$B$17)</f>
        <v>61.729700000000001</v>
      </c>
      <c r="N23" s="34">
        <f>_xll.BDH(N8,$B$2,$B$17,$B$17)</f>
        <v>58.749499999999998</v>
      </c>
      <c r="O23" s="67"/>
      <c r="P23" s="9" t="s">
        <v>156</v>
      </c>
      <c r="Q23" s="34">
        <f>_xll.BDH(Q8,$B$2,$B$17,$B$17)</f>
        <v>25.238</v>
      </c>
      <c r="R23" s="34">
        <f>_xll.BDH(R8,$B$2,$B$17,$B$17)</f>
        <v>25.071000000000002</v>
      </c>
      <c r="S23" s="34">
        <f>_xll.BDH(S8,$B$2,$B$17,$B$17)</f>
        <v>24.498000000000001</v>
      </c>
      <c r="T23" s="34">
        <f>_xll.BDH(T8,$B$2,$B$17,$B$17)</f>
        <v>22.39</v>
      </c>
      <c r="U23" s="34">
        <f>_xll.BDH(U8,$B$2,$B$17,$B$17)</f>
        <v>21.693999999999999</v>
      </c>
      <c r="V23" s="9">
        <f>_xll.BDH(V8,$B$2,$B$17,$B$17)</f>
        <v>21.654</v>
      </c>
      <c r="W23" s="34">
        <f>_xll.BDH(W8,$B$2,$B$17,$B$17)</f>
        <v>21.879000000000001</v>
      </c>
      <c r="X23" s="9">
        <f>_xll.BDH(X8,$B$2,$B$17,$B$17)</f>
        <v>22.14</v>
      </c>
      <c r="Y23" s="9">
        <f>_xll.BDH(Y8,$B$2,$B$17,$B$17)</f>
        <v>22.381</v>
      </c>
      <c r="Z23" s="34">
        <f>_xll.BDH(Z8,$B$2,$B$17,$B$17)</f>
        <v>22.614999999999998</v>
      </c>
      <c r="AA23" s="34">
        <f>_xll.BDH(AA8,$B$2,$B$17,$B$17)</f>
        <v>24.678000000000001</v>
      </c>
      <c r="AB23" s="34">
        <f>_xll.BDH(AB8,$B$2,$B$17,$B$17)</f>
        <v>28.045999999999999</v>
      </c>
      <c r="AD23" s="5" t="s">
        <v>161</v>
      </c>
      <c r="AE23" s="5">
        <f t="shared" si="0"/>
        <v>0.19320000000000001</v>
      </c>
      <c r="AF23" s="5">
        <f t="shared" si="1"/>
        <v>0.2016</v>
      </c>
      <c r="AG23" s="5">
        <f t="shared" si="2"/>
        <v>0.20980000000000001</v>
      </c>
      <c r="AH23" s="5">
        <f t="shared" si="3"/>
        <v>0.19350000000000001</v>
      </c>
      <c r="AI23" s="5">
        <f t="shared" si="4"/>
        <v>0.19879999999999998</v>
      </c>
      <c r="AJ23" s="5">
        <f t="shared" si="5"/>
        <v>0.20251999999999998</v>
      </c>
      <c r="AK23" s="5">
        <f t="shared" si="6"/>
        <v>0.19940000000000002</v>
      </c>
      <c r="AL23" s="5">
        <f t="shared" si="7"/>
        <v>0.20550000000000002</v>
      </c>
      <c r="AM23" s="5">
        <f t="shared" si="8"/>
        <v>0.20597000000000001</v>
      </c>
      <c r="AO23" s="5" t="str">
        <f t="shared" si="9"/>
        <v>0.1932, 0.2016, 0.2098, 0.1935, 0.1988, 0.20252, 0.1994, 0.2055, 0.20597,</v>
      </c>
      <c r="AP23" s="5"/>
      <c r="AQ23" s="5"/>
      <c r="AR23" s="5"/>
      <c r="AS23" s="5"/>
      <c r="AT23" s="5"/>
      <c r="AU23" s="5"/>
      <c r="AV23" s="5"/>
    </row>
    <row r="24" spans="1:48" x14ac:dyDescent="0.3">
      <c r="A24" s="66"/>
      <c r="B24" s="1" t="s">
        <v>157</v>
      </c>
      <c r="C24" s="34">
        <f>_xll.BDH(C9,$B$2,$B$17,$B$17)</f>
        <v>65.886399999999995</v>
      </c>
      <c r="D24" s="34">
        <f>_xll.BDH(D9,$B$2,$B$17,$B$17)</f>
        <v>64.006699999999995</v>
      </c>
      <c r="E24" s="34">
        <f>_xll.BDH(E9,$B$2,$B$17,$B$17)</f>
        <v>61.83</v>
      </c>
      <c r="F24" s="34">
        <f>_xll.BDH(F9,$B$2,$B$17,$B$17)</f>
        <v>59.599800000000002</v>
      </c>
      <c r="G24" s="34">
        <f>_xll.BDH(G9,$B$2,$B$17,$B$17)</f>
        <v>55.803699999999999</v>
      </c>
      <c r="H24" s="9">
        <f>_xll.BDH(H9,$B$2,$B$17,$B$17)</f>
        <v>55.691800000000001</v>
      </c>
      <c r="I24" s="34">
        <f>_xll.BDH(I9,$B$2,$B$17,$B$17)</f>
        <v>55.600200000000001</v>
      </c>
      <c r="J24" s="9">
        <f>_xll.BDH(J9,$B$2,$B$17,$B$17)</f>
        <v>56.1736</v>
      </c>
      <c r="K24" s="9">
        <f>_xll.BDH(K9,$B$2,$B$17,$B$17)</f>
        <v>56.703099999999999</v>
      </c>
      <c r="L24" s="34">
        <f>_xll.BDH(L9,$B$2,$B$17,$B$17)</f>
        <v>56.828099999999999</v>
      </c>
      <c r="M24" s="34">
        <f>_xll.BDH(M9,$B$2,$B$17,$B$17)</f>
        <v>58.442799999999998</v>
      </c>
      <c r="N24" s="34">
        <f>_xll.BDH(N9,$B$2,$B$17,$B$17)</f>
        <v>54.5899</v>
      </c>
      <c r="O24" s="67"/>
      <c r="P24" s="9" t="s">
        <v>157</v>
      </c>
      <c r="Q24" s="34">
        <f>_xll.BDH(Q9,$B$2,$B$17,$B$17)</f>
        <v>24.356999999999999</v>
      </c>
      <c r="R24" s="34">
        <f>_xll.BDH(R9,$B$2,$B$17,$B$17)</f>
        <v>23.998000000000001</v>
      </c>
      <c r="S24" s="34">
        <f>_xll.BDH(S9,$B$2,$B$17,$B$17)</f>
        <v>23.484999999999999</v>
      </c>
      <c r="T24" s="34">
        <f>_xll.BDH(T9,$B$2,$B$17,$B$17)</f>
        <v>21.74</v>
      </c>
      <c r="U24" s="34">
        <f>_xll.BDH(U9,$B$2,$B$17,$B$17)</f>
        <v>20.98</v>
      </c>
      <c r="V24" s="9">
        <f>_xll.BDH(V9,$B$2,$B$17,$B$17)</f>
        <v>21.161999999999999</v>
      </c>
      <c r="W24" s="34">
        <f>_xll.BDH(W9,$B$2,$B$17,$B$17)</f>
        <v>21.317</v>
      </c>
      <c r="X24" s="9">
        <f>_xll.BDH(X9,$B$2,$B$17,$B$17)</f>
        <v>21.486000000000001</v>
      </c>
      <c r="Y24" s="9">
        <f>_xll.BDH(Y9,$B$2,$B$17,$B$17)</f>
        <v>21.651</v>
      </c>
      <c r="Z24" s="34">
        <f>_xll.BDH(Z9,$B$2,$B$17,$B$17)</f>
        <v>21.763000000000002</v>
      </c>
      <c r="AA24" s="34">
        <f>_xll.BDH(AA9,$B$2,$B$17,$B$17)</f>
        <v>24.146999999999998</v>
      </c>
      <c r="AB24" s="34">
        <f>_xll.BDH(AB9,$B$2,$B$17,$B$17)</f>
        <v>26.571000000000002</v>
      </c>
      <c r="AD24" s="5" t="s">
        <v>164</v>
      </c>
      <c r="AE24" s="5">
        <f t="shared" si="0"/>
        <v>0.17469999999999999</v>
      </c>
      <c r="AF24" s="5">
        <f t="shared" si="1"/>
        <v>0.18100000000000002</v>
      </c>
      <c r="AG24" s="5">
        <f t="shared" si="2"/>
        <v>0.191</v>
      </c>
      <c r="AH24" s="5">
        <f t="shared" si="3"/>
        <v>0.19693000000000002</v>
      </c>
      <c r="AI24" s="5">
        <f t="shared" si="4"/>
        <v>0.20379999999999998</v>
      </c>
      <c r="AJ24" s="5">
        <f t="shared" si="5"/>
        <v>0.20774999999999999</v>
      </c>
      <c r="AK24" s="5">
        <f t="shared" si="6"/>
        <v>0.21210000000000001</v>
      </c>
      <c r="AL24" s="5">
        <f t="shared" si="7"/>
        <v>0.21777999999999997</v>
      </c>
      <c r="AM24" s="5">
        <f t="shared" si="8"/>
        <v>0.22413</v>
      </c>
      <c r="AO24" s="5" t="str">
        <f t="shared" si="9"/>
        <v>0.1747, 0.181, 0.191, 0.19693, 0.2038, 0.20775, 0.2121, 0.21778, 0.22413,</v>
      </c>
      <c r="AP24" s="5"/>
      <c r="AQ24" s="5"/>
      <c r="AR24" s="5"/>
      <c r="AS24" s="5"/>
      <c r="AT24" s="5"/>
      <c r="AU24" s="5"/>
      <c r="AV24" s="5"/>
    </row>
    <row r="25" spans="1:48" x14ac:dyDescent="0.3">
      <c r="A25" s="66"/>
      <c r="B25" s="1" t="s">
        <v>158</v>
      </c>
      <c r="C25" s="34">
        <f>_xll.BDH(C10,$B$2,$B$17,$B$17)</f>
        <v>59.921900000000001</v>
      </c>
      <c r="D25" s="34">
        <f>_xll.BDH(D10,$B$2,$B$17,$B$17)</f>
        <v>57.8123</v>
      </c>
      <c r="E25" s="34">
        <f>_xll.BDH(E10,$B$2,$B$17,$B$17)</f>
        <v>57.313299999999998</v>
      </c>
      <c r="F25" s="34">
        <f>_xll.BDH(F10,$B$2,$B$17,$B$17)</f>
        <v>55.128799999999998</v>
      </c>
      <c r="G25" s="34">
        <f>_xll.BDH(G10,$B$2,$B$17,$B$17)</f>
        <v>53.653399999999998</v>
      </c>
      <c r="H25" s="9">
        <f>_xll.BDH(H10,$B$2,$B$17,$B$17)</f>
        <v>53.972999999999999</v>
      </c>
      <c r="I25" s="34">
        <f>_xll.BDH(I10,$B$2,$B$17,$B$17)</f>
        <v>54.534799999999997</v>
      </c>
      <c r="J25" s="9">
        <f>_xll.BDH(J10,$B$2,$B$17,$B$17)</f>
        <v>55.140300000000003</v>
      </c>
      <c r="K25" s="9">
        <f>_xll.BDH(K10,$B$2,$B$17,$B$17)</f>
        <v>55.2911</v>
      </c>
      <c r="L25" s="34">
        <f>_xll.BDH(L10,$B$2,$B$17,$B$17)</f>
        <v>55.492899999999999</v>
      </c>
      <c r="M25" s="34">
        <f>_xll.BDH(M10,$B$2,$B$17,$B$17)</f>
        <v>55.596299999999999</v>
      </c>
      <c r="N25" s="34">
        <f>_xll.BDH(N10,$B$2,$B$17,$B$17)</f>
        <v>52.378500000000003</v>
      </c>
      <c r="O25" s="67"/>
      <c r="P25" s="9" t="s">
        <v>158</v>
      </c>
      <c r="Q25" s="34">
        <f>_xll.BDH(Q10,$B$2,$B$17,$B$17)</f>
        <v>22.98</v>
      </c>
      <c r="R25" s="34">
        <f>_xll.BDH(R10,$B$2,$B$17,$B$17)</f>
        <v>22.41</v>
      </c>
      <c r="S25" s="34">
        <f>_xll.BDH(S10,$B$2,$B$17,$B$17)</f>
        <v>22.17</v>
      </c>
      <c r="T25" s="34">
        <f>_xll.BDH(T10,$B$2,$B$17,$B$17)</f>
        <v>21.09</v>
      </c>
      <c r="U25" s="34">
        <f>_xll.BDH(U10,$B$2,$B$17,$B$17)</f>
        <v>20.75</v>
      </c>
      <c r="V25" s="9">
        <f>_xll.BDH(V10,$B$2,$B$17,$B$17)</f>
        <v>20.782</v>
      </c>
      <c r="W25" s="34">
        <f>_xll.BDH(W10,$B$2,$B$17,$B$17)</f>
        <v>20.95</v>
      </c>
      <c r="X25" s="9">
        <f>_xll.BDH(X10,$B$2,$B$17,$B$17)</f>
        <v>21.126000000000001</v>
      </c>
      <c r="Y25" s="9">
        <f>_xll.BDH(Y10,$B$2,$B$17,$B$17)</f>
        <v>21.318000000000001</v>
      </c>
      <c r="Z25" s="34">
        <f>_xll.BDH(Z10,$B$2,$B$17,$B$17)</f>
        <v>21.53</v>
      </c>
      <c r="AA25" s="34">
        <f>_xll.BDH(AA10,$B$2,$B$17,$B$17)</f>
        <v>23.67</v>
      </c>
      <c r="AB25" s="34">
        <f>_xll.BDH(AB10,$B$2,$B$17,$B$17)</f>
        <v>25.35</v>
      </c>
      <c r="AD25" s="5" t="s">
        <v>165</v>
      </c>
      <c r="AE25" s="5">
        <f t="shared" si="0"/>
        <v>0.21712000000000001</v>
      </c>
      <c r="AF25" s="5">
        <f t="shared" si="1"/>
        <v>0.23813999999999999</v>
      </c>
      <c r="AG25" s="5">
        <f t="shared" si="2"/>
        <v>0.26638000000000001</v>
      </c>
      <c r="AH25" s="5">
        <f t="shared" si="3"/>
        <v>0.28954999999999997</v>
      </c>
      <c r="AI25" s="5">
        <f t="shared" si="4"/>
        <v>0.30530999999999997</v>
      </c>
      <c r="AJ25" s="5">
        <f t="shared" si="5"/>
        <v>0.31010000000000004</v>
      </c>
      <c r="AK25" s="5">
        <f t="shared" si="6"/>
        <v>0.30748000000000003</v>
      </c>
      <c r="AL25" s="5">
        <f t="shared" si="7"/>
        <v>0.30109000000000002</v>
      </c>
      <c r="AM25" s="5">
        <f t="shared" si="8"/>
        <v>0.29282000000000002</v>
      </c>
      <c r="AO25" s="5" t="str">
        <f t="shared" si="9"/>
        <v>0.21712, 0.23814, 0.26638, 0.28955, 0.30531, 0.3101, 0.30748, 0.30109, 0.29282,</v>
      </c>
      <c r="AP25" s="5"/>
      <c r="AQ25" s="5"/>
      <c r="AR25" s="5"/>
      <c r="AS25" s="5"/>
      <c r="AT25" s="5"/>
      <c r="AU25" s="5"/>
      <c r="AV25" s="5"/>
    </row>
    <row r="26" spans="1:48" x14ac:dyDescent="0.3">
      <c r="A26" s="66"/>
      <c r="B26" s="1" t="s">
        <v>159</v>
      </c>
      <c r="C26" s="34">
        <f>_xll.BDH(C11,$B$2,$B$17,$B$17)</f>
        <v>54.449100000000001</v>
      </c>
      <c r="D26" s="34">
        <f>_xll.BDH(D11,$B$2,$B$17,$B$17)</f>
        <v>54.386000000000003</v>
      </c>
      <c r="E26" s="34">
        <f>_xll.BDH(E11,$B$2,$B$17,$B$17)</f>
        <v>55.303899999999999</v>
      </c>
      <c r="F26" s="34">
        <f>_xll.BDH(F11,$B$2,$B$17,$B$17)</f>
        <v>52.412300000000002</v>
      </c>
      <c r="G26" s="34">
        <f>_xll.BDH(G11,$B$2,$B$17,$B$17)</f>
        <v>52.361699999999999</v>
      </c>
      <c r="H26" s="9">
        <f>_xll.BDH(H11,$B$2,$B$17,$B$17)</f>
        <v>53.063699999999997</v>
      </c>
      <c r="I26" s="34">
        <f>_xll.BDH(I11,$B$2,$B$17,$B$17)</f>
        <v>53.6813</v>
      </c>
      <c r="J26" s="9">
        <f>_xll.BDH(J11,$B$2,$B$17,$B$17)</f>
        <v>53.696599999999997</v>
      </c>
      <c r="K26" s="9">
        <f>_xll.BDH(K11,$B$2,$B$17,$B$17)</f>
        <v>53.774799999999999</v>
      </c>
      <c r="L26" s="34">
        <f>_xll.BDH(L11,$B$2,$B$17,$B$17)</f>
        <v>53.898899999999998</v>
      </c>
      <c r="M26" s="34">
        <f>_xll.BDH(M11,$B$2,$B$17,$B$17)</f>
        <v>53.884900000000002</v>
      </c>
      <c r="N26" s="34">
        <f>_xll.BDH(N11,$B$2,$B$17,$B$17)</f>
        <v>50.668900000000001</v>
      </c>
      <c r="O26" s="67"/>
      <c r="P26" s="9" t="s">
        <v>159</v>
      </c>
      <c r="Q26" s="34">
        <f>_xll.BDH(Q11,$B$2,$B$17,$B$17)</f>
        <v>20.873000000000001</v>
      </c>
      <c r="R26" s="34">
        <f>_xll.BDH(R11,$B$2,$B$17,$B$17)</f>
        <v>21.158999999999999</v>
      </c>
      <c r="S26" s="34">
        <f>_xll.BDH(S11,$B$2,$B$17,$B$17)</f>
        <v>21.503</v>
      </c>
      <c r="T26" s="34">
        <f>_xll.BDH(T11,$B$2,$B$17,$B$17)</f>
        <v>20.350000000000001</v>
      </c>
      <c r="U26" s="34">
        <f>_xll.BDH(U11,$B$2,$B$17,$B$17)</f>
        <v>20.321999999999999</v>
      </c>
      <c r="V26" s="9">
        <f>_xll.BDH(V11,$B$2,$B$17,$B$17)</f>
        <v>20.370999999999999</v>
      </c>
      <c r="W26" s="34">
        <f>_xll.BDH(W11,$B$2,$B$17,$B$17)</f>
        <v>20.547000000000001</v>
      </c>
      <c r="X26" s="9">
        <f>_xll.BDH(X11,$B$2,$B$17,$B$17)</f>
        <v>20.763999999999999</v>
      </c>
      <c r="Y26" s="9">
        <f>_xll.BDH(Y11,$B$2,$B$17,$B$17)</f>
        <v>21.007999999999999</v>
      </c>
      <c r="Z26" s="34">
        <f>_xll.BDH(Z11,$B$2,$B$17,$B$17)</f>
        <v>21.094000000000001</v>
      </c>
      <c r="AA26" s="34">
        <f>_xll.BDH(AA11,$B$2,$B$17,$B$17)</f>
        <v>23.6</v>
      </c>
      <c r="AB26" s="34">
        <f>_xll.BDH(AB11,$B$2,$B$17,$B$17)</f>
        <v>23.738</v>
      </c>
      <c r="AD26" s="5" t="s">
        <v>166</v>
      </c>
      <c r="AE26" s="5">
        <f t="shared" si="0"/>
        <v>0.30075000000000002</v>
      </c>
      <c r="AF26" s="5">
        <f t="shared" si="1"/>
        <v>0.29364000000000001</v>
      </c>
      <c r="AG26" s="5">
        <f t="shared" si="2"/>
        <v>0.29863000000000001</v>
      </c>
      <c r="AH26" s="5">
        <f t="shared" si="3"/>
        <v>0.29356000000000004</v>
      </c>
      <c r="AI26" s="5">
        <f t="shared" si="4"/>
        <v>0.27632999999999996</v>
      </c>
      <c r="AJ26" s="5">
        <f t="shared" si="5"/>
        <v>0.27059</v>
      </c>
      <c r="AK26" s="5">
        <f t="shared" si="6"/>
        <v>0.25628000000000001</v>
      </c>
      <c r="AL26" s="5">
        <f t="shared" si="7"/>
        <v>0.24327000000000001</v>
      </c>
      <c r="AM26" s="5">
        <f t="shared" si="8"/>
        <v>0.23207</v>
      </c>
      <c r="AO26" s="5" t="str">
        <f>AE26&amp;", "&amp;AF26&amp;", "&amp;AG26&amp;", "&amp;AH26&amp;", "&amp;AI26&amp;", "&amp;AJ26&amp;", "&amp;AK26&amp;", "&amp;AL26&amp;", "&amp;AM26</f>
        <v>0.30075, 0.29364, 0.29863, 0.29356, 0.27633, 0.27059, 0.25628, 0.24327, 0.23207</v>
      </c>
      <c r="AP26" s="5"/>
      <c r="AQ26" s="5"/>
      <c r="AR26" s="5"/>
      <c r="AS26" s="5"/>
      <c r="AT26" s="5"/>
      <c r="AU26" s="5"/>
      <c r="AV26" s="5"/>
    </row>
    <row r="27" spans="1:48" x14ac:dyDescent="0.3">
      <c r="A27" s="66"/>
      <c r="B27" s="1" t="s">
        <v>161</v>
      </c>
      <c r="C27" s="34">
        <f>_xll.BDH(C12,$B$2,$B$17,$B$17)</f>
        <v>53.2361</v>
      </c>
      <c r="D27" s="34">
        <f>_xll.BDH(D12,$B$2,$B$17,$B$17)</f>
        <v>51.839199999999998</v>
      </c>
      <c r="E27" s="34">
        <f>_xll.BDH(E12,$B$2,$B$17,$B$17)</f>
        <v>53.9011</v>
      </c>
      <c r="F27" s="34">
        <f>_xll.BDH(F12,$B$2,$B$17,$B$17)</f>
        <v>50.435499999999998</v>
      </c>
      <c r="G27" s="34">
        <f>_xll.BDH(G12,$B$2,$B$17,$B$17)</f>
        <v>52.148099999999999</v>
      </c>
      <c r="H27" s="9">
        <f>_xll.BDH(H12,$B$2,$B$17,$B$17)</f>
        <v>51.567799999999998</v>
      </c>
      <c r="I27" s="34">
        <f>_xll.BDH(I12,$B$2,$B$17,$B$17)</f>
        <v>51.1143</v>
      </c>
      <c r="J27" s="9">
        <f>_xll.BDH(J12,$B$2,$B$17,$B$17)</f>
        <v>51.295099999999998</v>
      </c>
      <c r="K27" s="9">
        <f>_xll.BDH(K12,$B$2,$B$17,$B$17)</f>
        <v>50.512700000000002</v>
      </c>
      <c r="L27" s="34">
        <f>_xll.BDH(L12,$B$2,$B$17,$B$17)</f>
        <v>49.910400000000003</v>
      </c>
      <c r="M27" s="34">
        <f>_xll.BDH(M12,$B$2,$B$17,$B$17)</f>
        <v>50.555599999999998</v>
      </c>
      <c r="N27" s="34">
        <f>_xll.BDH(N12,$B$2,$B$17,$B$17)</f>
        <v>47.845199999999998</v>
      </c>
      <c r="O27" s="67"/>
      <c r="P27" s="9" t="s">
        <v>161</v>
      </c>
      <c r="Q27" s="34">
        <f>_xll.BDH(Q12,$B$2,$B$17,$B$17)</f>
        <v>19.32</v>
      </c>
      <c r="R27" s="34">
        <f>_xll.BDH(R12,$B$2,$B$17,$B$17)</f>
        <v>20.16</v>
      </c>
      <c r="S27" s="34">
        <f>_xll.BDH(S12,$B$2,$B$17,$B$17)</f>
        <v>20.98</v>
      </c>
      <c r="T27" s="34">
        <f>_xll.BDH(T12,$B$2,$B$17,$B$17)</f>
        <v>19.350000000000001</v>
      </c>
      <c r="U27" s="34">
        <f>_xll.BDH(U12,$B$2,$B$17,$B$17)</f>
        <v>19.88</v>
      </c>
      <c r="V27" s="9">
        <f>_xll.BDH(V12,$B$2,$B$17,$B$17)</f>
        <v>20.251999999999999</v>
      </c>
      <c r="W27" s="34">
        <f>_xll.BDH(W12,$B$2,$B$17,$B$17)</f>
        <v>19.940000000000001</v>
      </c>
      <c r="X27" s="9">
        <f>_xll.BDH(X12,$B$2,$B$17,$B$17)</f>
        <v>20.55</v>
      </c>
      <c r="Y27" s="9">
        <f>_xll.BDH(Y12,$B$2,$B$17,$B$17)</f>
        <v>20.597000000000001</v>
      </c>
      <c r="Z27" s="34">
        <f>_xll.BDH(Z12,$B$2,$B$17,$B$17)</f>
        <v>20.97</v>
      </c>
      <c r="AA27" s="34">
        <f>_xll.BDH(AA12,$B$2,$B$17,$B$17)</f>
        <v>23.47</v>
      </c>
      <c r="AB27" s="34">
        <f>_xll.BDH(AB12,$B$2,$B$17,$B$17)</f>
        <v>23.18</v>
      </c>
    </row>
    <row r="28" spans="1:48" x14ac:dyDescent="0.3">
      <c r="A28" s="66"/>
      <c r="B28" s="1" t="s">
        <v>164</v>
      </c>
      <c r="C28" s="34">
        <f>_xll.BDH(C13,$B$2,$B$17,$B$17)</f>
        <v>49.607500000000002</v>
      </c>
      <c r="D28" s="34">
        <f>_xll.BDH(D13,$B$2,$B$17,$B$17)</f>
        <v>48.854100000000003</v>
      </c>
      <c r="E28" s="34">
        <f>_xll.BDH(E13,$B$2,$B$17,$B$17)</f>
        <v>49.588999999999999</v>
      </c>
      <c r="F28" s="34">
        <f>_xll.BDH(F13,$B$2,$B$17,$B$17)</f>
        <v>50.115200000000002</v>
      </c>
      <c r="G28" s="34">
        <f>_xll.BDH(G13,$B$2,$B$17,$B$17)</f>
        <v>54.069699999999997</v>
      </c>
      <c r="H28" s="9">
        <f>_xll.BDH(H13,$B$2,$B$17,$B$17)</f>
        <v>50.881399999999999</v>
      </c>
      <c r="I28" s="34">
        <f>_xll.BDH(I13,$B$2,$B$17,$B$17)</f>
        <v>48.252299999999998</v>
      </c>
      <c r="J28" s="9">
        <f>_xll.BDH(J13,$B$2,$B$17,$B$17)</f>
        <v>47.022100000000002</v>
      </c>
      <c r="K28" s="9">
        <f>_xll.BDH(K13,$B$2,$B$17,$B$17)</f>
        <v>46.0047</v>
      </c>
      <c r="L28" s="34">
        <f>_xll.BDH(L13,$B$2,$B$17,$B$17)</f>
        <v>45.125300000000003</v>
      </c>
      <c r="M28" s="34">
        <f>_xll.BDH(M13,$B$2,$B$17,$B$17)</f>
        <v>45.0304</v>
      </c>
      <c r="N28" s="34">
        <f>_xll.BDH(N13,$B$2,$B$17,$B$17)</f>
        <v>42.831800000000001</v>
      </c>
      <c r="O28" s="67"/>
      <c r="P28" s="9" t="s">
        <v>164</v>
      </c>
      <c r="Q28" s="34">
        <f>_xll.BDH(Q13,$B$2,$B$17,$B$17)</f>
        <v>17.47</v>
      </c>
      <c r="R28" s="34">
        <f>_xll.BDH(R13,$B$2,$B$17,$B$17)</f>
        <v>18.100000000000001</v>
      </c>
      <c r="S28" s="34">
        <f>_xll.BDH(S13,$B$2,$B$17,$B$17)</f>
        <v>19.100000000000001</v>
      </c>
      <c r="T28" s="34">
        <f>_xll.BDH(T13,$B$2,$B$17,$B$17)</f>
        <v>19.693000000000001</v>
      </c>
      <c r="U28" s="34">
        <f>_xll.BDH(U13,$B$2,$B$17,$B$17)</f>
        <v>20.38</v>
      </c>
      <c r="V28" s="9">
        <f>_xll.BDH(V13,$B$2,$B$17,$B$17)</f>
        <v>20.774999999999999</v>
      </c>
      <c r="W28" s="34">
        <f>_xll.BDH(W13,$B$2,$B$17,$B$17)</f>
        <v>21.21</v>
      </c>
      <c r="X28" s="9">
        <f>_xll.BDH(X13,$B$2,$B$17,$B$17)</f>
        <v>21.777999999999999</v>
      </c>
      <c r="Y28" s="9">
        <f>_xll.BDH(Y13,$B$2,$B$17,$B$17)</f>
        <v>22.413</v>
      </c>
      <c r="Z28" s="34">
        <f>_xll.BDH(Z13,$B$2,$B$17,$B$17)</f>
        <v>23.04</v>
      </c>
      <c r="AA28" s="34">
        <f>_xll.BDH(AA13,$B$2,$B$17,$B$17)</f>
        <v>23.07</v>
      </c>
      <c r="AB28" s="34">
        <f>_xll.BDH(AB13,$B$2,$B$17,$B$17)</f>
        <v>21.1</v>
      </c>
      <c r="AD28" s="5" t="s">
        <v>592</v>
      </c>
      <c r="AE28" s="5" t="s">
        <v>155</v>
      </c>
      <c r="AF28" s="5" t="s">
        <v>156</v>
      </c>
      <c r="AG28" s="5" t="s">
        <v>157</v>
      </c>
      <c r="AH28" s="5" t="s">
        <v>158</v>
      </c>
      <c r="AI28" s="5" t="s">
        <v>159</v>
      </c>
      <c r="AJ28" s="5" t="s">
        <v>161</v>
      </c>
      <c r="AK28" s="5" t="s">
        <v>164</v>
      </c>
      <c r="AL28" s="5" t="s">
        <v>165</v>
      </c>
      <c r="AM28" s="5" t="s">
        <v>166</v>
      </c>
      <c r="AO28" s="1" t="s">
        <v>593</v>
      </c>
    </row>
    <row r="29" spans="1:48" x14ac:dyDescent="0.3">
      <c r="A29" s="66"/>
      <c r="B29" s="1" t="s">
        <v>165</v>
      </c>
      <c r="C29" s="34">
        <f>_xll.BDH(C14,$B$2,$B$17,$B$17)</f>
        <v>35.693300000000001</v>
      </c>
      <c r="D29" s="34">
        <f>_xll.BDH(D14,$B$2,$B$17,$B$17)</f>
        <v>35.165500000000002</v>
      </c>
      <c r="E29" s="34">
        <f>_xll.BDH(E14,$B$2,$B$17,$B$17)</f>
        <v>36.578499999999998</v>
      </c>
      <c r="F29" s="34">
        <f>_xll.BDH(F14,$B$2,$B$17,$B$17)</f>
        <v>37.434899999999999</v>
      </c>
      <c r="G29" s="34">
        <f>_xll.BDH(G14,$B$2,$B$17,$B$17)</f>
        <v>40.611800000000002</v>
      </c>
      <c r="H29" s="9">
        <f>_xll.BDH(H14,$B$2,$B$17,$B$17)</f>
        <v>39.680799999999998</v>
      </c>
      <c r="I29" s="34">
        <f>_xll.BDH(I14,$B$2,$B$17,$B$17)</f>
        <v>38.726399999999998</v>
      </c>
      <c r="J29" s="9">
        <f>_xll.BDH(J14,$B$2,$B$17,$B$17)</f>
        <v>38.568199999999997</v>
      </c>
      <c r="K29" s="9">
        <f>_xll.BDH(K14,$B$2,$B$17,$B$17)</f>
        <v>38.391500000000001</v>
      </c>
      <c r="L29" s="34">
        <f>_xll.BDH(L14,$B$2,$B$17,$B$17)</f>
        <v>38.201099999999997</v>
      </c>
      <c r="M29" s="34">
        <f>_xll.BDH(M14,$B$2,$B$17,$B$17)</f>
        <v>39.7973</v>
      </c>
      <c r="N29" s="34">
        <f>_xll.BDH(N14,$B$2,$B$17,$B$17)</f>
        <v>38.762</v>
      </c>
      <c r="O29" s="67"/>
      <c r="P29" s="9" t="s">
        <v>165</v>
      </c>
      <c r="Q29" s="34">
        <f>_xll.BDH(Q14,$B$2,$B$17,$B$17)</f>
        <v>21.712</v>
      </c>
      <c r="R29" s="34">
        <f>_xll.BDH(R14,$B$2,$B$17,$B$17)</f>
        <v>23.814</v>
      </c>
      <c r="S29" s="34">
        <f>_xll.BDH(S14,$B$2,$B$17,$B$17)</f>
        <v>26.638000000000002</v>
      </c>
      <c r="T29" s="34">
        <f>_xll.BDH(T14,$B$2,$B$17,$B$17)</f>
        <v>28.954999999999998</v>
      </c>
      <c r="U29" s="34">
        <f>_xll.BDH(U14,$B$2,$B$17,$B$17)</f>
        <v>30.530999999999999</v>
      </c>
      <c r="V29" s="9">
        <f>_xll.BDH(V14,$B$2,$B$17,$B$17)</f>
        <v>31.01</v>
      </c>
      <c r="W29" s="34">
        <f>_xll.BDH(W14,$B$2,$B$17,$B$17)</f>
        <v>30.748000000000001</v>
      </c>
      <c r="X29" s="9">
        <f>_xll.BDH(X14,$B$2,$B$17,$B$17)</f>
        <v>30.109000000000002</v>
      </c>
      <c r="Y29" s="9">
        <f>_xll.BDH(Y14,$B$2,$B$17,$B$17)</f>
        <v>29.282</v>
      </c>
      <c r="Z29" s="34">
        <f>_xll.BDH(Z14,$B$2,$B$17,$B$17)</f>
        <v>28.385999999999999</v>
      </c>
      <c r="AA29" s="34">
        <f>_xll.BDH(AA14,$B$2,$B$17,$B$17)</f>
        <v>23.844999999999999</v>
      </c>
      <c r="AB29" s="34">
        <f>_xll.BDH(AB14,$B$2,$B$17,$B$17)</f>
        <v>20.436</v>
      </c>
      <c r="AD29" s="5" t="s">
        <v>155</v>
      </c>
      <c r="AE29" s="5">
        <f t="shared" ref="AE29:AE37" si="10">C22</f>
        <v>78.019099999999995</v>
      </c>
      <c r="AF29" s="5">
        <f t="shared" ref="AF29:AF37" si="11">D22</f>
        <v>77.264600000000002</v>
      </c>
      <c r="AG29" s="5">
        <f t="shared" ref="AG29:AG37" si="12">E22</f>
        <v>74.655100000000004</v>
      </c>
      <c r="AH29" s="5">
        <f t="shared" ref="AH29:AH37" si="13">F22</f>
        <v>67.498000000000005</v>
      </c>
      <c r="AI29" s="5">
        <f t="shared" ref="AI29:AI37" si="14">G22</f>
        <v>65.899900000000002</v>
      </c>
      <c r="AJ29" s="5">
        <f>I22</f>
        <v>66.8005</v>
      </c>
      <c r="AK29" s="5">
        <f t="shared" ref="AK29:AK37" si="15">L22</f>
        <v>68.864199999999997</v>
      </c>
      <c r="AL29" s="5">
        <f t="shared" ref="AL29:AL37" si="16">M22</f>
        <v>69.961600000000004</v>
      </c>
      <c r="AM29" s="5">
        <f t="shared" ref="AM29:AM37" si="17">N22</f>
        <v>77.920900000000003</v>
      </c>
      <c r="AO29" s="5" t="str">
        <f>AE29&amp;", "&amp;AF29&amp;", "&amp;AG29&amp;", "&amp;AH29&amp;", "&amp;AI29&amp;", "&amp;AJ29&amp;", "&amp;AK29&amp;", "&amp;AL29&amp;", "&amp;AM29&amp;","</f>
        <v>78.0191, 77.2646, 74.6551, 67.498, 65.8999, 66.8005, 68.8642, 69.9616, 77.9209,</v>
      </c>
      <c r="AP29" s="5"/>
      <c r="AQ29" s="5"/>
      <c r="AR29" s="5"/>
      <c r="AS29" s="5"/>
      <c r="AT29" s="5"/>
      <c r="AU29" s="5"/>
      <c r="AV29" s="5"/>
    </row>
    <row r="30" spans="1:48" x14ac:dyDescent="0.3">
      <c r="A30" s="66"/>
      <c r="B30" s="1" t="s">
        <v>166</v>
      </c>
      <c r="C30" s="34">
        <f>_xll.BDH(C15,$B$2,$B$17,$B$17)</f>
        <v>35.317900000000002</v>
      </c>
      <c r="D30" s="34">
        <f>_xll.BDH(D15,$B$2,$B$17,$B$17)</f>
        <v>34.824599999999997</v>
      </c>
      <c r="E30" s="34">
        <f>_xll.BDH(E15,$B$2,$B$17,$B$17)</f>
        <v>36.206000000000003</v>
      </c>
      <c r="F30" s="34">
        <f>_xll.BDH(F15,$B$2,$B$17,$B$17)</f>
        <v>37.024799999999999</v>
      </c>
      <c r="G30" s="34">
        <f>_xll.BDH(G15,$B$2,$B$17,$B$17)</f>
        <v>40.088099999999997</v>
      </c>
      <c r="H30" s="9">
        <f>_xll.BDH(H15,$B$2,$B$17,$B$17)</f>
        <v>39.195900000000002</v>
      </c>
      <c r="I30" s="34">
        <f>_xll.BDH(I15,$B$2,$B$17,$B$17)</f>
        <v>38.2804</v>
      </c>
      <c r="J30" s="9">
        <f>_xll.BDH(J15,$B$2,$B$17,$B$17)</f>
        <v>38.122999999999998</v>
      </c>
      <c r="K30" s="9">
        <f>_xll.BDH(K15,$B$2,$B$17,$B$17)</f>
        <v>37.9529</v>
      </c>
      <c r="L30" s="34">
        <f>_xll.BDH(L15,$B$2,$B$17,$B$17)</f>
        <v>37.770499999999998</v>
      </c>
      <c r="M30" s="34">
        <f>_xll.BDH(M15,$B$2,$B$17,$B$17)</f>
        <v>39.311500000000002</v>
      </c>
      <c r="N30" s="34">
        <f>_xll.BDH(N15,$B$2,$B$17,$B$17)</f>
        <v>38.312100000000001</v>
      </c>
      <c r="O30" s="67"/>
      <c r="P30" s="9" t="s">
        <v>166</v>
      </c>
      <c r="Q30" s="34">
        <f>_xll.BDH(Q15,$B$2,$B$17,$B$17)</f>
        <v>30.074999999999999</v>
      </c>
      <c r="R30" s="34">
        <f>_xll.BDH(R15,$B$2,$B$17,$B$17)</f>
        <v>29.364000000000001</v>
      </c>
      <c r="S30" s="34">
        <f>_xll.BDH(S15,$B$2,$B$17,$B$17)</f>
        <v>29.863</v>
      </c>
      <c r="T30" s="34">
        <f>_xll.BDH(T15,$B$2,$B$17,$B$17)</f>
        <v>29.356000000000002</v>
      </c>
      <c r="U30" s="34">
        <f>_xll.BDH(U15,$B$2,$B$17,$B$17)</f>
        <v>27.632999999999999</v>
      </c>
      <c r="V30" s="9">
        <f>_xll.BDH(V15,$B$2,$B$17,$B$17)</f>
        <v>27.059000000000001</v>
      </c>
      <c r="W30" s="34">
        <f>_xll.BDH(W15,$B$2,$B$17,$B$17)</f>
        <v>25.628</v>
      </c>
      <c r="X30" s="9">
        <f>_xll.BDH(X15,$B$2,$B$17,$B$17)</f>
        <v>24.327000000000002</v>
      </c>
      <c r="Y30" s="9">
        <f>_xll.BDH(Y15,$B$2,$B$17,$B$17)</f>
        <v>23.207000000000001</v>
      </c>
      <c r="Z30" s="34">
        <f>_xll.BDH(Z15,$B$2,$B$17,$B$17)</f>
        <v>21.920999999999999</v>
      </c>
      <c r="AA30" s="34">
        <f>_xll.BDH(AA15,$B$2,$B$17,$B$17)</f>
        <v>18.927</v>
      </c>
      <c r="AB30" s="34">
        <f>_xll.BDH(AB15,$B$2,$B$17,$B$17)</f>
        <v>16.353000000000002</v>
      </c>
      <c r="AD30" s="5" t="s">
        <v>156</v>
      </c>
      <c r="AE30" s="5">
        <f t="shared" si="10"/>
        <v>71.901799999999994</v>
      </c>
      <c r="AF30" s="5">
        <f t="shared" si="11"/>
        <v>69.718400000000003</v>
      </c>
      <c r="AG30" s="5">
        <f t="shared" si="12"/>
        <v>66.839200000000005</v>
      </c>
      <c r="AH30" s="5">
        <f t="shared" si="13"/>
        <v>60.3521</v>
      </c>
      <c r="AI30" s="5">
        <f t="shared" si="14"/>
        <v>62.013199999999998</v>
      </c>
      <c r="AJ30" s="5">
        <f t="shared" ref="AJ30:AJ37" si="18">I23</f>
        <v>58.030299999999997</v>
      </c>
      <c r="AK30" s="5">
        <f t="shared" si="15"/>
        <v>60.136800000000001</v>
      </c>
      <c r="AL30" s="5">
        <f t="shared" si="16"/>
        <v>61.729700000000001</v>
      </c>
      <c r="AM30" s="5">
        <f t="shared" si="17"/>
        <v>58.749499999999998</v>
      </c>
      <c r="AO30" s="5" t="str">
        <f t="shared" ref="AO30:AO37" si="19">AE30&amp;", "&amp;AF30&amp;", "&amp;AG30&amp;", "&amp;AH30&amp;", "&amp;AI30&amp;", "&amp;AJ30&amp;", "&amp;AK30&amp;", "&amp;AL30&amp;", "&amp;AM30&amp;","</f>
        <v>71.9018, 69.7184, 66.8392, 60.3521, 62.0132, 58.0303, 60.1368, 61.7297, 58.7495,</v>
      </c>
      <c r="AP30" s="5"/>
      <c r="AQ30" s="5"/>
      <c r="AR30" s="5"/>
      <c r="AS30" s="5"/>
      <c r="AT30" s="5"/>
      <c r="AU30" s="5"/>
      <c r="AV30" s="5"/>
    </row>
    <row r="31" spans="1:48" ht="14.25" thickBot="1" x14ac:dyDescent="0.35">
      <c r="A31" s="1" t="s">
        <v>501</v>
      </c>
      <c r="AD31" s="5" t="s">
        <v>157</v>
      </c>
      <c r="AE31" s="5">
        <f t="shared" si="10"/>
        <v>65.886399999999995</v>
      </c>
      <c r="AF31" s="5">
        <f t="shared" si="11"/>
        <v>64.006699999999995</v>
      </c>
      <c r="AG31" s="5">
        <f t="shared" si="12"/>
        <v>61.83</v>
      </c>
      <c r="AH31" s="5">
        <f t="shared" si="13"/>
        <v>59.599800000000002</v>
      </c>
      <c r="AI31" s="5">
        <f t="shared" si="14"/>
        <v>55.803699999999999</v>
      </c>
      <c r="AJ31" s="5">
        <f t="shared" si="18"/>
        <v>55.600200000000001</v>
      </c>
      <c r="AK31" s="5">
        <f t="shared" si="15"/>
        <v>56.828099999999999</v>
      </c>
      <c r="AL31" s="5">
        <f t="shared" si="16"/>
        <v>58.442799999999998</v>
      </c>
      <c r="AM31" s="5">
        <f t="shared" si="17"/>
        <v>54.5899</v>
      </c>
      <c r="AO31" s="5" t="str">
        <f t="shared" si="19"/>
        <v>65.8864, 64.0067, 61.83, 59.5998, 55.8037, 55.6002, 56.8281, 58.4428, 54.5899,</v>
      </c>
      <c r="AP31" s="5"/>
      <c r="AQ31" s="5"/>
      <c r="AR31" s="5"/>
      <c r="AS31" s="5"/>
      <c r="AT31" s="5"/>
      <c r="AU31" s="5"/>
      <c r="AV31" s="5"/>
    </row>
    <row r="32" spans="1:48" ht="16.5" customHeight="1" thickBot="1" x14ac:dyDescent="0.35">
      <c r="A32" s="15" t="s">
        <v>298</v>
      </c>
      <c r="B32" s="22" t="s">
        <v>299</v>
      </c>
      <c r="C32" s="23" t="s">
        <v>300</v>
      </c>
      <c r="AD32" s="5" t="s">
        <v>158</v>
      </c>
      <c r="AE32" s="5">
        <f t="shared" si="10"/>
        <v>59.921900000000001</v>
      </c>
      <c r="AF32" s="5">
        <f t="shared" si="11"/>
        <v>57.8123</v>
      </c>
      <c r="AG32" s="5">
        <f t="shared" si="12"/>
        <v>57.313299999999998</v>
      </c>
      <c r="AH32" s="5">
        <f t="shared" si="13"/>
        <v>55.128799999999998</v>
      </c>
      <c r="AI32" s="5">
        <f t="shared" si="14"/>
        <v>53.653399999999998</v>
      </c>
      <c r="AJ32" s="5">
        <f t="shared" si="18"/>
        <v>54.534799999999997</v>
      </c>
      <c r="AK32" s="5">
        <f t="shared" si="15"/>
        <v>55.492899999999999</v>
      </c>
      <c r="AL32" s="5">
        <f t="shared" si="16"/>
        <v>55.596299999999999</v>
      </c>
      <c r="AM32" s="5">
        <f t="shared" si="17"/>
        <v>52.378500000000003</v>
      </c>
      <c r="AO32" s="5" t="str">
        <f t="shared" si="19"/>
        <v>59.9219, 57.8123, 57.3133, 55.1288, 53.6534, 54.5348, 55.4929, 55.5963, 52.3785,</v>
      </c>
      <c r="AP32" s="5"/>
      <c r="AQ32" s="5"/>
      <c r="AR32" s="5"/>
      <c r="AS32" s="5"/>
      <c r="AT32" s="5"/>
      <c r="AU32" s="5"/>
      <c r="AV32" s="5"/>
    </row>
    <row r="33" spans="1:48" x14ac:dyDescent="0.3">
      <c r="A33" s="16" t="s">
        <v>479</v>
      </c>
      <c r="B33" s="17">
        <f>C30</f>
        <v>35.317900000000002</v>
      </c>
      <c r="C33" s="31">
        <f>Q30</f>
        <v>30.074999999999999</v>
      </c>
      <c r="T33" s="30" t="s">
        <v>500</v>
      </c>
      <c r="U33" s="24"/>
      <c r="V33" s="24"/>
      <c r="W33" s="25"/>
      <c r="Y33" s="35" t="s">
        <v>296</v>
      </c>
      <c r="Z33" s="35"/>
      <c r="AA33" s="36">
        <v>44376</v>
      </c>
      <c r="AD33" s="5" t="s">
        <v>159</v>
      </c>
      <c r="AE33" s="5">
        <f t="shared" si="10"/>
        <v>54.449100000000001</v>
      </c>
      <c r="AF33" s="5">
        <f t="shared" si="11"/>
        <v>54.386000000000003</v>
      </c>
      <c r="AG33" s="5">
        <f t="shared" si="12"/>
        <v>55.303899999999999</v>
      </c>
      <c r="AH33" s="5">
        <f t="shared" si="13"/>
        <v>52.412300000000002</v>
      </c>
      <c r="AI33" s="5">
        <f t="shared" si="14"/>
        <v>52.361699999999999</v>
      </c>
      <c r="AJ33" s="5">
        <f t="shared" si="18"/>
        <v>53.6813</v>
      </c>
      <c r="AK33" s="5">
        <f t="shared" si="15"/>
        <v>53.898899999999998</v>
      </c>
      <c r="AL33" s="5">
        <f t="shared" si="16"/>
        <v>53.884900000000002</v>
      </c>
      <c r="AM33" s="5">
        <f t="shared" si="17"/>
        <v>50.668900000000001</v>
      </c>
      <c r="AO33" s="5" t="str">
        <f t="shared" si="19"/>
        <v>54.4491, 54.386, 55.3039, 52.4123, 52.3617, 53.6813, 53.8989, 53.8849, 50.6689,</v>
      </c>
      <c r="AP33" s="5"/>
      <c r="AQ33" s="5"/>
      <c r="AR33" s="5"/>
      <c r="AS33" s="5"/>
      <c r="AT33" s="5"/>
      <c r="AU33" s="5"/>
      <c r="AV33" s="5"/>
    </row>
    <row r="34" spans="1:48" ht="16.5" x14ac:dyDescent="0.3">
      <c r="A34" s="16" t="s">
        <v>481</v>
      </c>
      <c r="B34" s="17">
        <f>D29</f>
        <v>35.165500000000002</v>
      </c>
      <c r="C34" s="31">
        <f>R29</f>
        <v>23.814</v>
      </c>
      <c r="T34" s="26">
        <f>$B$17</f>
        <v>44645</v>
      </c>
      <c r="U34" s="27" t="str">
        <f>$B$32</f>
        <v>Normal</v>
      </c>
      <c r="V34" s="27" t="str">
        <f>A33</f>
        <v>20Y1Y</v>
      </c>
      <c r="W34" s="18">
        <f>B33</f>
        <v>35.317900000000002</v>
      </c>
      <c r="Y34" t="s">
        <v>502</v>
      </c>
      <c r="Z34" t="s">
        <v>516</v>
      </c>
      <c r="AA34" t="str">
        <f>_xll.BDH(Y34,$A$1,$C$1,$C$1)</f>
        <v>#N/A Mandatory parameter [FIELDS] cannot be empty</v>
      </c>
      <c r="AD34" s="5" t="s">
        <v>161</v>
      </c>
      <c r="AE34" s="5">
        <f t="shared" si="10"/>
        <v>53.2361</v>
      </c>
      <c r="AF34" s="5">
        <f t="shared" si="11"/>
        <v>51.839199999999998</v>
      </c>
      <c r="AG34" s="5">
        <f t="shared" si="12"/>
        <v>53.9011</v>
      </c>
      <c r="AH34" s="5">
        <f t="shared" si="13"/>
        <v>50.435499999999998</v>
      </c>
      <c r="AI34" s="5">
        <f t="shared" si="14"/>
        <v>52.148099999999999</v>
      </c>
      <c r="AJ34" s="5">
        <f t="shared" si="18"/>
        <v>51.1143</v>
      </c>
      <c r="AK34" s="5">
        <f t="shared" si="15"/>
        <v>49.910400000000003</v>
      </c>
      <c r="AL34" s="5">
        <f t="shared" si="16"/>
        <v>50.555599999999998</v>
      </c>
      <c r="AM34" s="5">
        <f t="shared" si="17"/>
        <v>47.845199999999998</v>
      </c>
      <c r="AO34" s="5" t="str">
        <f t="shared" si="19"/>
        <v>53.2361, 51.8392, 53.9011, 50.4355, 52.1481, 51.1143, 49.9104, 50.5556, 47.8452,</v>
      </c>
      <c r="AP34" s="5"/>
      <c r="AQ34" s="5"/>
      <c r="AR34" s="5"/>
      <c r="AS34" s="5"/>
      <c r="AT34" s="5"/>
      <c r="AU34" s="5"/>
      <c r="AV34" s="5"/>
    </row>
    <row r="35" spans="1:48" ht="16.5" x14ac:dyDescent="0.3">
      <c r="A35" s="16" t="s">
        <v>483</v>
      </c>
      <c r="B35" s="17">
        <f>E28</f>
        <v>49.588999999999999</v>
      </c>
      <c r="C35" s="31">
        <f>S28</f>
        <v>19.100000000000001</v>
      </c>
      <c r="T35" s="26">
        <f t="shared" ref="T35:T51" si="20">$B$17</f>
        <v>44645</v>
      </c>
      <c r="U35" s="27" t="str">
        <f t="shared" ref="U35:U42" si="21">$B$32</f>
        <v>Normal</v>
      </c>
      <c r="V35" s="27" t="str">
        <f t="shared" ref="V35:V42" si="22">A34</f>
        <v>15Y2Y</v>
      </c>
      <c r="W35" s="18">
        <f t="shared" ref="W35:W42" si="23">B34</f>
        <v>35.165500000000002</v>
      </c>
      <c r="Y35" t="s">
        <v>503</v>
      </c>
      <c r="Z35" t="s">
        <v>517</v>
      </c>
      <c r="AA35" t="str">
        <f>_xll.BDH(Y35,$A$1,$C$1,$C$1)</f>
        <v>#N/A Mandatory parameter [FIELDS] cannot be empty</v>
      </c>
      <c r="AD35" s="5" t="s">
        <v>164</v>
      </c>
      <c r="AE35" s="5">
        <f t="shared" si="10"/>
        <v>49.607500000000002</v>
      </c>
      <c r="AF35" s="5">
        <f t="shared" si="11"/>
        <v>48.854100000000003</v>
      </c>
      <c r="AG35" s="5">
        <f t="shared" si="12"/>
        <v>49.588999999999999</v>
      </c>
      <c r="AH35" s="5">
        <f t="shared" si="13"/>
        <v>50.115200000000002</v>
      </c>
      <c r="AI35" s="5">
        <f t="shared" si="14"/>
        <v>54.069699999999997</v>
      </c>
      <c r="AJ35" s="5">
        <f t="shared" si="18"/>
        <v>48.252299999999998</v>
      </c>
      <c r="AK35" s="5">
        <f t="shared" si="15"/>
        <v>45.125300000000003</v>
      </c>
      <c r="AL35" s="5">
        <f t="shared" si="16"/>
        <v>45.0304</v>
      </c>
      <c r="AM35" s="5">
        <f t="shared" si="17"/>
        <v>42.831800000000001</v>
      </c>
      <c r="AO35" s="5" t="str">
        <f t="shared" si="19"/>
        <v>49.6075, 48.8541, 49.589, 50.1152, 54.0697, 48.2523, 45.1253, 45.0304, 42.8318,</v>
      </c>
      <c r="AP35" s="5"/>
      <c r="AQ35" s="5"/>
      <c r="AR35" s="5"/>
      <c r="AS35" s="5"/>
      <c r="AT35" s="5"/>
      <c r="AU35" s="5"/>
      <c r="AV35" s="5"/>
    </row>
    <row r="36" spans="1:48" ht="16.5" x14ac:dyDescent="0.3">
      <c r="A36" s="16" t="s">
        <v>485</v>
      </c>
      <c r="B36" s="17">
        <f>F27</f>
        <v>50.435499999999998</v>
      </c>
      <c r="C36" s="31">
        <f>T27</f>
        <v>19.350000000000001</v>
      </c>
      <c r="T36" s="26">
        <f t="shared" si="20"/>
        <v>44645</v>
      </c>
      <c r="U36" s="27" t="str">
        <f t="shared" si="21"/>
        <v>Normal</v>
      </c>
      <c r="V36" s="27" t="str">
        <f t="shared" si="22"/>
        <v>10Y3Y</v>
      </c>
      <c r="W36" s="18">
        <f t="shared" si="23"/>
        <v>49.588999999999999</v>
      </c>
      <c r="Y36" t="s">
        <v>504</v>
      </c>
      <c r="Z36" t="s">
        <v>518</v>
      </c>
      <c r="AA36" t="str">
        <f>_xll.BDH(Y36,$A$1,$C$1,$C$1)</f>
        <v>#N/A Mandatory parameter [FIELDS] cannot be empty</v>
      </c>
      <c r="AD36" s="5" t="s">
        <v>165</v>
      </c>
      <c r="AE36" s="5">
        <f t="shared" si="10"/>
        <v>35.693300000000001</v>
      </c>
      <c r="AF36" s="5">
        <f t="shared" si="11"/>
        <v>35.165500000000002</v>
      </c>
      <c r="AG36" s="5">
        <f t="shared" si="12"/>
        <v>36.578499999999998</v>
      </c>
      <c r="AH36" s="5">
        <f t="shared" si="13"/>
        <v>37.434899999999999</v>
      </c>
      <c r="AI36" s="5">
        <f t="shared" si="14"/>
        <v>40.611800000000002</v>
      </c>
      <c r="AJ36" s="5">
        <f t="shared" si="18"/>
        <v>38.726399999999998</v>
      </c>
      <c r="AK36" s="5">
        <f t="shared" si="15"/>
        <v>38.201099999999997</v>
      </c>
      <c r="AL36" s="5">
        <f t="shared" si="16"/>
        <v>39.7973</v>
      </c>
      <c r="AM36" s="5">
        <f t="shared" si="17"/>
        <v>38.762</v>
      </c>
      <c r="AO36" s="5" t="str">
        <f t="shared" si="19"/>
        <v>35.6933, 35.1655, 36.5785, 37.4349, 40.6118, 38.7264, 38.2011, 39.7973, 38.762,</v>
      </c>
      <c r="AP36" s="5"/>
      <c r="AQ36" s="5"/>
      <c r="AR36" s="5"/>
      <c r="AS36" s="5"/>
      <c r="AT36" s="5"/>
      <c r="AU36" s="5"/>
      <c r="AV36" s="5"/>
    </row>
    <row r="37" spans="1:48" ht="16.5" x14ac:dyDescent="0.3">
      <c r="A37" s="16" t="s">
        <v>297</v>
      </c>
      <c r="B37" s="17">
        <f>G26</f>
        <v>52.361699999999999</v>
      </c>
      <c r="C37" s="31">
        <f>U26</f>
        <v>20.321999999999999</v>
      </c>
      <c r="T37" s="26">
        <f t="shared" si="20"/>
        <v>44645</v>
      </c>
      <c r="U37" s="27" t="str">
        <f t="shared" si="21"/>
        <v>Normal</v>
      </c>
      <c r="V37" s="27" t="str">
        <f t="shared" si="22"/>
        <v>7Y4Y</v>
      </c>
      <c r="W37" s="18">
        <f t="shared" si="23"/>
        <v>50.435499999999998</v>
      </c>
      <c r="Y37" t="s">
        <v>505</v>
      </c>
      <c r="Z37" t="s">
        <v>519</v>
      </c>
      <c r="AA37" t="str">
        <f>_xll.BDH(Y37,$A$1,$C$1,$C$1)</f>
        <v>#N/A Mandatory parameter [FIELDS] cannot be empty</v>
      </c>
      <c r="AD37" s="5" t="s">
        <v>166</v>
      </c>
      <c r="AE37" s="5">
        <f t="shared" si="10"/>
        <v>35.317900000000002</v>
      </c>
      <c r="AF37" s="5">
        <f t="shared" si="11"/>
        <v>34.824599999999997</v>
      </c>
      <c r="AG37" s="5">
        <f t="shared" si="12"/>
        <v>36.206000000000003</v>
      </c>
      <c r="AH37" s="5">
        <f t="shared" si="13"/>
        <v>37.024799999999999</v>
      </c>
      <c r="AI37" s="5">
        <f t="shared" si="14"/>
        <v>40.088099999999997</v>
      </c>
      <c r="AJ37" s="5">
        <f t="shared" si="18"/>
        <v>38.2804</v>
      </c>
      <c r="AK37" s="5">
        <f t="shared" si="15"/>
        <v>37.770499999999998</v>
      </c>
      <c r="AL37" s="5">
        <f t="shared" si="16"/>
        <v>39.311500000000002</v>
      </c>
      <c r="AM37" s="5">
        <f t="shared" si="17"/>
        <v>38.312100000000001</v>
      </c>
      <c r="AO37" s="5" t="str">
        <f t="shared" si="19"/>
        <v>35.3179, 34.8246, 36.206, 37.0248, 40.0881, 38.2804, 37.7705, 39.3115, 38.3121,</v>
      </c>
      <c r="AP37" s="5"/>
      <c r="AQ37" s="5"/>
      <c r="AR37" s="5"/>
      <c r="AS37" s="5"/>
      <c r="AT37" s="5"/>
      <c r="AU37" s="5"/>
      <c r="AV37" s="5"/>
    </row>
    <row r="38" spans="1:48" ht="16.5" x14ac:dyDescent="0.3">
      <c r="A38" s="16" t="s">
        <v>487</v>
      </c>
      <c r="B38" s="17">
        <f>I25</f>
        <v>54.534799999999997</v>
      </c>
      <c r="C38" s="31">
        <f>W25</f>
        <v>20.95</v>
      </c>
      <c r="T38" s="26">
        <f t="shared" si="20"/>
        <v>44645</v>
      </c>
      <c r="U38" s="27" t="str">
        <f t="shared" si="21"/>
        <v>Normal</v>
      </c>
      <c r="V38" s="27" t="str">
        <f t="shared" si="22"/>
        <v>5Y5Y</v>
      </c>
      <c r="W38" s="18">
        <f t="shared" si="23"/>
        <v>52.361699999999999</v>
      </c>
      <c r="Y38" t="s">
        <v>506</v>
      </c>
      <c r="Z38" t="s">
        <v>520</v>
      </c>
      <c r="AA38" t="str">
        <f>_xll.BDH(Y38,$A$1,$C$1,$C$1)</f>
        <v>#N/A Mandatory parameter [FIELDS] cannot be empty</v>
      </c>
    </row>
    <row r="39" spans="1:48" ht="16.5" x14ac:dyDescent="0.3">
      <c r="A39" s="16" t="s">
        <v>489</v>
      </c>
      <c r="B39" s="17">
        <f>L24</f>
        <v>56.828099999999999</v>
      </c>
      <c r="C39" s="31">
        <f>Z24</f>
        <v>21.763000000000002</v>
      </c>
      <c r="T39" s="26">
        <f t="shared" si="20"/>
        <v>44645</v>
      </c>
      <c r="U39" s="27" t="str">
        <f t="shared" si="21"/>
        <v>Normal</v>
      </c>
      <c r="V39" s="27" t="str">
        <f t="shared" si="22"/>
        <v>4Y7Y</v>
      </c>
      <c r="W39" s="18">
        <f t="shared" si="23"/>
        <v>54.534799999999997</v>
      </c>
      <c r="Y39" t="s">
        <v>507</v>
      </c>
      <c r="Z39" t="s">
        <v>521</v>
      </c>
      <c r="AA39" t="str">
        <f>_xll.BDH(Y39,$A$1,$C$1,$C$1)</f>
        <v>#N/A Mandatory parameter [FIELDS] cannot be empty</v>
      </c>
    </row>
    <row r="40" spans="1:48" ht="16.5" x14ac:dyDescent="0.3">
      <c r="A40" s="16" t="s">
        <v>491</v>
      </c>
      <c r="B40" s="17">
        <f>M23</f>
        <v>61.729700000000001</v>
      </c>
      <c r="C40" s="31">
        <f>AA23</f>
        <v>24.678000000000001</v>
      </c>
      <c r="T40" s="26">
        <f t="shared" si="20"/>
        <v>44645</v>
      </c>
      <c r="U40" s="27" t="str">
        <f t="shared" si="21"/>
        <v>Normal</v>
      </c>
      <c r="V40" s="27" t="str">
        <f t="shared" si="22"/>
        <v>3Y10Y</v>
      </c>
      <c r="W40" s="18">
        <f t="shared" si="23"/>
        <v>56.828099999999999</v>
      </c>
      <c r="Y40" t="s">
        <v>508</v>
      </c>
      <c r="Z40" t="s">
        <v>522</v>
      </c>
      <c r="AA40" t="str">
        <f>_xll.BDH(Y40,$A$1,$C$1,$C$1)</f>
        <v>#N/A Mandatory parameter [FIELDS] cannot be empty</v>
      </c>
    </row>
    <row r="41" spans="1:48" ht="17.25" thickBot="1" x14ac:dyDescent="0.35">
      <c r="A41" s="19" t="s">
        <v>493</v>
      </c>
      <c r="B41" s="20">
        <f>N22</f>
        <v>77.920900000000003</v>
      </c>
      <c r="C41" s="32">
        <f>AB22</f>
        <v>31.291</v>
      </c>
      <c r="T41" s="26">
        <f t="shared" si="20"/>
        <v>44645</v>
      </c>
      <c r="U41" s="27" t="str">
        <f t="shared" si="21"/>
        <v>Normal</v>
      </c>
      <c r="V41" s="27" t="str">
        <f t="shared" si="22"/>
        <v>2Y15Y</v>
      </c>
      <c r="W41" s="18">
        <f t="shared" si="23"/>
        <v>61.729700000000001</v>
      </c>
      <c r="Y41" t="s">
        <v>509</v>
      </c>
      <c r="Z41" t="s">
        <v>523</v>
      </c>
      <c r="AA41" t="str">
        <f>_xll.BDH(Y41,$A$1,$C$1,$C$1)</f>
        <v>#N/A Mandatory parameter [FIELDS] cannot be empty</v>
      </c>
    </row>
    <row r="42" spans="1:48" ht="16.5" x14ac:dyDescent="0.3">
      <c r="T42" s="26">
        <f t="shared" si="20"/>
        <v>44645</v>
      </c>
      <c r="U42" s="27" t="str">
        <f t="shared" si="21"/>
        <v>Normal</v>
      </c>
      <c r="V42" s="27" t="str">
        <f t="shared" si="22"/>
        <v>1Y20Y</v>
      </c>
      <c r="W42" s="18">
        <f t="shared" si="23"/>
        <v>77.920900000000003</v>
      </c>
      <c r="Y42" t="s">
        <v>510</v>
      </c>
      <c r="Z42" t="s">
        <v>524</v>
      </c>
      <c r="AA42" t="str">
        <f>_xll.BDH(Y42,$A$1,$C$1,$C$1)</f>
        <v>#N/A Mandatory parameter [FIELDS] cannot be empty</v>
      </c>
    </row>
    <row r="43" spans="1:48" ht="16.5" x14ac:dyDescent="0.3">
      <c r="T43" s="26">
        <f t="shared" si="20"/>
        <v>44645</v>
      </c>
      <c r="U43" s="27" t="str">
        <f>$C$32</f>
        <v>Black</v>
      </c>
      <c r="V43" s="27" t="s">
        <v>478</v>
      </c>
      <c r="W43" s="18">
        <f>C33</f>
        <v>30.074999999999999</v>
      </c>
      <c r="Y43" t="s">
        <v>511</v>
      </c>
      <c r="Z43" t="s">
        <v>525</v>
      </c>
      <c r="AA43" t="str">
        <f>_xll.BDH(Y43,$A$1,$C$1,$C$1)</f>
        <v>#N/A Mandatory parameter [FIELDS] cannot be empty</v>
      </c>
    </row>
    <row r="44" spans="1:48" ht="16.5" x14ac:dyDescent="0.3">
      <c r="B44" s="66"/>
      <c r="C44" s="66"/>
      <c r="T44" s="26">
        <f t="shared" si="20"/>
        <v>44645</v>
      </c>
      <c r="U44" s="27" t="str">
        <f t="shared" ref="U44:U51" si="24">$C$32</f>
        <v>Black</v>
      </c>
      <c r="V44" s="27" t="s">
        <v>480</v>
      </c>
      <c r="W44" s="18">
        <f t="shared" ref="W44:W51" si="25">C34</f>
        <v>23.814</v>
      </c>
      <c r="Y44" t="s">
        <v>512</v>
      </c>
      <c r="Z44" t="s">
        <v>526</v>
      </c>
      <c r="AA44" t="str">
        <f>_xll.BDH(Y44,$A$1,$C$1,$C$1)</f>
        <v>#N/A Mandatory parameter [FIELDS] cannot be empty</v>
      </c>
    </row>
    <row r="45" spans="1:48" ht="16.5" x14ac:dyDescent="0.3">
      <c r="T45" s="26">
        <f t="shared" si="20"/>
        <v>44645</v>
      </c>
      <c r="U45" s="27" t="str">
        <f t="shared" si="24"/>
        <v>Black</v>
      </c>
      <c r="V45" s="27" t="s">
        <v>482</v>
      </c>
      <c r="W45" s="18">
        <f t="shared" si="25"/>
        <v>19.100000000000001</v>
      </c>
      <c r="Y45" t="s">
        <v>513</v>
      </c>
      <c r="Z45" t="s">
        <v>527</v>
      </c>
      <c r="AA45" t="str">
        <f>_xll.BDH(Y45,$A$1,$C$1,$C$1)</f>
        <v>#N/A Mandatory parameter [FIELDS] cannot be empty</v>
      </c>
    </row>
    <row r="46" spans="1:48" ht="16.5" x14ac:dyDescent="0.3">
      <c r="T46" s="26">
        <f t="shared" si="20"/>
        <v>44645</v>
      </c>
      <c r="U46" s="27" t="str">
        <f t="shared" si="24"/>
        <v>Black</v>
      </c>
      <c r="V46" s="27" t="s">
        <v>484</v>
      </c>
      <c r="W46" s="18">
        <f t="shared" si="25"/>
        <v>19.350000000000001</v>
      </c>
      <c r="Y46" t="s">
        <v>514</v>
      </c>
      <c r="Z46" t="s">
        <v>528</v>
      </c>
      <c r="AA46" t="str">
        <f>_xll.BDH(Y46,$A$1,$C$1,$C$1)</f>
        <v>#N/A Mandatory parameter [FIELDS] cannot be empty</v>
      </c>
    </row>
    <row r="47" spans="1:48" ht="16.5" x14ac:dyDescent="0.3">
      <c r="B47" s="12"/>
      <c r="T47" s="26">
        <f t="shared" si="20"/>
        <v>44645</v>
      </c>
      <c r="U47" s="27" t="str">
        <f t="shared" si="24"/>
        <v>Black</v>
      </c>
      <c r="V47" s="27" t="s">
        <v>477</v>
      </c>
      <c r="W47" s="18">
        <f t="shared" si="25"/>
        <v>20.321999999999999</v>
      </c>
      <c r="Y47" t="s">
        <v>515</v>
      </c>
      <c r="Z47" t="s">
        <v>529</v>
      </c>
      <c r="AA47" t="str">
        <f>_xll.BDH(Y47,$A$1,$C$1,$C$1)</f>
        <v>#N/A Mandatory parameter [FIELDS] cannot be empty</v>
      </c>
    </row>
    <row r="48" spans="1:48" x14ac:dyDescent="0.3">
      <c r="B48" s="11"/>
      <c r="T48" s="26">
        <f t="shared" si="20"/>
        <v>44645</v>
      </c>
      <c r="U48" s="27" t="str">
        <f t="shared" si="24"/>
        <v>Black</v>
      </c>
      <c r="V48" s="27" t="s">
        <v>486</v>
      </c>
      <c r="W48" s="18">
        <f t="shared" si="25"/>
        <v>20.95</v>
      </c>
    </row>
    <row r="49" spans="1:23" x14ac:dyDescent="0.3">
      <c r="B49" s="11"/>
      <c r="T49" s="26">
        <f t="shared" si="20"/>
        <v>44645</v>
      </c>
      <c r="U49" s="27" t="str">
        <f t="shared" si="24"/>
        <v>Black</v>
      </c>
      <c r="V49" s="27" t="s">
        <v>488</v>
      </c>
      <c r="W49" s="18">
        <f t="shared" si="25"/>
        <v>21.763000000000002</v>
      </c>
    </row>
    <row r="50" spans="1:23" x14ac:dyDescent="0.3">
      <c r="B50" s="11"/>
      <c r="T50" s="26">
        <f t="shared" si="20"/>
        <v>44645</v>
      </c>
      <c r="U50" s="27" t="str">
        <f t="shared" si="24"/>
        <v>Black</v>
      </c>
      <c r="V50" s="27" t="s">
        <v>490</v>
      </c>
      <c r="W50" s="18">
        <f t="shared" si="25"/>
        <v>24.678000000000001</v>
      </c>
    </row>
    <row r="51" spans="1:23" ht="14.25" thickBot="1" x14ac:dyDescent="0.35">
      <c r="B51" s="11"/>
      <c r="T51" s="28">
        <f t="shared" si="20"/>
        <v>44645</v>
      </c>
      <c r="U51" s="29" t="str">
        <f t="shared" si="24"/>
        <v>Black</v>
      </c>
      <c r="V51" s="29" t="s">
        <v>492</v>
      </c>
      <c r="W51" s="21">
        <f t="shared" si="25"/>
        <v>31.291</v>
      </c>
    </row>
    <row r="52" spans="1:23" x14ac:dyDescent="0.3">
      <c r="B52" s="11"/>
      <c r="T52" s="2"/>
    </row>
    <row r="53" spans="1:23" x14ac:dyDescent="0.3">
      <c r="B53" s="11"/>
      <c r="T53" s="2"/>
    </row>
    <row r="54" spans="1:23" x14ac:dyDescent="0.3">
      <c r="B54" s="11"/>
      <c r="T54" s="2"/>
    </row>
    <row r="55" spans="1:23" x14ac:dyDescent="0.3">
      <c r="B55" s="11"/>
      <c r="T55" s="2"/>
    </row>
    <row r="56" spans="1:23" ht="16.5" customHeight="1" x14ac:dyDescent="0.3">
      <c r="A56" s="68" t="s">
        <v>536</v>
      </c>
      <c r="B56" s="69"/>
      <c r="C56" s="69"/>
      <c r="D56" s="69"/>
      <c r="E56" s="69"/>
      <c r="F56" s="69"/>
      <c r="G56" s="69"/>
      <c r="H56" s="69"/>
      <c r="T56" s="2"/>
    </row>
    <row r="57" spans="1:23" ht="16.5" customHeight="1" x14ac:dyDescent="0.3">
      <c r="A57" s="68"/>
      <c r="B57" s="69"/>
      <c r="C57" s="69"/>
      <c r="D57" s="69"/>
      <c r="E57" s="69"/>
      <c r="F57" s="69"/>
      <c r="G57" s="69"/>
      <c r="H57" s="69"/>
      <c r="T57" s="2"/>
    </row>
    <row r="58" spans="1:23" x14ac:dyDescent="0.3">
      <c r="T58" s="2"/>
    </row>
    <row r="59" spans="1:23" x14ac:dyDescent="0.3">
      <c r="T59" s="2"/>
    </row>
    <row r="60" spans="1:23" x14ac:dyDescent="0.3">
      <c r="T60" s="2"/>
    </row>
    <row r="61" spans="1:23" x14ac:dyDescent="0.3">
      <c r="T61" s="2"/>
    </row>
    <row r="62" spans="1:23" x14ac:dyDescent="0.3">
      <c r="T62" s="2"/>
    </row>
    <row r="88" spans="20:20" x14ac:dyDescent="0.3">
      <c r="T88" s="1" t="s">
        <v>535</v>
      </c>
    </row>
  </sheetData>
  <mergeCells count="5">
    <mergeCell ref="C16:N16"/>
    <mergeCell ref="A18:A30"/>
    <mergeCell ref="B44:C44"/>
    <mergeCell ref="O18:O30"/>
    <mergeCell ref="A56:H5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LACKCSVSave">
                <anchor moveWithCells="1" sizeWithCells="1">
                  <from>
                    <xdr:col>0</xdr:col>
                    <xdr:colOff>771525</xdr:colOff>
                    <xdr:row>42</xdr:row>
                    <xdr:rowOff>47625</xdr:rowOff>
                  </from>
                  <to>
                    <xdr:col>2</xdr:col>
                    <xdr:colOff>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ormalCSVSave">
                <anchor moveWithCells="1" sizeWithCells="1">
                  <from>
                    <xdr:col>0</xdr:col>
                    <xdr:colOff>809625</xdr:colOff>
                    <xdr:row>45</xdr:row>
                    <xdr:rowOff>123825</xdr:rowOff>
                  </from>
                  <to>
                    <xdr:col>2</xdr:col>
                    <xdr:colOff>38100</xdr:colOff>
                    <xdr:row>48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0.79998168889431442"/>
  </sheetPr>
  <dimension ref="A2:AV88"/>
  <sheetViews>
    <sheetView zoomScale="70" zoomScaleNormal="70" workbookViewId="0">
      <selection activeCell="AB53" sqref="AB53"/>
    </sheetView>
  </sheetViews>
  <sheetFormatPr defaultRowHeight="13.5" x14ac:dyDescent="0.3"/>
  <cols>
    <col min="1" max="1" width="14.875" style="1" bestFit="1" customWidth="1"/>
    <col min="2" max="2" width="13" style="1" customWidth="1"/>
    <col min="3" max="3" width="10.25" style="1" customWidth="1"/>
    <col min="4" max="4" width="12.5" style="1" customWidth="1"/>
    <col min="5" max="5" width="10.875" style="1" customWidth="1"/>
    <col min="6" max="6" width="7.75" style="1" customWidth="1"/>
    <col min="7" max="7" width="8.375" style="1" customWidth="1"/>
    <col min="8" max="8" width="12.5" style="1" customWidth="1"/>
    <col min="9" max="9" width="8.375" style="1" customWidth="1"/>
    <col min="10" max="10" width="11.75" style="1" customWidth="1"/>
    <col min="11" max="11" width="8" style="1" customWidth="1"/>
    <col min="12" max="12" width="8.625" style="1" customWidth="1"/>
    <col min="13" max="13" width="13.375" style="1" customWidth="1"/>
    <col min="14" max="14" width="10" style="1" customWidth="1"/>
    <col min="15" max="15" width="9" style="1"/>
    <col min="16" max="16" width="12.125" style="1" customWidth="1"/>
    <col min="17" max="19" width="9" style="1"/>
    <col min="20" max="20" width="11" style="1" bestFit="1" customWidth="1"/>
    <col min="21" max="16384" width="9" style="1"/>
  </cols>
  <sheetData>
    <row r="2" spans="1:28" x14ac:dyDescent="0.3">
      <c r="A2" s="5" t="s">
        <v>174</v>
      </c>
      <c r="B2" s="1" t="s">
        <v>171</v>
      </c>
      <c r="C2" s="1" t="s">
        <v>155</v>
      </c>
      <c r="D2" s="1" t="s">
        <v>156</v>
      </c>
      <c r="E2" s="1" t="s">
        <v>157</v>
      </c>
      <c r="F2" s="1" t="s">
        <v>158</v>
      </c>
      <c r="G2" s="1" t="s">
        <v>159</v>
      </c>
      <c r="H2" s="1" t="s">
        <v>160</v>
      </c>
      <c r="I2" s="1" t="s">
        <v>161</v>
      </c>
      <c r="J2" s="1" t="s">
        <v>162</v>
      </c>
      <c r="K2" s="1" t="s">
        <v>163</v>
      </c>
      <c r="L2" s="1" t="s">
        <v>164</v>
      </c>
      <c r="M2" s="1" t="s">
        <v>165</v>
      </c>
      <c r="N2" s="1" t="s">
        <v>166</v>
      </c>
      <c r="P2" s="1" t="s">
        <v>301</v>
      </c>
      <c r="Q2" s="1" t="s">
        <v>302</v>
      </c>
      <c r="R2" s="1" t="s">
        <v>303</v>
      </c>
      <c r="S2" s="1" t="s">
        <v>304</v>
      </c>
      <c r="T2" s="1" t="s">
        <v>305</v>
      </c>
      <c r="U2" s="1" t="s">
        <v>306</v>
      </c>
      <c r="V2" s="1" t="s">
        <v>307</v>
      </c>
      <c r="W2" s="1" t="s">
        <v>308</v>
      </c>
      <c r="X2" s="1" t="s">
        <v>309</v>
      </c>
      <c r="Y2" s="1" t="s">
        <v>310</v>
      </c>
      <c r="Z2" s="1" t="s">
        <v>311</v>
      </c>
      <c r="AA2" s="1" t="s">
        <v>312</v>
      </c>
      <c r="AB2" s="1" t="s">
        <v>313</v>
      </c>
    </row>
    <row r="3" spans="1:28" x14ac:dyDescent="0.3">
      <c r="A3" s="5" t="s">
        <v>175</v>
      </c>
      <c r="B3" s="1" t="s">
        <v>167</v>
      </c>
      <c r="C3" s="3" t="s">
        <v>476</v>
      </c>
      <c r="D3" s="3" t="s">
        <v>323</v>
      </c>
      <c r="E3" s="3" t="s">
        <v>324</v>
      </c>
      <c r="F3" s="3" t="s">
        <v>325</v>
      </c>
      <c r="G3" s="3" t="s">
        <v>326</v>
      </c>
      <c r="H3" s="3" t="s">
        <v>327</v>
      </c>
      <c r="I3" s="3" t="s">
        <v>328</v>
      </c>
      <c r="J3" s="3" t="s">
        <v>329</v>
      </c>
      <c r="K3" s="3" t="s">
        <v>330</v>
      </c>
      <c r="L3" s="3" t="s">
        <v>331</v>
      </c>
      <c r="M3" s="3" t="s">
        <v>332</v>
      </c>
      <c r="N3" s="3" t="s">
        <v>333</v>
      </c>
      <c r="P3" s="3" t="s">
        <v>314</v>
      </c>
      <c r="Q3" s="1" t="s">
        <v>0</v>
      </c>
      <c r="R3" s="1" t="s">
        <v>1</v>
      </c>
      <c r="S3" s="1" t="s">
        <v>2</v>
      </c>
      <c r="T3" s="1" t="s">
        <v>3</v>
      </c>
      <c r="U3" s="1" t="s">
        <v>4</v>
      </c>
      <c r="V3" s="1" t="s">
        <v>5</v>
      </c>
      <c r="W3" s="1" t="s">
        <v>6</v>
      </c>
      <c r="X3" s="1" t="s">
        <v>7</v>
      </c>
      <c r="Y3" s="1" t="s">
        <v>8</v>
      </c>
      <c r="Z3" s="1" t="s">
        <v>9</v>
      </c>
      <c r="AA3" s="1" t="s">
        <v>319</v>
      </c>
      <c r="AB3" s="1" t="s">
        <v>10</v>
      </c>
    </row>
    <row r="4" spans="1:28" x14ac:dyDescent="0.3">
      <c r="B4" s="1" t="s">
        <v>168</v>
      </c>
      <c r="C4" s="3" t="s">
        <v>2202</v>
      </c>
      <c r="D4" s="3" t="s">
        <v>334</v>
      </c>
      <c r="E4" s="3" t="s">
        <v>335</v>
      </c>
      <c r="F4" s="3" t="s">
        <v>336</v>
      </c>
      <c r="G4" s="3" t="s">
        <v>337</v>
      </c>
      <c r="H4" s="3" t="s">
        <v>338</v>
      </c>
      <c r="I4" s="3" t="s">
        <v>339</v>
      </c>
      <c r="J4" s="3" t="s">
        <v>340</v>
      </c>
      <c r="K4" s="3" t="s">
        <v>341</v>
      </c>
      <c r="L4" s="3" t="s">
        <v>342</v>
      </c>
      <c r="M4" s="3" t="s">
        <v>343</v>
      </c>
      <c r="N4" s="3" t="s">
        <v>344</v>
      </c>
      <c r="P4" s="3" t="s">
        <v>315</v>
      </c>
      <c r="Q4" s="1" t="s">
        <v>11</v>
      </c>
      <c r="R4" s="1" t="s">
        <v>12</v>
      </c>
      <c r="S4" s="1" t="s">
        <v>13</v>
      </c>
      <c r="T4" s="1" t="s">
        <v>14</v>
      </c>
      <c r="U4" s="1" t="s">
        <v>15</v>
      </c>
      <c r="V4" s="1" t="s">
        <v>16</v>
      </c>
      <c r="W4" s="1" t="s">
        <v>17</v>
      </c>
      <c r="X4" s="1" t="s">
        <v>18</v>
      </c>
      <c r="Y4" s="1" t="s">
        <v>19</v>
      </c>
      <c r="Z4" s="1" t="s">
        <v>20</v>
      </c>
      <c r="AA4" s="1" t="s">
        <v>21</v>
      </c>
      <c r="AB4" s="1" t="s">
        <v>22</v>
      </c>
    </row>
    <row r="5" spans="1:28" x14ac:dyDescent="0.3">
      <c r="B5" s="1" t="s">
        <v>169</v>
      </c>
      <c r="C5" s="3" t="s">
        <v>345</v>
      </c>
      <c r="D5" s="3" t="s">
        <v>346</v>
      </c>
      <c r="E5" s="3" t="s">
        <v>347</v>
      </c>
      <c r="F5" s="3" t="s">
        <v>348</v>
      </c>
      <c r="G5" s="3" t="s">
        <v>349</v>
      </c>
      <c r="H5" s="3" t="s">
        <v>350</v>
      </c>
      <c r="I5" s="3" t="s">
        <v>351</v>
      </c>
      <c r="J5" s="3" t="s">
        <v>352</v>
      </c>
      <c r="K5" s="3" t="s">
        <v>353</v>
      </c>
      <c r="L5" s="3" t="s">
        <v>354</v>
      </c>
      <c r="M5" s="3" t="s">
        <v>355</v>
      </c>
      <c r="N5" s="3" t="s">
        <v>356</v>
      </c>
      <c r="P5" s="3" t="s">
        <v>316</v>
      </c>
      <c r="Q5" s="1" t="s">
        <v>23</v>
      </c>
      <c r="R5" s="1" t="s">
        <v>24</v>
      </c>
      <c r="S5" s="1" t="s">
        <v>25</v>
      </c>
      <c r="T5" s="1" t="s">
        <v>26</v>
      </c>
      <c r="U5" s="1" t="s">
        <v>27</v>
      </c>
      <c r="V5" s="1" t="s">
        <v>28</v>
      </c>
      <c r="W5" s="1" t="s">
        <v>29</v>
      </c>
      <c r="X5" s="1" t="s">
        <v>30</v>
      </c>
      <c r="Y5" s="1" t="s">
        <v>31</v>
      </c>
      <c r="Z5" s="1" t="s">
        <v>32</v>
      </c>
      <c r="AA5" s="1" t="s">
        <v>33</v>
      </c>
      <c r="AB5" s="1" t="s">
        <v>34</v>
      </c>
    </row>
    <row r="6" spans="1:28" x14ac:dyDescent="0.3">
      <c r="B6" s="1" t="s">
        <v>170</v>
      </c>
      <c r="C6" s="3" t="s">
        <v>357</v>
      </c>
      <c r="D6" s="3" t="s">
        <v>358</v>
      </c>
      <c r="E6" s="3" t="s">
        <v>359</v>
      </c>
      <c r="F6" s="3" t="s">
        <v>360</v>
      </c>
      <c r="G6" s="3" t="s">
        <v>361</v>
      </c>
      <c r="H6" s="3" t="s">
        <v>362</v>
      </c>
      <c r="I6" s="3" t="s">
        <v>363</v>
      </c>
      <c r="J6" s="3" t="s">
        <v>364</v>
      </c>
      <c r="K6" s="3" t="s">
        <v>365</v>
      </c>
      <c r="L6" s="3" t="s">
        <v>366</v>
      </c>
      <c r="M6" s="3" t="s">
        <v>367</v>
      </c>
      <c r="N6" s="3" t="s">
        <v>368</v>
      </c>
      <c r="P6" s="3" t="s">
        <v>317</v>
      </c>
      <c r="Q6" s="1" t="s">
        <v>35</v>
      </c>
      <c r="R6" s="1" t="s">
        <v>36</v>
      </c>
      <c r="S6" s="1" t="s">
        <v>37</v>
      </c>
      <c r="T6" s="1" t="s">
        <v>38</v>
      </c>
      <c r="U6" s="1" t="s">
        <v>39</v>
      </c>
      <c r="V6" s="1" t="s">
        <v>40</v>
      </c>
      <c r="W6" s="1" t="s">
        <v>41</v>
      </c>
      <c r="X6" s="1" t="s">
        <v>42</v>
      </c>
      <c r="Y6" s="1" t="s">
        <v>43</v>
      </c>
      <c r="Z6" s="1" t="s">
        <v>44</v>
      </c>
      <c r="AA6" s="1" t="s">
        <v>45</v>
      </c>
      <c r="AB6" s="1" t="s">
        <v>46</v>
      </c>
    </row>
    <row r="7" spans="1:28" x14ac:dyDescent="0.3">
      <c r="B7" s="1" t="s">
        <v>155</v>
      </c>
      <c r="C7" s="3" t="s">
        <v>369</v>
      </c>
      <c r="D7" s="3" t="s">
        <v>370</v>
      </c>
      <c r="E7" s="3" t="s">
        <v>371</v>
      </c>
      <c r="F7" s="3" t="s">
        <v>372</v>
      </c>
      <c r="G7" s="3" t="s">
        <v>373</v>
      </c>
      <c r="H7" s="3" t="s">
        <v>374</v>
      </c>
      <c r="I7" s="3" t="s">
        <v>375</v>
      </c>
      <c r="J7" s="3" t="s">
        <v>376</v>
      </c>
      <c r="K7" s="3" t="s">
        <v>377</v>
      </c>
      <c r="L7" s="3" t="s">
        <v>378</v>
      </c>
      <c r="M7" s="3" t="s">
        <v>379</v>
      </c>
      <c r="N7" s="3" t="s">
        <v>380</v>
      </c>
      <c r="P7" s="3" t="s">
        <v>302</v>
      </c>
      <c r="Q7" s="1" t="s">
        <v>47</v>
      </c>
      <c r="R7" s="1" t="s">
        <v>48</v>
      </c>
      <c r="S7" s="1" t="s">
        <v>49</v>
      </c>
      <c r="T7" s="1" t="s">
        <v>50</v>
      </c>
      <c r="U7" s="1" t="s">
        <v>51</v>
      </c>
      <c r="V7" s="1" t="s">
        <v>52</v>
      </c>
      <c r="W7" s="1" t="s">
        <v>53</v>
      </c>
      <c r="X7" s="1" t="s">
        <v>54</v>
      </c>
      <c r="Y7" s="1" t="s">
        <v>55</v>
      </c>
      <c r="Z7" s="1" t="s">
        <v>56</v>
      </c>
      <c r="AA7" s="1" t="s">
        <v>57</v>
      </c>
      <c r="AB7" s="1" t="s">
        <v>58</v>
      </c>
    </row>
    <row r="8" spans="1:28" x14ac:dyDescent="0.3">
      <c r="B8" s="1" t="s">
        <v>156</v>
      </c>
      <c r="C8" s="3" t="s">
        <v>381</v>
      </c>
      <c r="D8" s="3" t="s">
        <v>382</v>
      </c>
      <c r="E8" s="3" t="s">
        <v>383</v>
      </c>
      <c r="F8" s="3" t="s">
        <v>2203</v>
      </c>
      <c r="G8" s="3" t="s">
        <v>384</v>
      </c>
      <c r="H8" s="3" t="s">
        <v>385</v>
      </c>
      <c r="I8" s="3" t="s">
        <v>386</v>
      </c>
      <c r="J8" s="3" t="s">
        <v>387</v>
      </c>
      <c r="K8" s="3" t="s">
        <v>388</v>
      </c>
      <c r="L8" s="3" t="s">
        <v>389</v>
      </c>
      <c r="M8" s="3" t="s">
        <v>390</v>
      </c>
      <c r="N8" s="3" t="s">
        <v>391</v>
      </c>
      <c r="P8" s="3" t="s">
        <v>303</v>
      </c>
      <c r="Q8" s="1" t="s">
        <v>59</v>
      </c>
      <c r="R8" s="1" t="s">
        <v>60</v>
      </c>
      <c r="S8" s="1" t="s">
        <v>61</v>
      </c>
      <c r="T8" s="1" t="s">
        <v>62</v>
      </c>
      <c r="U8" s="1" t="s">
        <v>63</v>
      </c>
      <c r="V8" s="1" t="s">
        <v>64</v>
      </c>
      <c r="W8" s="1" t="s">
        <v>65</v>
      </c>
      <c r="X8" s="1" t="s">
        <v>66</v>
      </c>
      <c r="Y8" s="1" t="s">
        <v>67</v>
      </c>
      <c r="Z8" s="1" t="s">
        <v>68</v>
      </c>
      <c r="AA8" s="1" t="s">
        <v>69</v>
      </c>
      <c r="AB8" s="1" t="s">
        <v>70</v>
      </c>
    </row>
    <row r="9" spans="1:28" x14ac:dyDescent="0.3">
      <c r="B9" s="1" t="s">
        <v>157</v>
      </c>
      <c r="C9" s="3" t="s">
        <v>392</v>
      </c>
      <c r="D9" s="3" t="s">
        <v>393</v>
      </c>
      <c r="E9" s="3" t="s">
        <v>394</v>
      </c>
      <c r="F9" s="3" t="s">
        <v>395</v>
      </c>
      <c r="G9" s="3" t="s">
        <v>396</v>
      </c>
      <c r="H9" s="3" t="s">
        <v>397</v>
      </c>
      <c r="I9" s="3" t="s">
        <v>398</v>
      </c>
      <c r="J9" s="3" t="s">
        <v>399</v>
      </c>
      <c r="K9" s="3" t="s">
        <v>400</v>
      </c>
      <c r="L9" s="3" t="s">
        <v>401</v>
      </c>
      <c r="M9" s="3" t="s">
        <v>402</v>
      </c>
      <c r="N9" s="3" t="s">
        <v>403</v>
      </c>
      <c r="P9" s="3" t="s">
        <v>304</v>
      </c>
      <c r="Q9" s="1" t="s">
        <v>71</v>
      </c>
      <c r="R9" s="1" t="s">
        <v>72</v>
      </c>
      <c r="S9" s="1" t="s">
        <v>73</v>
      </c>
      <c r="T9" s="1" t="s">
        <v>74</v>
      </c>
      <c r="U9" s="1" t="s">
        <v>75</v>
      </c>
      <c r="V9" s="1" t="s">
        <v>76</v>
      </c>
      <c r="W9" s="1" t="s">
        <v>77</v>
      </c>
      <c r="X9" s="1" t="s">
        <v>78</v>
      </c>
      <c r="Y9" s="1" t="s">
        <v>79</v>
      </c>
      <c r="Z9" s="1" t="s">
        <v>80</v>
      </c>
      <c r="AA9" s="1" t="s">
        <v>81</v>
      </c>
      <c r="AB9" s="1" t="s">
        <v>82</v>
      </c>
    </row>
    <row r="10" spans="1:28" x14ac:dyDescent="0.3">
      <c r="B10" s="1" t="s">
        <v>158</v>
      </c>
      <c r="C10" s="3" t="s">
        <v>404</v>
      </c>
      <c r="D10" s="3" t="s">
        <v>405</v>
      </c>
      <c r="E10" s="3" t="s">
        <v>406</v>
      </c>
      <c r="F10" s="3" t="s">
        <v>407</v>
      </c>
      <c r="G10" s="3" t="s">
        <v>408</v>
      </c>
      <c r="H10" s="3" t="s">
        <v>409</v>
      </c>
      <c r="I10" s="3" t="s">
        <v>410</v>
      </c>
      <c r="J10" s="3" t="s">
        <v>411</v>
      </c>
      <c r="K10" s="3" t="s">
        <v>412</v>
      </c>
      <c r="L10" s="3" t="s">
        <v>413</v>
      </c>
      <c r="M10" s="3" t="s">
        <v>414</v>
      </c>
      <c r="N10" s="3" t="s">
        <v>415</v>
      </c>
      <c r="P10" s="3" t="s">
        <v>305</v>
      </c>
      <c r="Q10" s="1" t="s">
        <v>83</v>
      </c>
      <c r="R10" s="1" t="s">
        <v>84</v>
      </c>
      <c r="S10" s="1" t="s">
        <v>85</v>
      </c>
      <c r="T10" s="1" t="s">
        <v>86</v>
      </c>
      <c r="U10" s="1" t="s">
        <v>87</v>
      </c>
      <c r="V10" s="1" t="s">
        <v>88</v>
      </c>
      <c r="W10" s="1" t="s">
        <v>89</v>
      </c>
      <c r="X10" s="1" t="s">
        <v>90</v>
      </c>
      <c r="Y10" s="1" t="s">
        <v>91</v>
      </c>
      <c r="Z10" s="1" t="s">
        <v>92</v>
      </c>
      <c r="AA10" s="1" t="s">
        <v>93</v>
      </c>
      <c r="AB10" s="1" t="s">
        <v>94</v>
      </c>
    </row>
    <row r="11" spans="1:28" x14ac:dyDescent="0.3">
      <c r="B11" s="1" t="s">
        <v>159</v>
      </c>
      <c r="C11" s="3" t="s">
        <v>416</v>
      </c>
      <c r="D11" s="3" t="s">
        <v>417</v>
      </c>
      <c r="E11" s="3" t="s">
        <v>418</v>
      </c>
      <c r="F11" s="3" t="s">
        <v>419</v>
      </c>
      <c r="G11" s="3" t="s">
        <v>420</v>
      </c>
      <c r="H11" s="3" t="s">
        <v>421</v>
      </c>
      <c r="I11" s="3" t="s">
        <v>422</v>
      </c>
      <c r="J11" s="3" t="s">
        <v>423</v>
      </c>
      <c r="K11" s="3" t="s">
        <v>424</v>
      </c>
      <c r="L11" s="3" t="s">
        <v>425</v>
      </c>
      <c r="M11" s="3" t="s">
        <v>426</v>
      </c>
      <c r="N11" s="3" t="s">
        <v>427</v>
      </c>
      <c r="P11" s="3" t="s">
        <v>306</v>
      </c>
      <c r="Q11" s="1" t="s">
        <v>143</v>
      </c>
      <c r="R11" s="1" t="s">
        <v>144</v>
      </c>
      <c r="S11" s="1" t="s">
        <v>145</v>
      </c>
      <c r="T11" s="1" t="s">
        <v>146</v>
      </c>
      <c r="U11" s="1" t="s">
        <v>147</v>
      </c>
      <c r="V11" s="1" t="s">
        <v>148</v>
      </c>
      <c r="W11" s="1" t="s">
        <v>149</v>
      </c>
      <c r="X11" s="1" t="s">
        <v>150</v>
      </c>
      <c r="Y11" s="1" t="s">
        <v>151</v>
      </c>
      <c r="Z11" s="1" t="s">
        <v>152</v>
      </c>
      <c r="AA11" s="1" t="s">
        <v>153</v>
      </c>
      <c r="AB11" s="1" t="s">
        <v>154</v>
      </c>
    </row>
    <row r="12" spans="1:28" x14ac:dyDescent="0.3">
      <c r="B12" s="1" t="s">
        <v>161</v>
      </c>
      <c r="C12" s="3" t="s">
        <v>428</v>
      </c>
      <c r="D12" s="3" t="s">
        <v>429</v>
      </c>
      <c r="E12" s="3" t="s">
        <v>430</v>
      </c>
      <c r="F12" s="3" t="s">
        <v>431</v>
      </c>
      <c r="G12" s="3" t="s">
        <v>432</v>
      </c>
      <c r="H12" s="3" t="s">
        <v>433</v>
      </c>
      <c r="I12" s="3" t="s">
        <v>434</v>
      </c>
      <c r="J12" s="3" t="s">
        <v>435</v>
      </c>
      <c r="K12" s="3" t="s">
        <v>436</v>
      </c>
      <c r="L12" s="3" t="s">
        <v>437</v>
      </c>
      <c r="M12" s="3" t="s">
        <v>438</v>
      </c>
      <c r="N12" s="3" t="s">
        <v>439</v>
      </c>
      <c r="P12" s="3" t="s">
        <v>308</v>
      </c>
      <c r="Q12" s="1" t="s">
        <v>95</v>
      </c>
      <c r="R12" s="1" t="s">
        <v>96</v>
      </c>
      <c r="S12" s="1" t="s">
        <v>97</v>
      </c>
      <c r="T12" s="1" t="s">
        <v>98</v>
      </c>
      <c r="U12" s="1" t="s">
        <v>99</v>
      </c>
      <c r="V12" s="1" t="s">
        <v>100</v>
      </c>
      <c r="W12" s="1" t="s">
        <v>101</v>
      </c>
      <c r="X12" s="1" t="s">
        <v>102</v>
      </c>
      <c r="Y12" s="1" t="s">
        <v>103</v>
      </c>
      <c r="Z12" s="1" t="s">
        <v>104</v>
      </c>
      <c r="AA12" s="1" t="s">
        <v>105</v>
      </c>
      <c r="AB12" s="1" t="s">
        <v>106</v>
      </c>
    </row>
    <row r="13" spans="1:28" x14ac:dyDescent="0.3">
      <c r="B13" s="1" t="s">
        <v>164</v>
      </c>
      <c r="C13" s="3" t="s">
        <v>440</v>
      </c>
      <c r="D13" s="3" t="s">
        <v>441</v>
      </c>
      <c r="E13" s="3" t="s">
        <v>442</v>
      </c>
      <c r="F13" s="3" t="s">
        <v>443</v>
      </c>
      <c r="G13" s="3" t="s">
        <v>444</v>
      </c>
      <c r="H13" s="3" t="s">
        <v>445</v>
      </c>
      <c r="I13" s="3" t="s">
        <v>446</v>
      </c>
      <c r="J13" s="3" t="s">
        <v>447</v>
      </c>
      <c r="K13" s="3" t="s">
        <v>448</v>
      </c>
      <c r="L13" s="3" t="s">
        <v>449</v>
      </c>
      <c r="M13" s="3" t="s">
        <v>450</v>
      </c>
      <c r="N13" s="3" t="s">
        <v>451</v>
      </c>
      <c r="P13" s="3" t="s">
        <v>311</v>
      </c>
      <c r="Q13" s="1" t="s">
        <v>107</v>
      </c>
      <c r="R13" s="1" t="s">
        <v>108</v>
      </c>
      <c r="S13" s="1" t="s">
        <v>109</v>
      </c>
      <c r="T13" s="1" t="s">
        <v>110</v>
      </c>
      <c r="U13" s="1" t="s">
        <v>111</v>
      </c>
      <c r="V13" s="1" t="s">
        <v>112</v>
      </c>
      <c r="W13" s="1" t="s">
        <v>113</v>
      </c>
      <c r="X13" s="1" t="s">
        <v>114</v>
      </c>
      <c r="Y13" s="1" t="s">
        <v>115</v>
      </c>
      <c r="Z13" s="1" t="s">
        <v>116</v>
      </c>
      <c r="AA13" s="1" t="s">
        <v>117</v>
      </c>
      <c r="AB13" s="1" t="s">
        <v>118</v>
      </c>
    </row>
    <row r="14" spans="1:28" x14ac:dyDescent="0.3">
      <c r="B14" s="1" t="s">
        <v>165</v>
      </c>
      <c r="C14" s="3" t="s">
        <v>452</v>
      </c>
      <c r="D14" s="3" t="s">
        <v>453</v>
      </c>
      <c r="E14" s="3" t="s">
        <v>454</v>
      </c>
      <c r="F14" s="3" t="s">
        <v>455</v>
      </c>
      <c r="G14" s="3" t="s">
        <v>456</v>
      </c>
      <c r="H14" s="3" t="s">
        <v>457</v>
      </c>
      <c r="I14" s="3" t="s">
        <v>458</v>
      </c>
      <c r="J14" s="3" t="s">
        <v>459</v>
      </c>
      <c r="K14" s="3" t="s">
        <v>460</v>
      </c>
      <c r="L14" s="3" t="s">
        <v>461</v>
      </c>
      <c r="M14" s="3" t="s">
        <v>462</v>
      </c>
      <c r="N14" s="3" t="s">
        <v>463</v>
      </c>
      <c r="P14" s="3" t="s">
        <v>312</v>
      </c>
      <c r="Q14" s="1" t="s">
        <v>119</v>
      </c>
      <c r="R14" s="1" t="s">
        <v>120</v>
      </c>
      <c r="S14" s="1" t="s">
        <v>121</v>
      </c>
      <c r="T14" s="1" t="s">
        <v>122</v>
      </c>
      <c r="U14" s="1" t="s">
        <v>123</v>
      </c>
      <c r="V14" s="1" t="s">
        <v>124</v>
      </c>
      <c r="W14" s="1" t="s">
        <v>125</v>
      </c>
      <c r="X14" s="1" t="s">
        <v>126</v>
      </c>
      <c r="Y14" s="1" t="s">
        <v>127</v>
      </c>
      <c r="Z14" s="1" t="s">
        <v>128</v>
      </c>
      <c r="AA14" s="1" t="s">
        <v>129</v>
      </c>
      <c r="AB14" s="1" t="s">
        <v>130</v>
      </c>
    </row>
    <row r="15" spans="1:28" x14ac:dyDescent="0.3">
      <c r="B15" s="1" t="s">
        <v>166</v>
      </c>
      <c r="C15" s="3" t="s">
        <v>464</v>
      </c>
      <c r="D15" s="3" t="s">
        <v>465</v>
      </c>
      <c r="E15" s="3" t="s">
        <v>466</v>
      </c>
      <c r="F15" s="3" t="s">
        <v>467</v>
      </c>
      <c r="G15" s="3" t="s">
        <v>468</v>
      </c>
      <c r="H15" s="3" t="s">
        <v>469</v>
      </c>
      <c r="I15" s="3" t="s">
        <v>470</v>
      </c>
      <c r="J15" s="3" t="s">
        <v>471</v>
      </c>
      <c r="K15" s="3" t="s">
        <v>472</v>
      </c>
      <c r="L15" s="3" t="s">
        <v>473</v>
      </c>
      <c r="M15" s="3" t="s">
        <v>474</v>
      </c>
      <c r="N15" s="3" t="s">
        <v>475</v>
      </c>
      <c r="P15" s="3" t="s">
        <v>313</v>
      </c>
      <c r="Q15" s="1" t="s">
        <v>131</v>
      </c>
      <c r="R15" s="1" t="s">
        <v>132</v>
      </c>
      <c r="S15" s="1" t="s">
        <v>133</v>
      </c>
      <c r="T15" s="1" t="s">
        <v>134</v>
      </c>
      <c r="U15" s="1" t="s">
        <v>135</v>
      </c>
      <c r="V15" s="1" t="s">
        <v>136</v>
      </c>
      <c r="W15" s="1" t="s">
        <v>137</v>
      </c>
      <c r="X15" s="1" t="s">
        <v>138</v>
      </c>
      <c r="Y15" s="1" t="s">
        <v>139</v>
      </c>
      <c r="Z15" s="1" t="s">
        <v>140</v>
      </c>
      <c r="AA15" s="1" t="s">
        <v>141</v>
      </c>
      <c r="AB15" s="1" t="s">
        <v>142</v>
      </c>
    </row>
    <row r="16" spans="1:28" x14ac:dyDescent="0.3">
      <c r="B16" s="1" t="s">
        <v>498</v>
      </c>
      <c r="C16" s="66" t="s">
        <v>172</v>
      </c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</row>
    <row r="17" spans="1:48" x14ac:dyDescent="0.3">
      <c r="A17" s="5" t="s">
        <v>318</v>
      </c>
      <c r="B17" s="4">
        <v>44676</v>
      </c>
      <c r="C17" s="1" t="s">
        <v>155</v>
      </c>
      <c r="D17" s="1" t="s">
        <v>156</v>
      </c>
      <c r="E17" s="1" t="s">
        <v>157</v>
      </c>
      <c r="F17" s="1" t="s">
        <v>158</v>
      </c>
      <c r="G17" s="1" t="s">
        <v>159</v>
      </c>
      <c r="H17" s="1" t="s">
        <v>160</v>
      </c>
      <c r="I17" s="1" t="s">
        <v>161</v>
      </c>
      <c r="J17" s="1" t="s">
        <v>162</v>
      </c>
      <c r="K17" s="1" t="s">
        <v>163</v>
      </c>
      <c r="L17" s="1" t="s">
        <v>164</v>
      </c>
      <c r="M17" s="1" t="s">
        <v>165</v>
      </c>
      <c r="N17" s="1" t="s">
        <v>166</v>
      </c>
      <c r="P17" s="5" t="s">
        <v>322</v>
      </c>
      <c r="Q17" s="1" t="s">
        <v>155</v>
      </c>
      <c r="R17" s="1" t="s">
        <v>156</v>
      </c>
      <c r="S17" s="1" t="s">
        <v>157</v>
      </c>
      <c r="T17" s="1" t="s">
        <v>158</v>
      </c>
      <c r="U17" s="1" t="s">
        <v>159</v>
      </c>
      <c r="V17" s="1" t="s">
        <v>160</v>
      </c>
      <c r="W17" s="1" t="s">
        <v>161</v>
      </c>
      <c r="X17" s="1" t="s">
        <v>162</v>
      </c>
      <c r="Y17" s="1" t="s">
        <v>163</v>
      </c>
      <c r="Z17" s="1" t="s">
        <v>164</v>
      </c>
      <c r="AA17" s="1" t="s">
        <v>165</v>
      </c>
      <c r="AB17" s="1" t="s">
        <v>166</v>
      </c>
      <c r="AD17" s="5" t="s">
        <v>300</v>
      </c>
      <c r="AE17" s="5" t="s">
        <v>155</v>
      </c>
      <c r="AF17" s="5" t="s">
        <v>156</v>
      </c>
      <c r="AG17" s="5" t="s">
        <v>157</v>
      </c>
      <c r="AH17" s="5" t="s">
        <v>158</v>
      </c>
      <c r="AI17" s="5" t="s">
        <v>159</v>
      </c>
      <c r="AJ17" s="5" t="s">
        <v>161</v>
      </c>
      <c r="AK17" s="5" t="s">
        <v>164</v>
      </c>
      <c r="AL17" s="5" t="s">
        <v>165</v>
      </c>
      <c r="AM17" s="5" t="s">
        <v>166</v>
      </c>
      <c r="AO17" s="1" t="s">
        <v>590</v>
      </c>
    </row>
    <row r="18" spans="1:48" x14ac:dyDescent="0.3">
      <c r="A18" s="66" t="s">
        <v>173</v>
      </c>
      <c r="B18" s="1" t="s">
        <v>494</v>
      </c>
      <c r="C18" s="9">
        <f>_xll.BDH(C3,$B$2,$B$17,$B$17)</f>
        <v>100</v>
      </c>
      <c r="D18" s="9">
        <f>_xll.BDH(D3,$B$2,$B$17,$B$17)</f>
        <v>76.465699999999998</v>
      </c>
      <c r="E18" s="9">
        <f>_xll.BDH(E3,$B$2,$B$17,$B$17)</f>
        <v>79.028599999999997</v>
      </c>
      <c r="F18" s="9">
        <f>_xll.BDH(F3,$B$2,$B$17,$B$17)</f>
        <v>81.885599999999997</v>
      </c>
      <c r="G18" s="9">
        <f>_xll.BDH(G3,$B$2,$B$17,$B$17)</f>
        <v>84.875900000000001</v>
      </c>
      <c r="H18" s="9">
        <f>_xll.BDH(H3,$B$2,$B$17,$B$17)</f>
        <v>85.765799999999999</v>
      </c>
      <c r="I18" s="9">
        <f>_xll.BDH(I3,$B$2,$B$17,$B$17)</f>
        <v>86.711799999999997</v>
      </c>
      <c r="J18" s="9">
        <f>_xll.BDH(J3,$B$2,$B$17,$B$17)</f>
        <v>87.567099999999996</v>
      </c>
      <c r="K18" s="9">
        <f>_xll.BDH(K3,$B$2,$B$17,$B$17)</f>
        <v>88.4803</v>
      </c>
      <c r="L18" s="9">
        <f>_xll.BDH(L3,$B$2,$B$17,$B$17)</f>
        <v>89.416300000000007</v>
      </c>
      <c r="M18" s="9">
        <f>_xll.BDH(M3,$B$2,$B$17,$B$17)</f>
        <v>87.588499999999996</v>
      </c>
      <c r="N18" s="9">
        <f>_xll.BDH(N3,$B$2,$B$17,$B$17)</f>
        <v>85.7346</v>
      </c>
      <c r="O18" s="67" t="s">
        <v>173</v>
      </c>
      <c r="P18" s="9" t="s">
        <v>167</v>
      </c>
      <c r="Q18" s="9">
        <f>_xll.BDH(Q3,$B$2,$B$17,$B$17)</f>
        <v>40.46</v>
      </c>
      <c r="R18" s="9">
        <f>_xll.BDH(R3,$B$2,$B$17,$B$17)</f>
        <v>29.9</v>
      </c>
      <c r="S18" s="9">
        <f>_xll.BDH(S3,$B$2,$B$17,$B$17)</f>
        <v>32.24</v>
      </c>
      <c r="T18" s="9">
        <f>_xll.BDH(T3,$B$2,$B$17,$B$17)</f>
        <v>34.630000000000003</v>
      </c>
      <c r="U18" s="9">
        <f>_xll.BDH(U3,$B$2,$B$17,$B$17)</f>
        <v>35.42</v>
      </c>
      <c r="V18" s="9">
        <f>_xll.BDH(V3,$B$2,$B$17,$B$17)</f>
        <v>36.277999999999999</v>
      </c>
      <c r="W18" s="9">
        <f>_xll.BDH(W3,$B$2,$B$17,$B$17)</f>
        <v>35.369999999999997</v>
      </c>
      <c r="X18" s="9">
        <f>_xll.BDH(X3,$B$2,$B$17,$B$17)</f>
        <v>34.606999999999999</v>
      </c>
      <c r="Y18" s="9">
        <f>_xll.BDH(Y3,$B$2,$B$17,$B$17)</f>
        <v>34.204000000000001</v>
      </c>
      <c r="Z18" s="9">
        <f>_xll.BDH(Z3,$B$2,$B$17,$B$17)</f>
        <v>34.25</v>
      </c>
      <c r="AA18" s="9">
        <f>_xll.BDH(AA3,$B$2,$B$17,$B$17)</f>
        <v>36.89</v>
      </c>
      <c r="AB18" s="9">
        <f>_xll.BDH(AB3,$B$2,$B$17,$B$17)</f>
        <v>43.384999999999998</v>
      </c>
      <c r="AD18" s="5" t="s">
        <v>155</v>
      </c>
      <c r="AE18" s="5">
        <f t="shared" ref="AE18:AM26" si="0">Q22/100</f>
        <v>0.2828</v>
      </c>
      <c r="AF18" s="5">
        <f t="shared" si="0"/>
        <v>0.27465000000000001</v>
      </c>
      <c r="AG18" s="5">
        <f t="shared" si="0"/>
        <v>0.26089000000000001</v>
      </c>
      <c r="AH18" s="5">
        <f t="shared" si="0"/>
        <v>0.24739999999999998</v>
      </c>
      <c r="AI18" s="5">
        <f t="shared" si="0"/>
        <v>0.2621</v>
      </c>
      <c r="AJ18" s="5">
        <f t="shared" si="0"/>
        <v>0.24965000000000001</v>
      </c>
      <c r="AK18" s="5">
        <f t="shared" si="0"/>
        <v>0.26212000000000002</v>
      </c>
      <c r="AL18" s="5">
        <f t="shared" si="0"/>
        <v>0.26757999999999998</v>
      </c>
      <c r="AM18" s="5">
        <f t="shared" si="0"/>
        <v>0.27507999999999999</v>
      </c>
      <c r="AO18" s="5" t="str">
        <f>AE18&amp;", "&amp;AF18&amp;", "&amp;AG18&amp;", "&amp;AH18&amp;", "&amp;AI18&amp;", "&amp;AJ18&amp;", "&amp;AK18&amp;", "&amp;AL18&amp;", "&amp;AM18&amp;","</f>
        <v>0.2828, 0.27465, 0.26089, 0.2474, 0.2621, 0.24965, 0.26212, 0.26758, 0.27508,</v>
      </c>
      <c r="AP18" s="5"/>
      <c r="AQ18" s="5"/>
      <c r="AR18" s="5"/>
      <c r="AS18" s="5"/>
      <c r="AT18" s="5"/>
      <c r="AU18" s="5"/>
      <c r="AV18" s="5"/>
    </row>
    <row r="19" spans="1:48" x14ac:dyDescent="0.3">
      <c r="A19" s="66"/>
      <c r="B19" s="1" t="s">
        <v>168</v>
      </c>
      <c r="C19" s="9">
        <f>_xll.BDH(C4,$B$2,$B$17,$B$17)</f>
        <v>98.824799999999996</v>
      </c>
      <c r="D19" s="9">
        <f>_xll.BDH(D4,$B$2,$B$17,$B$17)</f>
        <v>83.718400000000003</v>
      </c>
      <c r="E19" s="9">
        <f>_xll.BDH(E4,$B$2,$B$17,$B$17)</f>
        <v>78.378900000000002</v>
      </c>
      <c r="F19" s="9">
        <f>_xll.BDH(F4,$B$2,$B$17,$B$17)</f>
        <v>80.985100000000003</v>
      </c>
      <c r="G19" s="9">
        <f>_xll.BDH(G4,$B$2,$B$17,$B$17)</f>
        <v>83.688999999999993</v>
      </c>
      <c r="H19" s="9">
        <f>_xll.BDH(H4,$B$2,$B$17,$B$17)</f>
        <v>84.204700000000003</v>
      </c>
      <c r="I19" s="9">
        <f>_xll.BDH(I4,$B$2,$B$17,$B$17)</f>
        <v>84.771199999999993</v>
      </c>
      <c r="J19" s="9">
        <f>_xll.BDH(J4,$B$2,$B$17,$B$17)</f>
        <v>85.237399999999994</v>
      </c>
      <c r="K19" s="9">
        <f>_xll.BDH(K4,$B$2,$B$17,$B$17)</f>
        <v>85.7727</v>
      </c>
      <c r="L19" s="9">
        <f>_xll.BDH(L4,$B$2,$B$17,$B$17)</f>
        <v>86.302199999999999</v>
      </c>
      <c r="M19" s="9">
        <f>_xll.BDH(M4,$B$2,$B$17,$B$17)</f>
        <v>86.450100000000006</v>
      </c>
      <c r="N19" s="9">
        <f>_xll.BDH(N4,$B$2,$B$17,$B$17)</f>
        <v>86.763599999999997</v>
      </c>
      <c r="O19" s="67"/>
      <c r="P19" s="9" t="s">
        <v>168</v>
      </c>
      <c r="Q19" s="9">
        <f>_xll.BDH(Q4,$B$2,$B$17,$B$17)</f>
        <v>36.457000000000001</v>
      </c>
      <c r="R19" s="9">
        <f>_xll.BDH(R4,$B$2,$B$17,$B$17)</f>
        <v>32.536000000000001</v>
      </c>
      <c r="S19" s="9">
        <f>_xll.BDH(S4,$B$2,$B$17,$B$17)</f>
        <v>32.232999999999997</v>
      </c>
      <c r="T19" s="9">
        <f>_xll.BDH(T4,$B$2,$B$17,$B$17)</f>
        <v>31.71</v>
      </c>
      <c r="U19" s="9">
        <f>_xll.BDH(U4,$B$2,$B$17,$B$17)</f>
        <v>32.018999999999998</v>
      </c>
      <c r="V19" s="9">
        <f>_xll.BDH(V4,$B$2,$B$17,$B$17)</f>
        <v>32.686999999999998</v>
      </c>
      <c r="W19" s="9">
        <f>_xll.BDH(W4,$B$2,$B$17,$B$17)</f>
        <v>32.963000000000001</v>
      </c>
      <c r="X19" s="9">
        <f>_xll.BDH(X4,$B$2,$B$17,$B$17)</f>
        <v>33.215000000000003</v>
      </c>
      <c r="Y19" s="9">
        <f>_xll.BDH(Y4,$B$2,$B$17,$B$17)</f>
        <v>33.511000000000003</v>
      </c>
      <c r="Z19" s="9">
        <f>_xll.BDH(Z4,$B$2,$B$17,$B$17)</f>
        <v>33.991</v>
      </c>
      <c r="AA19" s="9">
        <f>_xll.BDH(AA4,$B$2,$B$17,$B$17)</f>
        <v>36.755000000000003</v>
      </c>
      <c r="AB19" s="9">
        <f>_xll.BDH(AB4,$B$2,$B$17,$B$17)</f>
        <v>43.247</v>
      </c>
      <c r="AD19" s="5" t="s">
        <v>156</v>
      </c>
      <c r="AE19" s="5">
        <f t="shared" si="0"/>
        <v>0.25115999999999999</v>
      </c>
      <c r="AF19" s="5">
        <f t="shared" si="0"/>
        <v>0.24693000000000001</v>
      </c>
      <c r="AG19" s="5">
        <f t="shared" si="0"/>
        <v>0.25286999999999998</v>
      </c>
      <c r="AH19" s="5">
        <f t="shared" si="0"/>
        <v>0.24640000000000001</v>
      </c>
      <c r="AI19" s="5">
        <f t="shared" si="0"/>
        <v>0.24841000000000002</v>
      </c>
      <c r="AJ19" s="5">
        <f t="shared" si="0"/>
        <v>0.25063999999999997</v>
      </c>
      <c r="AK19" s="5">
        <f t="shared" si="0"/>
        <v>0.25357000000000002</v>
      </c>
      <c r="AL19" s="5">
        <f t="shared" si="0"/>
        <v>0.25653999999999999</v>
      </c>
      <c r="AM19" s="5">
        <f t="shared" si="0"/>
        <v>0.25958999999999999</v>
      </c>
      <c r="AO19" s="5" t="str">
        <f t="shared" ref="AO19:AO25" si="1">AE19&amp;", "&amp;AF19&amp;", "&amp;AG19&amp;", "&amp;AH19&amp;", "&amp;AI19&amp;", "&amp;AJ19&amp;", "&amp;AK19&amp;", "&amp;AL19&amp;", "&amp;AM19&amp;","</f>
        <v>0.25116, 0.24693, 0.25287, 0.2464, 0.24841, 0.25064, 0.25357, 0.25654, 0.25959,</v>
      </c>
      <c r="AP19" s="5"/>
      <c r="AQ19" s="5"/>
      <c r="AR19" s="5"/>
      <c r="AS19" s="5"/>
      <c r="AT19" s="5"/>
      <c r="AU19" s="5"/>
      <c r="AV19" s="5"/>
    </row>
    <row r="20" spans="1:48" x14ac:dyDescent="0.3">
      <c r="A20" s="66"/>
      <c r="B20" s="1" t="s">
        <v>169</v>
      </c>
      <c r="C20" s="9">
        <f>_xll.BDH(C5,$B$2,$B$17,$B$17)</f>
        <v>80.298599999999993</v>
      </c>
      <c r="D20" s="9">
        <f>_xll.BDH(D5,$B$2,$B$17,$B$17)</f>
        <v>90.921400000000006</v>
      </c>
      <c r="E20" s="9">
        <f>_xll.BDH(E5,$B$2,$B$17,$B$17)</f>
        <v>91.780600000000007</v>
      </c>
      <c r="F20" s="9">
        <f>_xll.BDH(F5,$B$2,$B$17,$B$17)</f>
        <v>89.045500000000004</v>
      </c>
      <c r="G20" s="9">
        <f>_xll.BDH(G5,$B$2,$B$17,$B$17)</f>
        <v>89.338399999999993</v>
      </c>
      <c r="H20" s="9">
        <f>_xll.BDH(H5,$B$2,$B$17,$B$17)</f>
        <v>89.816199999999995</v>
      </c>
      <c r="I20" s="9">
        <f>_xll.BDH(I5,$B$2,$B$17,$B$17)</f>
        <v>90.319800000000001</v>
      </c>
      <c r="J20" s="9">
        <f>_xll.BDH(J5,$B$2,$B$17,$B$17)</f>
        <v>90.816599999999994</v>
      </c>
      <c r="K20" s="9">
        <f>_xll.BDH(K5,$B$2,$B$17,$B$17)</f>
        <v>91.401300000000006</v>
      </c>
      <c r="L20" s="9">
        <f>_xll.BDH(L5,$B$2,$B$17,$B$17)</f>
        <v>91.919499999999999</v>
      </c>
      <c r="M20" s="9">
        <f>_xll.BDH(M5,$B$2,$B$17,$B$17)</f>
        <v>95.16</v>
      </c>
      <c r="N20" s="9">
        <f>_xll.BDH(N5,$B$2,$B$17,$B$17)</f>
        <v>83.659300000000002</v>
      </c>
      <c r="O20" s="67"/>
      <c r="P20" s="9" t="s">
        <v>169</v>
      </c>
      <c r="Q20" s="9">
        <f>_xll.BDH(Q5,$B$2,$B$17,$B$17)</f>
        <v>32.659999999999997</v>
      </c>
      <c r="R20" s="9">
        <f>_xll.BDH(R5,$B$2,$B$17,$B$17)</f>
        <v>29.465</v>
      </c>
      <c r="S20" s="9">
        <f>_xll.BDH(S5,$B$2,$B$17,$B$17)</f>
        <v>29.645</v>
      </c>
      <c r="T20" s="9">
        <f>_xll.BDH(T5,$B$2,$B$17,$B$17)</f>
        <v>28.96</v>
      </c>
      <c r="U20" s="9">
        <f>_xll.BDH(U5,$B$2,$B$17,$B$17)</f>
        <v>29.349</v>
      </c>
      <c r="V20" s="9">
        <f>_xll.BDH(V5,$B$2,$B$17,$B$17)</f>
        <v>30.038</v>
      </c>
      <c r="W20" s="9">
        <f>_xll.BDH(W5,$B$2,$B$17,$B$17)</f>
        <v>30.189</v>
      </c>
      <c r="X20" s="9">
        <f>_xll.BDH(X5,$B$2,$B$17,$B$17)</f>
        <v>31.09</v>
      </c>
      <c r="Y20" s="9">
        <f>_xll.BDH(Y5,$B$2,$B$17,$B$17)</f>
        <v>31.082999999999998</v>
      </c>
      <c r="Z20" s="9">
        <f>_xll.BDH(Z5,$B$2,$B$17,$B$17)</f>
        <v>31.364999999999998</v>
      </c>
      <c r="AA20" s="9">
        <f>_xll.BDH(AA5,$B$2,$B$17,$B$17)</f>
        <v>34.231999999999999</v>
      </c>
      <c r="AB20" s="9">
        <f>_xll.BDH(AB5,$B$2,$B$17,$B$17)</f>
        <v>41.055</v>
      </c>
      <c r="AD20" s="5" t="s">
        <v>157</v>
      </c>
      <c r="AE20" s="5">
        <f t="shared" si="0"/>
        <v>0.24167000000000002</v>
      </c>
      <c r="AF20" s="5">
        <f t="shared" si="0"/>
        <v>0.24689</v>
      </c>
      <c r="AG20" s="5">
        <f t="shared" si="0"/>
        <v>0.24963000000000002</v>
      </c>
      <c r="AH20" s="5">
        <f t="shared" si="0"/>
        <v>0.24379999999999999</v>
      </c>
      <c r="AI20" s="5">
        <f t="shared" si="0"/>
        <v>0.24156</v>
      </c>
      <c r="AJ20" s="5">
        <f t="shared" si="0"/>
        <v>0.24521000000000001</v>
      </c>
      <c r="AK20" s="5">
        <f t="shared" si="0"/>
        <v>0.24687999999999999</v>
      </c>
      <c r="AL20" s="5">
        <f t="shared" si="0"/>
        <v>0.24890000000000001</v>
      </c>
      <c r="AM20" s="5">
        <f t="shared" si="0"/>
        <v>0.25123999999999996</v>
      </c>
      <c r="AO20" s="5" t="str">
        <f t="shared" si="1"/>
        <v>0.24167, 0.24689, 0.24963, 0.2438, 0.24156, 0.24521, 0.24688, 0.2489, 0.25124,</v>
      </c>
      <c r="AP20" s="5"/>
      <c r="AQ20" s="5"/>
      <c r="AR20" s="5"/>
      <c r="AS20" s="5"/>
      <c r="AT20" s="5"/>
      <c r="AU20" s="5"/>
      <c r="AV20" s="5"/>
    </row>
    <row r="21" spans="1:48" x14ac:dyDescent="0.3">
      <c r="A21" s="66"/>
      <c r="B21" s="1" t="s">
        <v>170</v>
      </c>
      <c r="C21" s="9">
        <f>_xll.BDH(C6,$B$2,$B$17,$B$17)</f>
        <v>84.539100000000005</v>
      </c>
      <c r="D21" s="9">
        <f>_xll.BDH(D6,$B$2,$B$17,$B$17)</f>
        <v>79.963999999999999</v>
      </c>
      <c r="E21" s="9">
        <f>_xll.BDH(E6,$B$2,$B$17,$B$17)</f>
        <v>77.650199999999998</v>
      </c>
      <c r="F21" s="9">
        <f>_xll.BDH(F6,$B$2,$B$17,$B$17)</f>
        <v>75.456699999999998</v>
      </c>
      <c r="G21" s="9">
        <f>_xll.BDH(G6,$B$2,$B$17,$B$17)</f>
        <v>73.244299999999996</v>
      </c>
      <c r="H21" s="9">
        <f>_xll.BDH(H6,$B$2,$B$17,$B$17)</f>
        <v>74.000600000000006</v>
      </c>
      <c r="I21" s="9">
        <f>_xll.BDH(I6,$B$2,$B$17,$B$17)</f>
        <v>74.727500000000006</v>
      </c>
      <c r="J21" s="9">
        <f>_xll.BDH(J6,$B$2,$B$17,$B$17)</f>
        <v>75.376499999999993</v>
      </c>
      <c r="K21" s="9">
        <f>_xll.BDH(K6,$B$2,$B$17,$B$17)</f>
        <v>76.095299999999995</v>
      </c>
      <c r="L21" s="9">
        <f>_xll.BDH(L6,$B$2,$B$17,$B$17)</f>
        <v>76.701499999999996</v>
      </c>
      <c r="M21" s="9">
        <f>_xll.BDH(M6,$B$2,$B$17,$B$17)</f>
        <v>78.224299999999999</v>
      </c>
      <c r="N21" s="9">
        <f>_xll.BDH(N6,$B$2,$B$17,$B$17)</f>
        <v>80.515799999999999</v>
      </c>
      <c r="O21" s="67"/>
      <c r="P21" s="9" t="s">
        <v>170</v>
      </c>
      <c r="Q21" s="9">
        <f>_xll.BDH(Q6,$B$2,$B$17,$B$17)</f>
        <v>29.614999999999998</v>
      </c>
      <c r="R21" s="9">
        <f>_xll.BDH(R6,$B$2,$B$17,$B$17)</f>
        <v>27.875</v>
      </c>
      <c r="S21" s="9">
        <f>_xll.BDH(S6,$B$2,$B$17,$B$17)</f>
        <v>27.64</v>
      </c>
      <c r="T21" s="9">
        <f>_xll.BDH(T6,$B$2,$B$17,$B$17)</f>
        <v>26.713000000000001</v>
      </c>
      <c r="U21" s="9">
        <f>_xll.BDH(U6,$B$2,$B$17,$B$17)</f>
        <v>27.044</v>
      </c>
      <c r="V21" s="9">
        <f>_xll.BDH(V6,$B$2,$B$17,$B$17)</f>
        <v>27.266999999999999</v>
      </c>
      <c r="W21" s="9">
        <f>_xll.BDH(W6,$B$2,$B$17,$B$17)</f>
        <v>28.259</v>
      </c>
      <c r="X21" s="9">
        <f>_xll.BDH(X6,$B$2,$B$17,$B$17)</f>
        <v>28.376000000000001</v>
      </c>
      <c r="Y21" s="9">
        <f>_xll.BDH(Y6,$B$2,$B$17,$B$17)</f>
        <v>28.887</v>
      </c>
      <c r="Z21" s="9">
        <f>_xll.BDH(Z6,$B$2,$B$17,$B$17)</f>
        <v>29.576000000000001</v>
      </c>
      <c r="AA21" s="9">
        <f>_xll.BDH(AA6,$B$2,$B$17,$B$17)</f>
        <v>32.305</v>
      </c>
      <c r="AB21" s="9">
        <f>_xll.BDH(AB6,$B$2,$B$17,$B$17)</f>
        <v>38.908000000000001</v>
      </c>
      <c r="AD21" s="5" t="s">
        <v>158</v>
      </c>
      <c r="AE21" s="5">
        <f t="shared" si="0"/>
        <v>0.23300000000000001</v>
      </c>
      <c r="AF21" s="5">
        <f t="shared" si="0"/>
        <v>0.2341</v>
      </c>
      <c r="AG21" s="5">
        <f t="shared" si="0"/>
        <v>0.2394</v>
      </c>
      <c r="AH21" s="5">
        <f t="shared" si="0"/>
        <v>0.23329999999999998</v>
      </c>
      <c r="AI21" s="5">
        <f t="shared" si="0"/>
        <v>0.23269999999999999</v>
      </c>
      <c r="AJ21" s="5">
        <f t="shared" si="0"/>
        <v>0.23257000000000003</v>
      </c>
      <c r="AK21" s="5">
        <f t="shared" si="0"/>
        <v>0.23309999999999997</v>
      </c>
      <c r="AL21" s="5">
        <f t="shared" si="0"/>
        <v>0.23431999999999997</v>
      </c>
      <c r="AM21" s="5">
        <f t="shared" si="0"/>
        <v>0.23624999999999999</v>
      </c>
      <c r="AO21" s="5" t="str">
        <f t="shared" si="1"/>
        <v>0.233, 0.2341, 0.2394, 0.2333, 0.2327, 0.23257, 0.2331, 0.23432, 0.23625,</v>
      </c>
      <c r="AP21" s="5"/>
      <c r="AQ21" s="5"/>
      <c r="AR21" s="5"/>
      <c r="AS21" s="5"/>
      <c r="AT21" s="5"/>
      <c r="AU21" s="5"/>
      <c r="AV21" s="5"/>
    </row>
    <row r="22" spans="1:48" x14ac:dyDescent="0.3">
      <c r="A22" s="66"/>
      <c r="B22" s="1" t="s">
        <v>155</v>
      </c>
      <c r="C22" s="34">
        <f>_xll.BDH(C7,$B$2,$B$17,$B$17)</f>
        <v>90.2821</v>
      </c>
      <c r="D22" s="34">
        <f>_xll.BDH(D7,$B$2,$B$17,$B$17)</f>
        <v>87.588800000000006</v>
      </c>
      <c r="E22" s="34">
        <f>_xll.BDH(E7,$B$2,$B$17,$B$17)</f>
        <v>81.9983</v>
      </c>
      <c r="F22" s="34">
        <f>_xll.BDH(F7,$B$2,$B$17,$B$17)</f>
        <v>76.699200000000005</v>
      </c>
      <c r="G22" s="34">
        <f>_xll.BDH(G7,$B$2,$B$17,$B$17)</f>
        <v>80.0565</v>
      </c>
      <c r="H22" s="9">
        <f>_xll.BDH(H7,$B$2,$B$17,$B$17)</f>
        <v>79.2834</v>
      </c>
      <c r="I22" s="34">
        <f>_xll.BDH(I7,$B$2,$B$17,$B$17)</f>
        <v>78.478399999999993</v>
      </c>
      <c r="J22" s="9">
        <f>_xll.BDH(J7,$B$2,$B$17,$B$17)</f>
        <v>79.810199999999995</v>
      </c>
      <c r="K22" s="9">
        <f>_xll.BDH(K7,$B$2,$B$17,$B$17)</f>
        <v>81.209999999999994</v>
      </c>
      <c r="L22" s="34">
        <f>_xll.BDH(L7,$B$2,$B$17,$B$17)</f>
        <v>82.413799999999995</v>
      </c>
      <c r="M22" s="34">
        <f>_xll.BDH(M7,$B$2,$B$17,$B$17)</f>
        <v>83.936999999999998</v>
      </c>
      <c r="N22" s="34">
        <f>_xll.BDH(N7,$B$2,$B$17,$B$17)</f>
        <v>79.001400000000004</v>
      </c>
      <c r="O22" s="67"/>
      <c r="P22" s="9" t="s">
        <v>155</v>
      </c>
      <c r="Q22" s="34">
        <f>_xll.BDH(Q7,$B$2,$B$17,$B$17)</f>
        <v>28.28</v>
      </c>
      <c r="R22" s="34">
        <f>_xll.BDH(R7,$B$2,$B$17,$B$17)</f>
        <v>27.465</v>
      </c>
      <c r="S22" s="34">
        <f>_xll.BDH(S7,$B$2,$B$17,$B$17)</f>
        <v>26.088999999999999</v>
      </c>
      <c r="T22" s="34">
        <f>_xll.BDH(T7,$B$2,$B$17,$B$17)</f>
        <v>24.74</v>
      </c>
      <c r="U22" s="34">
        <f>_xll.BDH(U7,$B$2,$B$17,$B$17)</f>
        <v>26.21</v>
      </c>
      <c r="V22" s="9">
        <f>_xll.BDH(V7,$B$2,$B$17,$B$17)</f>
        <v>24.965</v>
      </c>
      <c r="W22" s="34">
        <f>_xll.BDH(W7,$B$2,$B$17,$B$17)</f>
        <v>26.212</v>
      </c>
      <c r="X22" s="9">
        <f>_xll.BDH(X7,$B$2,$B$17,$B$17)</f>
        <v>26.757999999999999</v>
      </c>
      <c r="Y22" s="9">
        <f>_xll.BDH(Y7,$B$2,$B$17,$B$17)</f>
        <v>27.507999999999999</v>
      </c>
      <c r="Z22" s="34">
        <f>_xll.BDH(Z7,$B$2,$B$17,$B$17)</f>
        <v>28.184000000000001</v>
      </c>
      <c r="AA22" s="34">
        <f>_xll.BDH(AA7,$B$2,$B$17,$B$17)</f>
        <v>30.617999999999999</v>
      </c>
      <c r="AB22" s="34">
        <f>_xll.BDH(AB7,$B$2,$B$17,$B$17)</f>
        <v>36.445</v>
      </c>
      <c r="AD22" s="5" t="s">
        <v>159</v>
      </c>
      <c r="AE22" s="5">
        <f t="shared" si="0"/>
        <v>0.22913</v>
      </c>
      <c r="AF22" s="5">
        <f t="shared" si="0"/>
        <v>0.23466000000000001</v>
      </c>
      <c r="AG22" s="5">
        <f t="shared" si="0"/>
        <v>0.23987999999999998</v>
      </c>
      <c r="AH22" s="5">
        <f t="shared" si="0"/>
        <v>0.2278</v>
      </c>
      <c r="AI22" s="5">
        <f t="shared" si="0"/>
        <v>0.22814000000000001</v>
      </c>
      <c r="AJ22" s="5">
        <f t="shared" si="0"/>
        <v>0.22832999999999998</v>
      </c>
      <c r="AK22" s="5">
        <f t="shared" si="0"/>
        <v>0.22972999999999999</v>
      </c>
      <c r="AL22" s="5">
        <f t="shared" si="0"/>
        <v>0.23175000000000001</v>
      </c>
      <c r="AM22" s="5">
        <f t="shared" si="0"/>
        <v>0.23428000000000002</v>
      </c>
      <c r="AO22" s="5" t="str">
        <f t="shared" si="1"/>
        <v>0.22913, 0.23466, 0.23988, 0.2278, 0.22814, 0.22833, 0.22973, 0.23175, 0.23428,</v>
      </c>
      <c r="AP22" s="5"/>
      <c r="AQ22" s="5"/>
      <c r="AR22" s="5"/>
      <c r="AS22" s="5"/>
      <c r="AT22" s="5"/>
      <c r="AU22" s="5"/>
      <c r="AV22" s="5"/>
    </row>
    <row r="23" spans="1:48" x14ac:dyDescent="0.3">
      <c r="A23" s="66"/>
      <c r="B23" s="1" t="s">
        <v>156</v>
      </c>
      <c r="C23" s="34">
        <f>_xll.BDH(C8,$B$2,$B$17,$B$17)</f>
        <v>79.827200000000005</v>
      </c>
      <c r="D23" s="34">
        <f>_xll.BDH(D8,$B$2,$B$17,$B$17)</f>
        <v>76.777299999999997</v>
      </c>
      <c r="E23" s="34">
        <f>_xll.BDH(E8,$B$2,$B$17,$B$17)</f>
        <v>77.319800000000001</v>
      </c>
      <c r="F23" s="34">
        <f>_xll.BDH(F8,$B$2,$B$17,$B$17)</f>
        <v>74.159400000000005</v>
      </c>
      <c r="G23" s="34">
        <f>_xll.BDH(G8,$B$2,$B$17,$B$17)</f>
        <v>75.508899999999997</v>
      </c>
      <c r="H23" s="9">
        <f>_xll.BDH(H8,$B$2,$B$17,$B$17)</f>
        <v>74.796400000000006</v>
      </c>
      <c r="I23" s="34">
        <f>_xll.BDH(I8,$B$2,$B$17,$B$17)</f>
        <v>74.227800000000002</v>
      </c>
      <c r="J23" s="9">
        <f>_xll.BDH(J8,$B$2,$B$17,$B$17)</f>
        <v>74.653099999999995</v>
      </c>
      <c r="K23" s="9">
        <f>_xll.BDH(K8,$B$2,$B$17,$B$17)</f>
        <v>74.884500000000003</v>
      </c>
      <c r="L23" s="34">
        <f>_xll.BDH(L8,$B$2,$B$17,$B$17)</f>
        <v>75.186300000000003</v>
      </c>
      <c r="M23" s="34">
        <f>_xll.BDH(M8,$B$2,$B$17,$B$17)</f>
        <v>75.332499999999996</v>
      </c>
      <c r="N23" s="34">
        <f>_xll.BDH(N8,$B$2,$B$17,$B$17)</f>
        <v>69.605400000000003</v>
      </c>
      <c r="O23" s="67"/>
      <c r="P23" s="9" t="s">
        <v>156</v>
      </c>
      <c r="Q23" s="34">
        <f>_xll.BDH(Q8,$B$2,$B$17,$B$17)</f>
        <v>25.116</v>
      </c>
      <c r="R23" s="34">
        <f>_xll.BDH(R8,$B$2,$B$17,$B$17)</f>
        <v>24.693000000000001</v>
      </c>
      <c r="S23" s="34">
        <f>_xll.BDH(S8,$B$2,$B$17,$B$17)</f>
        <v>25.286999999999999</v>
      </c>
      <c r="T23" s="34">
        <f>_xll.BDH(T8,$B$2,$B$17,$B$17)</f>
        <v>24.64</v>
      </c>
      <c r="U23" s="34">
        <f>_xll.BDH(U8,$B$2,$B$17,$B$17)</f>
        <v>24.841000000000001</v>
      </c>
      <c r="V23" s="9">
        <f>_xll.BDH(V8,$B$2,$B$17,$B$17)</f>
        <v>25.064</v>
      </c>
      <c r="W23" s="34">
        <f>_xll.BDH(W8,$B$2,$B$17,$B$17)</f>
        <v>25.356999999999999</v>
      </c>
      <c r="X23" s="9">
        <f>_xll.BDH(X8,$B$2,$B$17,$B$17)</f>
        <v>25.654</v>
      </c>
      <c r="Y23" s="9">
        <f>_xll.BDH(Y8,$B$2,$B$17,$B$17)</f>
        <v>25.959</v>
      </c>
      <c r="Z23" s="34">
        <f>_xll.BDH(Z8,$B$2,$B$17,$B$17)</f>
        <v>26.285</v>
      </c>
      <c r="AA23" s="34">
        <f>_xll.BDH(AA8,$B$2,$B$17,$B$17)</f>
        <v>28.678999999999998</v>
      </c>
      <c r="AB23" s="34">
        <f>_xll.BDH(AB8,$B$2,$B$17,$B$17)</f>
        <v>32.793999999999997</v>
      </c>
      <c r="AD23" s="5" t="s">
        <v>161</v>
      </c>
      <c r="AE23" s="5">
        <f t="shared" si="0"/>
        <v>0.2114</v>
      </c>
      <c r="AF23" s="5">
        <f t="shared" si="0"/>
        <v>0.22190000000000001</v>
      </c>
      <c r="AG23" s="5">
        <f t="shared" si="0"/>
        <v>0.2336</v>
      </c>
      <c r="AH23" s="5">
        <f t="shared" si="0"/>
        <v>0.21859999999999999</v>
      </c>
      <c r="AI23" s="5">
        <f t="shared" si="0"/>
        <v>0.2278</v>
      </c>
      <c r="AJ23" s="5">
        <f t="shared" si="0"/>
        <v>0.23415</v>
      </c>
      <c r="AK23" s="5">
        <f t="shared" si="0"/>
        <v>0.2316</v>
      </c>
      <c r="AL23" s="5">
        <f t="shared" si="0"/>
        <v>0.23952000000000001</v>
      </c>
      <c r="AM23" s="5">
        <f t="shared" si="0"/>
        <v>0.24135000000000001</v>
      </c>
      <c r="AO23" s="5" t="str">
        <f t="shared" si="1"/>
        <v>0.2114, 0.2219, 0.2336, 0.2186, 0.2278, 0.23415, 0.2316, 0.23952, 0.24135,</v>
      </c>
      <c r="AP23" s="5"/>
      <c r="AQ23" s="5"/>
      <c r="AR23" s="5"/>
      <c r="AS23" s="5"/>
      <c r="AT23" s="5"/>
      <c r="AU23" s="5"/>
      <c r="AV23" s="5"/>
    </row>
    <row r="24" spans="1:48" x14ac:dyDescent="0.3">
      <c r="A24" s="66"/>
      <c r="B24" s="1" t="s">
        <v>157</v>
      </c>
      <c r="C24" s="34">
        <f>_xll.BDH(C9,$B$2,$B$17,$B$17)</f>
        <v>73.229600000000005</v>
      </c>
      <c r="D24" s="34">
        <f>_xll.BDH(D9,$B$2,$B$17,$B$17)</f>
        <v>73.285300000000007</v>
      </c>
      <c r="E24" s="34">
        <f>_xll.BDH(E9,$B$2,$B$17,$B$17)</f>
        <v>73.438400000000001</v>
      </c>
      <c r="F24" s="34">
        <f>_xll.BDH(F9,$B$2,$B$17,$B$17)</f>
        <v>71.654200000000003</v>
      </c>
      <c r="G24" s="34">
        <f>_xll.BDH(G9,$B$2,$B$17,$B$17)</f>
        <v>69.636600000000001</v>
      </c>
      <c r="H24" s="9">
        <f>_xll.BDH(H9,$B$2,$B$17,$B$17)</f>
        <v>70.099999999999994</v>
      </c>
      <c r="I24" s="34">
        <f>_xll.BDH(I9,$B$2,$B$17,$B$17)</f>
        <v>70.641300000000001</v>
      </c>
      <c r="J24" s="9">
        <f>_xll.BDH(J9,$B$2,$B$17,$B$17)</f>
        <v>70.555700000000002</v>
      </c>
      <c r="K24" s="9">
        <f>_xll.BDH(K9,$B$2,$B$17,$B$17)</f>
        <v>70.546199999999999</v>
      </c>
      <c r="L24" s="34">
        <f>_xll.BDH(L9,$B$2,$B$17,$B$17)</f>
        <v>70.298900000000003</v>
      </c>
      <c r="M24" s="34">
        <f>_xll.BDH(M9,$B$2,$B$17,$B$17)</f>
        <v>70.866299999999995</v>
      </c>
      <c r="N24" s="34">
        <f>_xll.BDH(N9,$B$2,$B$17,$B$17)</f>
        <v>64.174199999999999</v>
      </c>
      <c r="O24" s="67"/>
      <c r="P24" s="9" t="s">
        <v>157</v>
      </c>
      <c r="Q24" s="34">
        <f>_xll.BDH(Q9,$B$2,$B$17,$B$17)</f>
        <v>24.167000000000002</v>
      </c>
      <c r="R24" s="34">
        <f>_xll.BDH(R9,$B$2,$B$17,$B$17)</f>
        <v>24.689</v>
      </c>
      <c r="S24" s="34">
        <f>_xll.BDH(S9,$B$2,$B$17,$B$17)</f>
        <v>24.963000000000001</v>
      </c>
      <c r="T24" s="34">
        <f>_xll.BDH(T9,$B$2,$B$17,$B$17)</f>
        <v>24.38</v>
      </c>
      <c r="U24" s="34">
        <f>_xll.BDH(U9,$B$2,$B$17,$B$17)</f>
        <v>24.155999999999999</v>
      </c>
      <c r="V24" s="9">
        <f>_xll.BDH(V9,$B$2,$B$17,$B$17)</f>
        <v>24.521000000000001</v>
      </c>
      <c r="W24" s="34">
        <f>_xll.BDH(W9,$B$2,$B$17,$B$17)</f>
        <v>24.687999999999999</v>
      </c>
      <c r="X24" s="9">
        <f>_xll.BDH(X9,$B$2,$B$17,$B$17)</f>
        <v>24.89</v>
      </c>
      <c r="Y24" s="9">
        <f>_xll.BDH(Y9,$B$2,$B$17,$B$17)</f>
        <v>25.123999999999999</v>
      </c>
      <c r="Z24" s="34">
        <f>_xll.BDH(Z9,$B$2,$B$17,$B$17)</f>
        <v>25.3</v>
      </c>
      <c r="AA24" s="34">
        <f>_xll.BDH(AA9,$B$2,$B$17,$B$17)</f>
        <v>28.242999999999999</v>
      </c>
      <c r="AB24" s="34">
        <f>_xll.BDH(AB9,$B$2,$B$17,$B$17)</f>
        <v>31.289000000000001</v>
      </c>
      <c r="AD24" s="5" t="s">
        <v>164</v>
      </c>
      <c r="AE24" s="5">
        <f t="shared" si="0"/>
        <v>0.1978</v>
      </c>
      <c r="AF24" s="5">
        <f t="shared" si="0"/>
        <v>0.21329999999999999</v>
      </c>
      <c r="AG24" s="5">
        <f t="shared" si="0"/>
        <v>0.23519999999999999</v>
      </c>
      <c r="AH24" s="5">
        <f t="shared" si="0"/>
        <v>0.23505999999999999</v>
      </c>
      <c r="AI24" s="5">
        <f t="shared" si="0"/>
        <v>0.24530000000000002</v>
      </c>
      <c r="AJ24" s="5">
        <f t="shared" si="0"/>
        <v>0.25248000000000004</v>
      </c>
      <c r="AK24" s="5">
        <f t="shared" si="0"/>
        <v>0.26140000000000002</v>
      </c>
      <c r="AL24" s="5">
        <f t="shared" si="0"/>
        <v>0.27318999999999999</v>
      </c>
      <c r="AM24" s="5">
        <f t="shared" si="0"/>
        <v>0.28659000000000001</v>
      </c>
      <c r="AO24" s="5" t="str">
        <f t="shared" si="1"/>
        <v>0.1978, 0.2133, 0.2352, 0.23506, 0.2453, 0.25248, 0.2614, 0.27319, 0.28659,</v>
      </c>
      <c r="AP24" s="5"/>
      <c r="AQ24" s="5"/>
      <c r="AR24" s="5"/>
      <c r="AS24" s="5"/>
      <c r="AT24" s="5"/>
      <c r="AU24" s="5"/>
      <c r="AV24" s="5"/>
    </row>
    <row r="25" spans="1:48" x14ac:dyDescent="0.3">
      <c r="A25" s="66"/>
      <c r="B25" s="1" t="s">
        <v>158</v>
      </c>
      <c r="C25" s="34">
        <f>_xll.BDH(C10,$B$2,$B$17,$B$17)</f>
        <v>68.508499999999998</v>
      </c>
      <c r="D25" s="34">
        <f>_xll.BDH(D10,$B$2,$B$17,$B$17)</f>
        <v>68.621399999999994</v>
      </c>
      <c r="E25" s="34">
        <f>_xll.BDH(E10,$B$2,$B$17,$B$17)</f>
        <v>68.844300000000004</v>
      </c>
      <c r="F25" s="34">
        <f>_xll.BDH(F10,$B$2,$B$17,$B$17)</f>
        <v>67.097499999999997</v>
      </c>
      <c r="G25" s="34">
        <f>_xll.BDH(G10,$B$2,$B$17,$B$17)</f>
        <v>65.998199999999997</v>
      </c>
      <c r="H25" s="9">
        <f>_xll.BDH(H10,$B$2,$B$17,$B$17)</f>
        <v>65.756200000000007</v>
      </c>
      <c r="I25" s="34">
        <f>_xll.BDH(I10,$B$2,$B$17,$B$17)</f>
        <v>65.269900000000007</v>
      </c>
      <c r="J25" s="9">
        <f>_xll.BDH(J10,$B$2,$B$17,$B$17)</f>
        <v>65.250299999999996</v>
      </c>
      <c r="K25" s="9">
        <f>_xll.BDH(K10,$B$2,$B$17,$B$17)</f>
        <v>64.978499999999997</v>
      </c>
      <c r="L25" s="34">
        <f>_xll.BDH(L10,$B$2,$B$17,$B$17)</f>
        <v>64.805700000000002</v>
      </c>
      <c r="M25" s="34">
        <f>_xll.BDH(M10,$B$2,$B$17,$B$17)</f>
        <v>64.812100000000001</v>
      </c>
      <c r="N25" s="34">
        <f>_xll.BDH(N10,$B$2,$B$17,$B$17)</f>
        <v>60.6736</v>
      </c>
      <c r="O25" s="67"/>
      <c r="P25" s="9" t="s">
        <v>158</v>
      </c>
      <c r="Q25" s="34">
        <f>_xll.BDH(Q10,$B$2,$B$17,$B$17)</f>
        <v>23.3</v>
      </c>
      <c r="R25" s="34">
        <f>_xll.BDH(R10,$B$2,$B$17,$B$17)</f>
        <v>23.41</v>
      </c>
      <c r="S25" s="34">
        <f>_xll.BDH(S10,$B$2,$B$17,$B$17)</f>
        <v>23.94</v>
      </c>
      <c r="T25" s="34">
        <f>_xll.BDH(T10,$B$2,$B$17,$B$17)</f>
        <v>23.33</v>
      </c>
      <c r="U25" s="34">
        <f>_xll.BDH(U10,$B$2,$B$17,$B$17)</f>
        <v>23.27</v>
      </c>
      <c r="V25" s="9">
        <f>_xll.BDH(V10,$B$2,$B$17,$B$17)</f>
        <v>23.257000000000001</v>
      </c>
      <c r="W25" s="34">
        <f>_xll.BDH(W10,$B$2,$B$17,$B$17)</f>
        <v>23.31</v>
      </c>
      <c r="X25" s="9">
        <f>_xll.BDH(X10,$B$2,$B$17,$B$17)</f>
        <v>23.431999999999999</v>
      </c>
      <c r="Y25" s="9">
        <f>_xll.BDH(Y10,$B$2,$B$17,$B$17)</f>
        <v>23.625</v>
      </c>
      <c r="Z25" s="34">
        <f>_xll.BDH(Z10,$B$2,$B$17,$B$17)</f>
        <v>23.88</v>
      </c>
      <c r="AA25" s="34">
        <f>_xll.BDH(AA10,$B$2,$B$17,$B$17)</f>
        <v>26.96</v>
      </c>
      <c r="AB25" s="34">
        <f>_xll.BDH(AB10,$B$2,$B$17,$B$17)</f>
        <v>29.44</v>
      </c>
      <c r="AD25" s="5" t="s">
        <v>165</v>
      </c>
      <c r="AE25" s="5">
        <f t="shared" si="0"/>
        <v>0.26957999999999999</v>
      </c>
      <c r="AF25" s="5">
        <f t="shared" si="0"/>
        <v>0.30935000000000001</v>
      </c>
      <c r="AG25" s="5">
        <f t="shared" si="0"/>
        <v>0.36524000000000001</v>
      </c>
      <c r="AH25" s="5">
        <f t="shared" si="0"/>
        <v>0.41706000000000004</v>
      </c>
      <c r="AI25" s="5">
        <f t="shared" si="0"/>
        <v>0.45618999999999998</v>
      </c>
      <c r="AJ25" s="5">
        <f t="shared" si="0"/>
        <v>0.47072000000000003</v>
      </c>
      <c r="AK25" s="5">
        <f t="shared" si="0"/>
        <v>0.46560000000000001</v>
      </c>
      <c r="AL25" s="5">
        <f t="shared" si="0"/>
        <v>0.44943</v>
      </c>
      <c r="AM25" s="5">
        <f t="shared" si="0"/>
        <v>0.42796999999999996</v>
      </c>
      <c r="AO25" s="5" t="str">
        <f t="shared" si="1"/>
        <v>0.26958, 0.30935, 0.36524, 0.41706, 0.45619, 0.47072, 0.4656, 0.44943, 0.42797,</v>
      </c>
      <c r="AP25" s="5"/>
      <c r="AQ25" s="5"/>
      <c r="AR25" s="5"/>
      <c r="AS25" s="5"/>
      <c r="AT25" s="5"/>
      <c r="AU25" s="5"/>
      <c r="AV25" s="5"/>
    </row>
    <row r="26" spans="1:48" x14ac:dyDescent="0.3">
      <c r="A26" s="66"/>
      <c r="B26" s="1" t="s">
        <v>159</v>
      </c>
      <c r="C26" s="34">
        <f>_xll.BDH(C11,$B$2,$B$17,$B$17)</f>
        <v>64.522599999999997</v>
      </c>
      <c r="D26" s="34">
        <f>_xll.BDH(D11,$B$2,$B$17,$B$17)</f>
        <v>66.614699999999999</v>
      </c>
      <c r="E26" s="34">
        <f>_xll.BDH(E11,$B$2,$B$17,$B$17)</f>
        <v>67.477900000000005</v>
      </c>
      <c r="F26" s="34">
        <f>_xll.BDH(F11,$B$2,$B$17,$B$17)</f>
        <v>63.872100000000003</v>
      </c>
      <c r="G26" s="34">
        <f>_xll.BDH(G11,$B$2,$B$17,$B$17)</f>
        <v>63.809100000000001</v>
      </c>
      <c r="H26" s="9">
        <f>_xll.BDH(H11,$B$2,$B$17,$B$17)</f>
        <v>63.432600000000001</v>
      </c>
      <c r="I26" s="34">
        <f>_xll.BDH(I11,$B$2,$B$17,$B$17)</f>
        <v>63.159300000000002</v>
      </c>
      <c r="J26" s="9">
        <f>_xll.BDH(J11,$B$2,$B$17,$B$17)</f>
        <v>62.858499999999999</v>
      </c>
      <c r="K26" s="9">
        <f>_xll.BDH(K11,$B$2,$B$17,$B$17)</f>
        <v>62.671199999999999</v>
      </c>
      <c r="L26" s="34">
        <f>_xll.BDH(L11,$B$2,$B$17,$B$17)</f>
        <v>62.568800000000003</v>
      </c>
      <c r="M26" s="34">
        <f>_xll.BDH(M11,$B$2,$B$17,$B$17)</f>
        <v>62.965400000000002</v>
      </c>
      <c r="N26" s="34">
        <f>_xll.BDH(N11,$B$2,$B$17,$B$17)</f>
        <v>58.993400000000001</v>
      </c>
      <c r="O26" s="67"/>
      <c r="P26" s="9" t="s">
        <v>159</v>
      </c>
      <c r="Q26" s="34">
        <f>_xll.BDH(Q11,$B$2,$B$17,$B$17)</f>
        <v>22.913</v>
      </c>
      <c r="R26" s="34">
        <f>_xll.BDH(R11,$B$2,$B$17,$B$17)</f>
        <v>23.466000000000001</v>
      </c>
      <c r="S26" s="34">
        <f>_xll.BDH(S11,$B$2,$B$17,$B$17)</f>
        <v>23.988</v>
      </c>
      <c r="T26" s="34">
        <f>_xll.BDH(T11,$B$2,$B$17,$B$17)</f>
        <v>22.78</v>
      </c>
      <c r="U26" s="34">
        <f>_xll.BDH(U11,$B$2,$B$17,$B$17)</f>
        <v>22.814</v>
      </c>
      <c r="V26" s="9">
        <f>_xll.BDH(V11,$B$2,$B$17,$B$17)</f>
        <v>22.832999999999998</v>
      </c>
      <c r="W26" s="34">
        <f>_xll.BDH(W11,$B$2,$B$17,$B$17)</f>
        <v>22.972999999999999</v>
      </c>
      <c r="X26" s="9">
        <f>_xll.BDH(X11,$B$2,$B$17,$B$17)</f>
        <v>23.175000000000001</v>
      </c>
      <c r="Y26" s="9">
        <f>_xll.BDH(Y11,$B$2,$B$17,$B$17)</f>
        <v>23.428000000000001</v>
      </c>
      <c r="Z26" s="34">
        <f>_xll.BDH(Z11,$B$2,$B$17,$B$17)</f>
        <v>23.553000000000001</v>
      </c>
      <c r="AA26" s="34">
        <f>_xll.BDH(AA11,$B$2,$B$17,$B$17)</f>
        <v>27.372</v>
      </c>
      <c r="AB26" s="34">
        <f>_xll.BDH(AB11,$B$2,$B$17,$B$17)</f>
        <v>27.919</v>
      </c>
      <c r="AD26" s="5" t="s">
        <v>166</v>
      </c>
      <c r="AE26" s="5">
        <f t="shared" si="0"/>
        <v>0.48411000000000004</v>
      </c>
      <c r="AF26" s="5">
        <f t="shared" si="0"/>
        <v>0.45228000000000002</v>
      </c>
      <c r="AG26" s="5">
        <f t="shared" si="0"/>
        <v>0.44478000000000001</v>
      </c>
      <c r="AH26" s="5">
        <f t="shared" si="0"/>
        <v>0.42036000000000001</v>
      </c>
      <c r="AI26" s="5">
        <f t="shared" si="0"/>
        <v>0.37968000000000002</v>
      </c>
      <c r="AJ26" s="5">
        <f t="shared" si="0"/>
        <v>0.35972000000000004</v>
      </c>
      <c r="AK26" s="5">
        <f t="shared" si="0"/>
        <v>0.32984999999999998</v>
      </c>
      <c r="AL26" s="5">
        <f t="shared" si="0"/>
        <v>0.30488999999999999</v>
      </c>
      <c r="AM26" s="5">
        <f t="shared" si="0"/>
        <v>0.28449000000000002</v>
      </c>
      <c r="AO26" s="5" t="str">
        <f>AE26&amp;", "&amp;AF26&amp;", "&amp;AG26&amp;", "&amp;AH26&amp;", "&amp;AI26&amp;", "&amp;AJ26&amp;", "&amp;AK26&amp;", "&amp;AL26&amp;", "&amp;AM26</f>
        <v>0.48411, 0.45228, 0.44478, 0.42036, 0.37968, 0.35972, 0.32985, 0.30489, 0.28449</v>
      </c>
      <c r="AP26" s="5"/>
      <c r="AQ26" s="5"/>
      <c r="AR26" s="5"/>
      <c r="AS26" s="5"/>
      <c r="AT26" s="5"/>
      <c r="AU26" s="5"/>
      <c r="AV26" s="5"/>
    </row>
    <row r="27" spans="1:48" x14ac:dyDescent="0.3">
      <c r="A27" s="66"/>
      <c r="B27" s="1" t="s">
        <v>161</v>
      </c>
      <c r="C27" s="34">
        <f>_xll.BDH(C12,$B$2,$B$17,$B$17)</f>
        <v>62.555799999999998</v>
      </c>
      <c r="D27" s="34">
        <f>_xll.BDH(D12,$B$2,$B$17,$B$17)</f>
        <v>61.157400000000003</v>
      </c>
      <c r="E27" s="34">
        <f>_xll.BDH(E12,$B$2,$B$17,$B$17)</f>
        <v>64.291399999999996</v>
      </c>
      <c r="F27" s="34">
        <f>_xll.BDH(F12,$B$2,$B$17,$B$17)</f>
        <v>59.518999999999998</v>
      </c>
      <c r="G27" s="34">
        <f>_xll.BDH(G12,$B$2,$B$17,$B$17)</f>
        <v>61.469099999999997</v>
      </c>
      <c r="H27" s="9">
        <f>_xll.BDH(H12,$B$2,$B$17,$B$17)</f>
        <v>60.9574</v>
      </c>
      <c r="I27" s="34">
        <f>_xll.BDH(I12,$B$2,$B$17,$B$17)</f>
        <v>60.625100000000003</v>
      </c>
      <c r="J27" s="9">
        <f>_xll.BDH(J12,$B$2,$B$17,$B$17)</f>
        <v>61.01</v>
      </c>
      <c r="K27" s="9">
        <f>_xll.BDH(K12,$B$2,$B$17,$B$17)</f>
        <v>59.990900000000003</v>
      </c>
      <c r="L27" s="34">
        <f>_xll.BDH(L12,$B$2,$B$17,$B$17)</f>
        <v>59.2029</v>
      </c>
      <c r="M27" s="34">
        <f>_xll.BDH(M12,$B$2,$B$17,$B$17)</f>
        <v>61.503500000000003</v>
      </c>
      <c r="N27" s="34">
        <f>_xll.BDH(N12,$B$2,$B$17,$B$17)</f>
        <v>57.096600000000002</v>
      </c>
      <c r="O27" s="67"/>
      <c r="P27" s="9" t="s">
        <v>161</v>
      </c>
      <c r="Q27" s="34">
        <f>_xll.BDH(Q12,$B$2,$B$17,$B$17)</f>
        <v>21.14</v>
      </c>
      <c r="R27" s="34">
        <f>_xll.BDH(R12,$B$2,$B$17,$B$17)</f>
        <v>22.19</v>
      </c>
      <c r="S27" s="34">
        <f>_xll.BDH(S12,$B$2,$B$17,$B$17)</f>
        <v>23.36</v>
      </c>
      <c r="T27" s="34">
        <f>_xll.BDH(T12,$B$2,$B$17,$B$17)</f>
        <v>21.86</v>
      </c>
      <c r="U27" s="34">
        <f>_xll.BDH(U12,$B$2,$B$17,$B$17)</f>
        <v>22.78</v>
      </c>
      <c r="V27" s="9">
        <f>_xll.BDH(V12,$B$2,$B$17,$B$17)</f>
        <v>23.414999999999999</v>
      </c>
      <c r="W27" s="34">
        <f>_xll.BDH(W12,$B$2,$B$17,$B$17)</f>
        <v>23.16</v>
      </c>
      <c r="X27" s="9">
        <f>_xll.BDH(X12,$B$2,$B$17,$B$17)</f>
        <v>23.952000000000002</v>
      </c>
      <c r="Y27" s="9">
        <f>_xll.BDH(Y12,$B$2,$B$17,$B$17)</f>
        <v>24.135000000000002</v>
      </c>
      <c r="Z27" s="34">
        <f>_xll.BDH(Z12,$B$2,$B$17,$B$17)</f>
        <v>24.81</v>
      </c>
      <c r="AA27" s="34">
        <f>_xll.BDH(AA12,$B$2,$B$17,$B$17)</f>
        <v>29.31</v>
      </c>
      <c r="AB27" s="34">
        <f>_xll.BDH(AB12,$B$2,$B$17,$B$17)</f>
        <v>27.81</v>
      </c>
    </row>
    <row r="28" spans="1:48" x14ac:dyDescent="0.3">
      <c r="A28" s="66"/>
      <c r="B28" s="1" t="s">
        <v>164</v>
      </c>
      <c r="C28" s="34">
        <f>_xll.BDH(C13,$B$2,$B$17,$B$17)</f>
        <v>57.139000000000003</v>
      </c>
      <c r="D28" s="34">
        <f>_xll.BDH(D13,$B$2,$B$17,$B$17)</f>
        <v>55.431600000000003</v>
      </c>
      <c r="E28" s="34">
        <f>_xll.BDH(E13,$B$2,$B$17,$B$17)</f>
        <v>59.311799999999998</v>
      </c>
      <c r="F28" s="34">
        <f>_xll.BDH(F13,$B$2,$B$17,$B$17)</f>
        <v>58.5152</v>
      </c>
      <c r="G28" s="34">
        <f>_xll.BDH(G13,$B$2,$B$17,$B$17)</f>
        <v>64.159000000000006</v>
      </c>
      <c r="H28" s="9">
        <f>_xll.BDH(H13,$B$2,$B$17,$B$17)</f>
        <v>60.319299999999998</v>
      </c>
      <c r="I28" s="34">
        <f>_xll.BDH(I13,$B$2,$B$17,$B$17)</f>
        <v>57.203899999999997</v>
      </c>
      <c r="J28" s="9">
        <f>_xll.BDH(J13,$B$2,$B$17,$B$17)</f>
        <v>55.372799999999998</v>
      </c>
      <c r="K28" s="9">
        <f>_xll.BDH(K13,$B$2,$B$17,$B$17)</f>
        <v>53.8414</v>
      </c>
      <c r="L28" s="34">
        <f>_xll.BDH(L13,$B$2,$B$17,$B$17)</f>
        <v>52.506</v>
      </c>
      <c r="M28" s="34">
        <f>_xll.BDH(M13,$B$2,$B$17,$B$17)</f>
        <v>55.513500000000001</v>
      </c>
      <c r="N28" s="34">
        <f>_xll.BDH(N13,$B$2,$B$17,$B$17)</f>
        <v>49.002699999999997</v>
      </c>
      <c r="O28" s="67"/>
      <c r="P28" s="9" t="s">
        <v>164</v>
      </c>
      <c r="Q28" s="34">
        <f>_xll.BDH(Q13,$B$2,$B$17,$B$17)</f>
        <v>19.78</v>
      </c>
      <c r="R28" s="34">
        <f>_xll.BDH(R13,$B$2,$B$17,$B$17)</f>
        <v>21.33</v>
      </c>
      <c r="S28" s="34">
        <f>_xll.BDH(S13,$B$2,$B$17,$B$17)</f>
        <v>23.52</v>
      </c>
      <c r="T28" s="34">
        <f>_xll.BDH(T13,$B$2,$B$17,$B$17)</f>
        <v>23.506</v>
      </c>
      <c r="U28" s="34">
        <f>_xll.BDH(U13,$B$2,$B$17,$B$17)</f>
        <v>24.53</v>
      </c>
      <c r="V28" s="9">
        <f>_xll.BDH(V13,$B$2,$B$17,$B$17)</f>
        <v>25.248000000000001</v>
      </c>
      <c r="W28" s="34">
        <f>_xll.BDH(W13,$B$2,$B$17,$B$17)</f>
        <v>26.14</v>
      </c>
      <c r="X28" s="9">
        <f>_xll.BDH(X13,$B$2,$B$17,$B$17)</f>
        <v>27.318999999999999</v>
      </c>
      <c r="Y28" s="9">
        <f>_xll.BDH(Y13,$B$2,$B$17,$B$17)</f>
        <v>28.658999999999999</v>
      </c>
      <c r="Z28" s="34">
        <f>_xll.BDH(Z13,$B$2,$B$17,$B$17)</f>
        <v>29.97</v>
      </c>
      <c r="AA28" s="34">
        <f>_xll.BDH(AA13,$B$2,$B$17,$B$17)</f>
        <v>30.73</v>
      </c>
      <c r="AB28" s="34">
        <f>_xll.BDH(AB13,$B$2,$B$17,$B$17)</f>
        <v>27.1</v>
      </c>
      <c r="AD28" s="5" t="s">
        <v>592</v>
      </c>
      <c r="AE28" s="5" t="s">
        <v>155</v>
      </c>
      <c r="AF28" s="5" t="s">
        <v>156</v>
      </c>
      <c r="AG28" s="5" t="s">
        <v>157</v>
      </c>
      <c r="AH28" s="5" t="s">
        <v>158</v>
      </c>
      <c r="AI28" s="5" t="s">
        <v>159</v>
      </c>
      <c r="AJ28" s="5" t="s">
        <v>161</v>
      </c>
      <c r="AK28" s="5" t="s">
        <v>164</v>
      </c>
      <c r="AL28" s="5" t="s">
        <v>165</v>
      </c>
      <c r="AM28" s="5" t="s">
        <v>166</v>
      </c>
      <c r="AO28" s="1" t="s">
        <v>593</v>
      </c>
    </row>
    <row r="29" spans="1:48" x14ac:dyDescent="0.3">
      <c r="A29" s="66"/>
      <c r="B29" s="1" t="s">
        <v>165</v>
      </c>
      <c r="C29" s="34">
        <f>_xll.BDH(C14,$B$2,$B$17,$B$17)</f>
        <v>39.088099999999997</v>
      </c>
      <c r="D29" s="34">
        <f>_xll.BDH(D14,$B$2,$B$17,$B$17)</f>
        <v>37.9739</v>
      </c>
      <c r="E29" s="34">
        <f>_xll.BDH(E14,$B$2,$B$17,$B$17)</f>
        <v>41.2423</v>
      </c>
      <c r="F29" s="34">
        <f>_xll.BDH(F14,$B$2,$B$17,$B$17)</f>
        <v>41.066200000000002</v>
      </c>
      <c r="G29" s="34">
        <f>_xll.BDH(G14,$B$2,$B$17,$B$17)</f>
        <v>45.0854</v>
      </c>
      <c r="H29" s="9">
        <f>_xll.BDH(H14,$B$2,$B$17,$B$17)</f>
        <v>44.318100000000001</v>
      </c>
      <c r="I29" s="34">
        <f>_xll.BDH(I14,$B$2,$B$17,$B$17)</f>
        <v>43.497599999999998</v>
      </c>
      <c r="J29" s="9">
        <f>_xll.BDH(J14,$B$2,$B$17,$B$17)</f>
        <v>43.221499999999999</v>
      </c>
      <c r="K29" s="9">
        <f>_xll.BDH(K14,$B$2,$B$17,$B$17)</f>
        <v>42.920299999999997</v>
      </c>
      <c r="L29" s="34">
        <f>_xll.BDH(L14,$B$2,$B$17,$B$17)</f>
        <v>42.598500000000001</v>
      </c>
      <c r="M29" s="34">
        <f>_xll.BDH(M14,$B$2,$B$17,$B$17)</f>
        <v>47.307899999999997</v>
      </c>
      <c r="N29" s="34">
        <f>_xll.BDH(N14,$B$2,$B$17,$B$17)</f>
        <v>43.142299999999999</v>
      </c>
      <c r="O29" s="67"/>
      <c r="P29" s="9" t="s">
        <v>165</v>
      </c>
      <c r="Q29" s="34">
        <f>_xll.BDH(Q14,$B$2,$B$17,$B$17)</f>
        <v>26.957999999999998</v>
      </c>
      <c r="R29" s="34">
        <f>_xll.BDH(R14,$B$2,$B$17,$B$17)</f>
        <v>30.934999999999999</v>
      </c>
      <c r="S29" s="34">
        <f>_xll.BDH(S14,$B$2,$B$17,$B$17)</f>
        <v>36.524000000000001</v>
      </c>
      <c r="T29" s="34">
        <f>_xll.BDH(T14,$B$2,$B$17,$B$17)</f>
        <v>41.706000000000003</v>
      </c>
      <c r="U29" s="34">
        <f>_xll.BDH(U14,$B$2,$B$17,$B$17)</f>
        <v>45.619</v>
      </c>
      <c r="V29" s="9">
        <f>_xll.BDH(V14,$B$2,$B$17,$B$17)</f>
        <v>47.072000000000003</v>
      </c>
      <c r="W29" s="34">
        <f>_xll.BDH(W14,$B$2,$B$17,$B$17)</f>
        <v>46.56</v>
      </c>
      <c r="X29" s="9">
        <f>_xll.BDH(X14,$B$2,$B$17,$B$17)</f>
        <v>44.942999999999998</v>
      </c>
      <c r="Y29" s="9">
        <f>_xll.BDH(Y14,$B$2,$B$17,$B$17)</f>
        <v>42.796999999999997</v>
      </c>
      <c r="Z29" s="34">
        <f>_xll.BDH(Z14,$B$2,$B$17,$B$17)</f>
        <v>40.531999999999996</v>
      </c>
      <c r="AA29" s="34">
        <f>_xll.BDH(AA14,$B$2,$B$17,$B$17)</f>
        <v>30.678999999999998</v>
      </c>
      <c r="AB29" s="34">
        <f>_xll.BDH(AB14,$B$2,$B$17,$B$17)</f>
        <v>24.504000000000001</v>
      </c>
      <c r="AD29" s="5" t="s">
        <v>155</v>
      </c>
      <c r="AE29" s="5">
        <f>C22</f>
        <v>90.2821</v>
      </c>
      <c r="AF29" s="5">
        <f>D22</f>
        <v>87.588800000000006</v>
      </c>
      <c r="AG29" s="5">
        <f>E22</f>
        <v>81.9983</v>
      </c>
      <c r="AH29" s="5">
        <f>F22</f>
        <v>76.699200000000005</v>
      </c>
      <c r="AI29" s="5">
        <f>G22</f>
        <v>80.0565</v>
      </c>
      <c r="AJ29" s="5">
        <f>I22</f>
        <v>78.478399999999993</v>
      </c>
      <c r="AK29" s="5">
        <f>L22</f>
        <v>82.413799999999995</v>
      </c>
      <c r="AL29" s="5">
        <f>M22</f>
        <v>83.936999999999998</v>
      </c>
      <c r="AM29" s="5">
        <f>N22</f>
        <v>79.001400000000004</v>
      </c>
      <c r="AO29" s="5" t="str">
        <f>AE29&amp;", "&amp;AF29&amp;", "&amp;AG29&amp;", "&amp;AH29&amp;", "&amp;AI29&amp;", "&amp;AJ29&amp;", "&amp;AK29&amp;", "&amp;AL29&amp;", "&amp;AM29&amp;","</f>
        <v>90.2821, 87.5888, 81.9983, 76.6992, 80.0565, 78.4784, 82.4138, 83.937, 79.0014,</v>
      </c>
      <c r="AP29" s="5"/>
      <c r="AQ29" s="5"/>
      <c r="AR29" s="5"/>
      <c r="AS29" s="5"/>
      <c r="AT29" s="5"/>
      <c r="AU29" s="5"/>
      <c r="AV29" s="5"/>
    </row>
    <row r="30" spans="1:48" x14ac:dyDescent="0.3">
      <c r="A30" s="66"/>
      <c r="B30" s="1" t="s">
        <v>166</v>
      </c>
      <c r="C30" s="34">
        <f>_xll.BDH(C15,$B$2,$B$17,$B$17)</f>
        <v>38.517899999999997</v>
      </c>
      <c r="D30" s="34">
        <f>_xll.BDH(D15,$B$2,$B$17,$B$17)</f>
        <v>37.4604</v>
      </c>
      <c r="E30" s="34">
        <f>_xll.BDH(E15,$B$2,$B$17,$B$17)</f>
        <v>40.582099999999997</v>
      </c>
      <c r="F30" s="34">
        <f>_xll.BDH(F15,$B$2,$B$17,$B$17)</f>
        <v>40.402799999999999</v>
      </c>
      <c r="G30" s="34">
        <f>_xll.BDH(G15,$B$2,$B$17,$B$17)</f>
        <v>44.198599999999999</v>
      </c>
      <c r="H30" s="9">
        <f>_xll.BDH(H15,$B$2,$B$17,$B$17)</f>
        <v>43.480400000000003</v>
      </c>
      <c r="I30" s="34">
        <f>_xll.BDH(I15,$B$2,$B$17,$B$17)</f>
        <v>42.709899999999998</v>
      </c>
      <c r="J30" s="9">
        <f>_xll.BDH(J15,$B$2,$B$17,$B$17)</f>
        <v>42.444099999999999</v>
      </c>
      <c r="K30" s="9">
        <f>_xll.BDH(K15,$B$2,$B$17,$B$17)</f>
        <v>42.159500000000001</v>
      </c>
      <c r="L30" s="34">
        <f>_xll.BDH(L15,$B$2,$B$17,$B$17)</f>
        <v>41.856900000000003</v>
      </c>
      <c r="M30" s="34">
        <f>_xll.BDH(M15,$B$2,$B$17,$B$17)</f>
        <v>46.28</v>
      </c>
      <c r="N30" s="34">
        <f>_xll.BDH(N15,$B$2,$B$17,$B$17)</f>
        <v>42.369199999999999</v>
      </c>
      <c r="O30" s="67"/>
      <c r="P30" s="9" t="s">
        <v>166</v>
      </c>
      <c r="Q30" s="34">
        <f>_xll.BDH(Q15,$B$2,$B$17,$B$17)</f>
        <v>48.411000000000001</v>
      </c>
      <c r="R30" s="34">
        <f>_xll.BDH(R15,$B$2,$B$17,$B$17)</f>
        <v>45.228000000000002</v>
      </c>
      <c r="S30" s="34">
        <f>_xll.BDH(S15,$B$2,$B$17,$B$17)</f>
        <v>44.478000000000002</v>
      </c>
      <c r="T30" s="34">
        <f>_xll.BDH(T15,$B$2,$B$17,$B$17)</f>
        <v>42.036000000000001</v>
      </c>
      <c r="U30" s="34">
        <f>_xll.BDH(U15,$B$2,$B$17,$B$17)</f>
        <v>37.968000000000004</v>
      </c>
      <c r="V30" s="9">
        <f>_xll.BDH(V15,$B$2,$B$17,$B$17)</f>
        <v>35.972000000000001</v>
      </c>
      <c r="W30" s="34">
        <f>_xll.BDH(W15,$B$2,$B$17,$B$17)</f>
        <v>32.984999999999999</v>
      </c>
      <c r="X30" s="9">
        <f>_xll.BDH(X15,$B$2,$B$17,$B$17)</f>
        <v>30.489000000000001</v>
      </c>
      <c r="Y30" s="9">
        <f>_xll.BDH(Y15,$B$2,$B$17,$B$17)</f>
        <v>28.449000000000002</v>
      </c>
      <c r="Z30" s="34">
        <f>_xll.BDH(Z15,$B$2,$B$17,$B$17)</f>
        <v>26.375</v>
      </c>
      <c r="AA30" s="34">
        <f>_xll.BDH(AA15,$B$2,$B$17,$B$17)</f>
        <v>21.606000000000002</v>
      </c>
      <c r="AB30" s="34">
        <f>_xll.BDH(AB15,$B$2,$B$17,$B$17)</f>
        <v>18.3</v>
      </c>
      <c r="AD30" s="5" t="s">
        <v>156</v>
      </c>
      <c r="AE30" s="5">
        <f t="shared" ref="AE30:AI37" si="2">C23</f>
        <v>79.827200000000005</v>
      </c>
      <c r="AF30" s="5">
        <f t="shared" si="2"/>
        <v>76.777299999999997</v>
      </c>
      <c r="AG30" s="5">
        <f t="shared" si="2"/>
        <v>77.319800000000001</v>
      </c>
      <c r="AH30" s="5">
        <f t="shared" si="2"/>
        <v>74.159400000000005</v>
      </c>
      <c r="AI30" s="5">
        <f t="shared" si="2"/>
        <v>75.508899999999997</v>
      </c>
      <c r="AJ30" s="5">
        <f t="shared" ref="AJ30:AJ37" si="3">I23</f>
        <v>74.227800000000002</v>
      </c>
      <c r="AK30" s="5">
        <f t="shared" ref="AK30:AM37" si="4">L23</f>
        <v>75.186300000000003</v>
      </c>
      <c r="AL30" s="5">
        <f t="shared" si="4"/>
        <v>75.332499999999996</v>
      </c>
      <c r="AM30" s="5">
        <f t="shared" si="4"/>
        <v>69.605400000000003</v>
      </c>
      <c r="AO30" s="5" t="str">
        <f t="shared" ref="AO30:AO37" si="5">AE30&amp;", "&amp;AF30&amp;", "&amp;AG30&amp;", "&amp;AH30&amp;", "&amp;AI30&amp;", "&amp;AJ30&amp;", "&amp;AK30&amp;", "&amp;AL30&amp;", "&amp;AM30&amp;","</f>
        <v>79.8272, 76.7773, 77.3198, 74.1594, 75.5089, 74.2278, 75.1863, 75.3325, 69.6054,</v>
      </c>
      <c r="AP30" s="5"/>
      <c r="AQ30" s="5"/>
      <c r="AR30" s="5"/>
      <c r="AS30" s="5"/>
      <c r="AT30" s="5"/>
      <c r="AU30" s="5"/>
      <c r="AV30" s="5"/>
    </row>
    <row r="31" spans="1:48" ht="14.25" thickBot="1" x14ac:dyDescent="0.35">
      <c r="A31" s="1" t="s">
        <v>501</v>
      </c>
      <c r="AD31" s="5" t="s">
        <v>157</v>
      </c>
      <c r="AE31" s="5">
        <f t="shared" si="2"/>
        <v>73.229600000000005</v>
      </c>
      <c r="AF31" s="5">
        <f t="shared" si="2"/>
        <v>73.285300000000007</v>
      </c>
      <c r="AG31" s="5">
        <f t="shared" si="2"/>
        <v>73.438400000000001</v>
      </c>
      <c r="AH31" s="5">
        <f t="shared" si="2"/>
        <v>71.654200000000003</v>
      </c>
      <c r="AI31" s="5">
        <f t="shared" si="2"/>
        <v>69.636600000000001</v>
      </c>
      <c r="AJ31" s="5">
        <f t="shared" si="3"/>
        <v>70.641300000000001</v>
      </c>
      <c r="AK31" s="5">
        <f t="shared" si="4"/>
        <v>70.298900000000003</v>
      </c>
      <c r="AL31" s="5">
        <f t="shared" si="4"/>
        <v>70.866299999999995</v>
      </c>
      <c r="AM31" s="5">
        <f t="shared" si="4"/>
        <v>64.174199999999999</v>
      </c>
      <c r="AO31" s="5" t="str">
        <f t="shared" si="5"/>
        <v>73.2296, 73.2853, 73.4384, 71.6542, 69.6366, 70.6413, 70.2989, 70.8663, 64.1742,</v>
      </c>
      <c r="AP31" s="5"/>
      <c r="AQ31" s="5"/>
      <c r="AR31" s="5"/>
      <c r="AS31" s="5"/>
      <c r="AT31" s="5"/>
      <c r="AU31" s="5"/>
      <c r="AV31" s="5"/>
    </row>
    <row r="32" spans="1:48" ht="16.5" customHeight="1" thickBot="1" x14ac:dyDescent="0.35">
      <c r="A32" s="15" t="s">
        <v>298</v>
      </c>
      <c r="B32" s="22" t="s">
        <v>299</v>
      </c>
      <c r="C32" s="23" t="s">
        <v>300</v>
      </c>
      <c r="AD32" s="5" t="s">
        <v>158</v>
      </c>
      <c r="AE32" s="5">
        <f t="shared" si="2"/>
        <v>68.508499999999998</v>
      </c>
      <c r="AF32" s="5">
        <f t="shared" si="2"/>
        <v>68.621399999999994</v>
      </c>
      <c r="AG32" s="5">
        <f t="shared" si="2"/>
        <v>68.844300000000004</v>
      </c>
      <c r="AH32" s="5">
        <f t="shared" si="2"/>
        <v>67.097499999999997</v>
      </c>
      <c r="AI32" s="5">
        <f t="shared" si="2"/>
        <v>65.998199999999997</v>
      </c>
      <c r="AJ32" s="5">
        <f t="shared" si="3"/>
        <v>65.269900000000007</v>
      </c>
      <c r="AK32" s="5">
        <f t="shared" si="4"/>
        <v>64.805700000000002</v>
      </c>
      <c r="AL32" s="5">
        <f t="shared" si="4"/>
        <v>64.812100000000001</v>
      </c>
      <c r="AM32" s="5">
        <f t="shared" si="4"/>
        <v>60.6736</v>
      </c>
      <c r="AO32" s="5" t="str">
        <f t="shared" si="5"/>
        <v>68.5085, 68.6214, 68.8443, 67.0975, 65.9982, 65.2699, 64.8057, 64.8121, 60.6736,</v>
      </c>
      <c r="AP32" s="5"/>
      <c r="AQ32" s="5"/>
      <c r="AR32" s="5"/>
      <c r="AS32" s="5"/>
      <c r="AT32" s="5"/>
      <c r="AU32" s="5"/>
      <c r="AV32" s="5"/>
    </row>
    <row r="33" spans="1:48" x14ac:dyDescent="0.3">
      <c r="A33" s="16" t="s">
        <v>479</v>
      </c>
      <c r="B33" s="17">
        <f>C30</f>
        <v>38.517899999999997</v>
      </c>
      <c r="C33" s="31">
        <f>Q30</f>
        <v>48.411000000000001</v>
      </c>
      <c r="T33" s="30" t="s">
        <v>500</v>
      </c>
      <c r="U33" s="24"/>
      <c r="V33" s="24"/>
      <c r="W33" s="25"/>
      <c r="Y33" s="35" t="s">
        <v>296</v>
      </c>
      <c r="Z33" s="35"/>
      <c r="AA33" s="36">
        <v>44376</v>
      </c>
      <c r="AD33" s="5" t="s">
        <v>159</v>
      </c>
      <c r="AE33" s="5">
        <f t="shared" si="2"/>
        <v>64.522599999999997</v>
      </c>
      <c r="AF33" s="5">
        <f t="shared" si="2"/>
        <v>66.614699999999999</v>
      </c>
      <c r="AG33" s="5">
        <f t="shared" si="2"/>
        <v>67.477900000000005</v>
      </c>
      <c r="AH33" s="5">
        <f t="shared" si="2"/>
        <v>63.872100000000003</v>
      </c>
      <c r="AI33" s="5">
        <f t="shared" si="2"/>
        <v>63.809100000000001</v>
      </c>
      <c r="AJ33" s="5">
        <f t="shared" si="3"/>
        <v>63.159300000000002</v>
      </c>
      <c r="AK33" s="5">
        <f t="shared" si="4"/>
        <v>62.568800000000003</v>
      </c>
      <c r="AL33" s="5">
        <f t="shared" si="4"/>
        <v>62.965400000000002</v>
      </c>
      <c r="AM33" s="5">
        <f t="shared" si="4"/>
        <v>58.993400000000001</v>
      </c>
      <c r="AO33" s="5" t="str">
        <f t="shared" si="5"/>
        <v>64.5226, 66.6147, 67.4779, 63.8721, 63.8091, 63.1593, 62.5688, 62.9654, 58.9934,</v>
      </c>
      <c r="AP33" s="5"/>
      <c r="AQ33" s="5"/>
      <c r="AR33" s="5"/>
      <c r="AS33" s="5"/>
      <c r="AT33" s="5"/>
      <c r="AU33" s="5"/>
      <c r="AV33" s="5"/>
    </row>
    <row r="34" spans="1:48" ht="16.5" x14ac:dyDescent="0.3">
      <c r="A34" s="16" t="s">
        <v>481</v>
      </c>
      <c r="B34" s="17">
        <f>D29</f>
        <v>37.9739</v>
      </c>
      <c r="C34" s="31">
        <f>R29</f>
        <v>30.934999999999999</v>
      </c>
      <c r="T34" s="26">
        <f>$B$17</f>
        <v>44676</v>
      </c>
      <c r="U34" s="27" t="str">
        <f>$B$32</f>
        <v>Normal</v>
      </c>
      <c r="V34" s="27" t="str">
        <f>A33</f>
        <v>20Y1Y</v>
      </c>
      <c r="W34" s="18">
        <f>B33</f>
        <v>38.517899999999997</v>
      </c>
      <c r="Y34" t="s">
        <v>502</v>
      </c>
      <c r="Z34" t="s">
        <v>516</v>
      </c>
      <c r="AA34" t="str">
        <f>_xll.BDH(Y34,$A$1,$C$1,$C$1)</f>
        <v>#N/A Mandatory parameter [FIELDS] cannot be empty</v>
      </c>
      <c r="AD34" s="5" t="s">
        <v>161</v>
      </c>
      <c r="AE34" s="5">
        <f t="shared" si="2"/>
        <v>62.555799999999998</v>
      </c>
      <c r="AF34" s="5">
        <f t="shared" si="2"/>
        <v>61.157400000000003</v>
      </c>
      <c r="AG34" s="5">
        <f t="shared" si="2"/>
        <v>64.291399999999996</v>
      </c>
      <c r="AH34" s="5">
        <f t="shared" si="2"/>
        <v>59.518999999999998</v>
      </c>
      <c r="AI34" s="5">
        <f t="shared" si="2"/>
        <v>61.469099999999997</v>
      </c>
      <c r="AJ34" s="5">
        <f t="shared" si="3"/>
        <v>60.625100000000003</v>
      </c>
      <c r="AK34" s="5">
        <f t="shared" si="4"/>
        <v>59.2029</v>
      </c>
      <c r="AL34" s="5">
        <f t="shared" si="4"/>
        <v>61.503500000000003</v>
      </c>
      <c r="AM34" s="5">
        <f t="shared" si="4"/>
        <v>57.096600000000002</v>
      </c>
      <c r="AO34" s="5" t="str">
        <f t="shared" si="5"/>
        <v>62.5558, 61.1574, 64.2914, 59.519, 61.4691, 60.6251, 59.2029, 61.5035, 57.0966,</v>
      </c>
      <c r="AP34" s="5"/>
      <c r="AQ34" s="5"/>
      <c r="AR34" s="5"/>
      <c r="AS34" s="5"/>
      <c r="AT34" s="5"/>
      <c r="AU34" s="5"/>
      <c r="AV34" s="5"/>
    </row>
    <row r="35" spans="1:48" ht="16.5" x14ac:dyDescent="0.3">
      <c r="A35" s="16" t="s">
        <v>483</v>
      </c>
      <c r="B35" s="17">
        <f>E28</f>
        <v>59.311799999999998</v>
      </c>
      <c r="C35" s="31">
        <f>S28</f>
        <v>23.52</v>
      </c>
      <c r="T35" s="26">
        <f t="shared" ref="T35:T51" si="6">$B$17</f>
        <v>44676</v>
      </c>
      <c r="U35" s="27" t="str">
        <f t="shared" ref="U35:U42" si="7">$B$32</f>
        <v>Normal</v>
      </c>
      <c r="V35" s="27" t="str">
        <f t="shared" ref="V35:W42" si="8">A34</f>
        <v>15Y2Y</v>
      </c>
      <c r="W35" s="18">
        <f t="shared" si="8"/>
        <v>37.9739</v>
      </c>
      <c r="Y35" t="s">
        <v>503</v>
      </c>
      <c r="Z35" t="s">
        <v>517</v>
      </c>
      <c r="AA35" t="str">
        <f>_xll.BDH(Y35,$A$1,$C$1,$C$1)</f>
        <v>#N/A Mandatory parameter [FIELDS] cannot be empty</v>
      </c>
      <c r="AD35" s="5" t="s">
        <v>164</v>
      </c>
      <c r="AE35" s="5">
        <f t="shared" si="2"/>
        <v>57.139000000000003</v>
      </c>
      <c r="AF35" s="5">
        <f t="shared" si="2"/>
        <v>55.431600000000003</v>
      </c>
      <c r="AG35" s="5">
        <f t="shared" si="2"/>
        <v>59.311799999999998</v>
      </c>
      <c r="AH35" s="5">
        <f t="shared" si="2"/>
        <v>58.5152</v>
      </c>
      <c r="AI35" s="5">
        <f t="shared" si="2"/>
        <v>64.159000000000006</v>
      </c>
      <c r="AJ35" s="5">
        <f t="shared" si="3"/>
        <v>57.203899999999997</v>
      </c>
      <c r="AK35" s="5">
        <f t="shared" si="4"/>
        <v>52.506</v>
      </c>
      <c r="AL35" s="5">
        <f t="shared" si="4"/>
        <v>55.513500000000001</v>
      </c>
      <c r="AM35" s="5">
        <f t="shared" si="4"/>
        <v>49.002699999999997</v>
      </c>
      <c r="AO35" s="5" t="str">
        <f t="shared" si="5"/>
        <v>57.139, 55.4316, 59.3118, 58.5152, 64.159, 57.2039, 52.506, 55.5135, 49.0027,</v>
      </c>
      <c r="AP35" s="5"/>
      <c r="AQ35" s="5"/>
      <c r="AR35" s="5"/>
      <c r="AS35" s="5"/>
      <c r="AT35" s="5"/>
      <c r="AU35" s="5"/>
      <c r="AV35" s="5"/>
    </row>
    <row r="36" spans="1:48" ht="16.5" x14ac:dyDescent="0.3">
      <c r="A36" s="16" t="s">
        <v>485</v>
      </c>
      <c r="B36" s="17">
        <f>F27</f>
        <v>59.518999999999998</v>
      </c>
      <c r="C36" s="31">
        <f>T27</f>
        <v>21.86</v>
      </c>
      <c r="T36" s="26">
        <f t="shared" si="6"/>
        <v>44676</v>
      </c>
      <c r="U36" s="27" t="str">
        <f t="shared" si="7"/>
        <v>Normal</v>
      </c>
      <c r="V36" s="27" t="str">
        <f t="shared" si="8"/>
        <v>10Y3Y</v>
      </c>
      <c r="W36" s="18">
        <f t="shared" si="8"/>
        <v>59.311799999999998</v>
      </c>
      <c r="Y36" t="s">
        <v>504</v>
      </c>
      <c r="Z36" t="s">
        <v>518</v>
      </c>
      <c r="AA36" t="str">
        <f>_xll.BDH(Y36,$A$1,$C$1,$C$1)</f>
        <v>#N/A Mandatory parameter [FIELDS] cannot be empty</v>
      </c>
      <c r="AD36" s="5" t="s">
        <v>165</v>
      </c>
      <c r="AE36" s="5">
        <f t="shared" si="2"/>
        <v>39.088099999999997</v>
      </c>
      <c r="AF36" s="5">
        <f t="shared" si="2"/>
        <v>37.9739</v>
      </c>
      <c r="AG36" s="5">
        <f t="shared" si="2"/>
        <v>41.2423</v>
      </c>
      <c r="AH36" s="5">
        <f t="shared" si="2"/>
        <v>41.066200000000002</v>
      </c>
      <c r="AI36" s="5">
        <f t="shared" si="2"/>
        <v>45.0854</v>
      </c>
      <c r="AJ36" s="5">
        <f t="shared" si="3"/>
        <v>43.497599999999998</v>
      </c>
      <c r="AK36" s="5">
        <f t="shared" si="4"/>
        <v>42.598500000000001</v>
      </c>
      <c r="AL36" s="5">
        <f t="shared" si="4"/>
        <v>47.307899999999997</v>
      </c>
      <c r="AM36" s="5">
        <f t="shared" si="4"/>
        <v>43.142299999999999</v>
      </c>
      <c r="AO36" s="5" t="str">
        <f t="shared" si="5"/>
        <v>39.0881, 37.9739, 41.2423, 41.0662, 45.0854, 43.4976, 42.5985, 47.3079, 43.1423,</v>
      </c>
      <c r="AP36" s="5"/>
      <c r="AQ36" s="5"/>
      <c r="AR36" s="5"/>
      <c r="AS36" s="5"/>
      <c r="AT36" s="5"/>
      <c r="AU36" s="5"/>
      <c r="AV36" s="5"/>
    </row>
    <row r="37" spans="1:48" ht="16.5" x14ac:dyDescent="0.3">
      <c r="A37" s="16" t="s">
        <v>297</v>
      </c>
      <c r="B37" s="17">
        <f>G26</f>
        <v>63.809100000000001</v>
      </c>
      <c r="C37" s="31">
        <f>U26</f>
        <v>22.814</v>
      </c>
      <c r="T37" s="26">
        <f t="shared" si="6"/>
        <v>44676</v>
      </c>
      <c r="U37" s="27" t="str">
        <f t="shared" si="7"/>
        <v>Normal</v>
      </c>
      <c r="V37" s="27" t="str">
        <f t="shared" si="8"/>
        <v>7Y4Y</v>
      </c>
      <c r="W37" s="18">
        <f t="shared" si="8"/>
        <v>59.518999999999998</v>
      </c>
      <c r="Y37" t="s">
        <v>505</v>
      </c>
      <c r="Z37" t="s">
        <v>519</v>
      </c>
      <c r="AA37" t="str">
        <f>_xll.BDH(Y37,$A$1,$C$1,$C$1)</f>
        <v>#N/A Mandatory parameter [FIELDS] cannot be empty</v>
      </c>
      <c r="AD37" s="5" t="s">
        <v>166</v>
      </c>
      <c r="AE37" s="5">
        <f t="shared" si="2"/>
        <v>38.517899999999997</v>
      </c>
      <c r="AF37" s="5">
        <f t="shared" si="2"/>
        <v>37.4604</v>
      </c>
      <c r="AG37" s="5">
        <f t="shared" si="2"/>
        <v>40.582099999999997</v>
      </c>
      <c r="AH37" s="5">
        <f t="shared" si="2"/>
        <v>40.402799999999999</v>
      </c>
      <c r="AI37" s="5">
        <f t="shared" si="2"/>
        <v>44.198599999999999</v>
      </c>
      <c r="AJ37" s="5">
        <f t="shared" si="3"/>
        <v>42.709899999999998</v>
      </c>
      <c r="AK37" s="5">
        <f t="shared" si="4"/>
        <v>41.856900000000003</v>
      </c>
      <c r="AL37" s="5">
        <f t="shared" si="4"/>
        <v>46.28</v>
      </c>
      <c r="AM37" s="5">
        <f t="shared" si="4"/>
        <v>42.369199999999999</v>
      </c>
      <c r="AO37" s="5" t="str">
        <f t="shared" si="5"/>
        <v>38.5179, 37.4604, 40.5821, 40.4028, 44.1986, 42.7099, 41.8569, 46.28, 42.3692,</v>
      </c>
      <c r="AP37" s="5"/>
      <c r="AQ37" s="5"/>
      <c r="AR37" s="5"/>
      <c r="AS37" s="5"/>
      <c r="AT37" s="5"/>
      <c r="AU37" s="5"/>
      <c r="AV37" s="5"/>
    </row>
    <row r="38" spans="1:48" ht="16.5" x14ac:dyDescent="0.3">
      <c r="A38" s="16" t="s">
        <v>487</v>
      </c>
      <c r="B38" s="17">
        <f>I25</f>
        <v>65.269900000000007</v>
      </c>
      <c r="C38" s="31">
        <f>W25</f>
        <v>23.31</v>
      </c>
      <c r="T38" s="26">
        <f t="shared" si="6"/>
        <v>44676</v>
      </c>
      <c r="U38" s="27" t="str">
        <f t="shared" si="7"/>
        <v>Normal</v>
      </c>
      <c r="V38" s="27" t="str">
        <f t="shared" si="8"/>
        <v>5Y5Y</v>
      </c>
      <c r="W38" s="18">
        <f t="shared" si="8"/>
        <v>63.809100000000001</v>
      </c>
      <c r="Y38" t="s">
        <v>506</v>
      </c>
      <c r="Z38" t="s">
        <v>520</v>
      </c>
      <c r="AA38" t="str">
        <f>_xll.BDH(Y38,$A$1,$C$1,$C$1)</f>
        <v>#N/A Mandatory parameter [FIELDS] cannot be empty</v>
      </c>
    </row>
    <row r="39" spans="1:48" ht="16.5" x14ac:dyDescent="0.3">
      <c r="A39" s="16" t="s">
        <v>489</v>
      </c>
      <c r="B39" s="17">
        <f>L24</f>
        <v>70.298900000000003</v>
      </c>
      <c r="C39" s="31">
        <f>Z24</f>
        <v>25.3</v>
      </c>
      <c r="T39" s="26">
        <f t="shared" si="6"/>
        <v>44676</v>
      </c>
      <c r="U39" s="27" t="str">
        <f t="shared" si="7"/>
        <v>Normal</v>
      </c>
      <c r="V39" s="27" t="str">
        <f t="shared" si="8"/>
        <v>4Y7Y</v>
      </c>
      <c r="W39" s="18">
        <f t="shared" si="8"/>
        <v>65.269900000000007</v>
      </c>
      <c r="Y39" t="s">
        <v>507</v>
      </c>
      <c r="Z39" t="s">
        <v>521</v>
      </c>
      <c r="AA39" t="str">
        <f>_xll.BDH(Y39,$A$1,$C$1,$C$1)</f>
        <v>#N/A Mandatory parameter [FIELDS] cannot be empty</v>
      </c>
    </row>
    <row r="40" spans="1:48" ht="16.5" x14ac:dyDescent="0.3">
      <c r="A40" s="16" t="s">
        <v>491</v>
      </c>
      <c r="B40" s="17">
        <f>M23</f>
        <v>75.332499999999996</v>
      </c>
      <c r="C40" s="31">
        <f>AA23</f>
        <v>28.678999999999998</v>
      </c>
      <c r="T40" s="26">
        <f t="shared" si="6"/>
        <v>44676</v>
      </c>
      <c r="U40" s="27" t="str">
        <f t="shared" si="7"/>
        <v>Normal</v>
      </c>
      <c r="V40" s="27" t="str">
        <f t="shared" si="8"/>
        <v>3Y10Y</v>
      </c>
      <c r="W40" s="18">
        <f t="shared" si="8"/>
        <v>70.298900000000003</v>
      </c>
      <c r="Y40" t="s">
        <v>508</v>
      </c>
      <c r="Z40" t="s">
        <v>522</v>
      </c>
      <c r="AA40" t="str">
        <f>_xll.BDH(Y40,$A$1,$C$1,$C$1)</f>
        <v>#N/A Mandatory parameter [FIELDS] cannot be empty</v>
      </c>
    </row>
    <row r="41" spans="1:48" ht="17.25" thickBot="1" x14ac:dyDescent="0.35">
      <c r="A41" s="19" t="s">
        <v>493</v>
      </c>
      <c r="B41" s="20">
        <f>N22</f>
        <v>79.001400000000004</v>
      </c>
      <c r="C41" s="32">
        <f>AB22</f>
        <v>36.445</v>
      </c>
      <c r="T41" s="26">
        <f t="shared" si="6"/>
        <v>44676</v>
      </c>
      <c r="U41" s="27" t="str">
        <f t="shared" si="7"/>
        <v>Normal</v>
      </c>
      <c r="V41" s="27" t="str">
        <f t="shared" si="8"/>
        <v>2Y15Y</v>
      </c>
      <c r="W41" s="18">
        <f t="shared" si="8"/>
        <v>75.332499999999996</v>
      </c>
      <c r="Y41" t="s">
        <v>509</v>
      </c>
      <c r="Z41" t="s">
        <v>523</v>
      </c>
      <c r="AA41" t="str">
        <f>_xll.BDH(Y41,$A$1,$C$1,$C$1)</f>
        <v>#N/A Mandatory parameter [FIELDS] cannot be empty</v>
      </c>
    </row>
    <row r="42" spans="1:48" ht="16.5" x14ac:dyDescent="0.3">
      <c r="T42" s="26">
        <f t="shared" si="6"/>
        <v>44676</v>
      </c>
      <c r="U42" s="27" t="str">
        <f t="shared" si="7"/>
        <v>Normal</v>
      </c>
      <c r="V42" s="27" t="str">
        <f t="shared" si="8"/>
        <v>1Y20Y</v>
      </c>
      <c r="W42" s="18">
        <f t="shared" si="8"/>
        <v>79.001400000000004</v>
      </c>
      <c r="Y42" t="s">
        <v>510</v>
      </c>
      <c r="Z42" t="s">
        <v>524</v>
      </c>
      <c r="AA42" t="str">
        <f>_xll.BDH(Y42,$A$1,$C$1,$C$1)</f>
        <v>#N/A Mandatory parameter [FIELDS] cannot be empty</v>
      </c>
    </row>
    <row r="43" spans="1:48" ht="16.5" x14ac:dyDescent="0.3">
      <c r="T43" s="26">
        <f t="shared" si="6"/>
        <v>44676</v>
      </c>
      <c r="U43" s="27" t="str">
        <f>$C$32</f>
        <v>Black</v>
      </c>
      <c r="V43" s="27" t="s">
        <v>478</v>
      </c>
      <c r="W43" s="18">
        <f>C33</f>
        <v>48.411000000000001</v>
      </c>
      <c r="Y43" t="s">
        <v>511</v>
      </c>
      <c r="Z43" t="s">
        <v>525</v>
      </c>
      <c r="AA43" t="str">
        <f>_xll.BDH(Y43,$A$1,$C$1,$C$1)</f>
        <v>#N/A Mandatory parameter [FIELDS] cannot be empty</v>
      </c>
    </row>
    <row r="44" spans="1:48" ht="16.5" x14ac:dyDescent="0.3">
      <c r="B44" s="66"/>
      <c r="C44" s="66"/>
      <c r="T44" s="26">
        <f t="shared" si="6"/>
        <v>44676</v>
      </c>
      <c r="U44" s="27" t="str">
        <f t="shared" ref="U44:U51" si="9">$C$32</f>
        <v>Black</v>
      </c>
      <c r="V44" s="27" t="s">
        <v>480</v>
      </c>
      <c r="W44" s="18">
        <f t="shared" ref="W44:W51" si="10">C34</f>
        <v>30.934999999999999</v>
      </c>
      <c r="Y44" t="s">
        <v>512</v>
      </c>
      <c r="Z44" t="s">
        <v>526</v>
      </c>
      <c r="AA44" t="str">
        <f>_xll.BDH(Y44,$A$1,$C$1,$C$1)</f>
        <v>#N/A Mandatory parameter [FIELDS] cannot be empty</v>
      </c>
    </row>
    <row r="45" spans="1:48" ht="16.5" x14ac:dyDescent="0.3">
      <c r="T45" s="26">
        <f t="shared" si="6"/>
        <v>44676</v>
      </c>
      <c r="U45" s="27" t="str">
        <f t="shared" si="9"/>
        <v>Black</v>
      </c>
      <c r="V45" s="27" t="s">
        <v>482</v>
      </c>
      <c r="W45" s="18">
        <f t="shared" si="10"/>
        <v>23.52</v>
      </c>
      <c r="Y45" t="s">
        <v>513</v>
      </c>
      <c r="Z45" t="s">
        <v>527</v>
      </c>
      <c r="AA45" t="str">
        <f>_xll.BDH(Y45,$A$1,$C$1,$C$1)</f>
        <v>#N/A Mandatory parameter [FIELDS] cannot be empty</v>
      </c>
    </row>
    <row r="46" spans="1:48" ht="16.5" x14ac:dyDescent="0.3">
      <c r="T46" s="26">
        <f t="shared" si="6"/>
        <v>44676</v>
      </c>
      <c r="U46" s="27" t="str">
        <f t="shared" si="9"/>
        <v>Black</v>
      </c>
      <c r="V46" s="27" t="s">
        <v>484</v>
      </c>
      <c r="W46" s="18">
        <f t="shared" si="10"/>
        <v>21.86</v>
      </c>
      <c r="Y46" t="s">
        <v>514</v>
      </c>
      <c r="Z46" t="s">
        <v>528</v>
      </c>
      <c r="AA46" t="str">
        <f>_xll.BDH(Y46,$A$1,$C$1,$C$1)</f>
        <v>#N/A Mandatory parameter [FIELDS] cannot be empty</v>
      </c>
    </row>
    <row r="47" spans="1:48" ht="16.5" x14ac:dyDescent="0.3">
      <c r="B47" s="40"/>
      <c r="T47" s="26">
        <f t="shared" si="6"/>
        <v>44676</v>
      </c>
      <c r="U47" s="27" t="str">
        <f t="shared" si="9"/>
        <v>Black</v>
      </c>
      <c r="V47" s="27" t="s">
        <v>477</v>
      </c>
      <c r="W47" s="18">
        <f t="shared" si="10"/>
        <v>22.814</v>
      </c>
      <c r="Y47" t="s">
        <v>515</v>
      </c>
      <c r="Z47" t="s">
        <v>529</v>
      </c>
      <c r="AA47" t="str">
        <f>_xll.BDH(Y47,$A$1,$C$1,$C$1)</f>
        <v>#N/A Mandatory parameter [FIELDS] cannot be empty</v>
      </c>
    </row>
    <row r="48" spans="1:48" x14ac:dyDescent="0.3">
      <c r="B48" s="11"/>
      <c r="T48" s="26">
        <f t="shared" si="6"/>
        <v>44676</v>
      </c>
      <c r="U48" s="27" t="str">
        <f t="shared" si="9"/>
        <v>Black</v>
      </c>
      <c r="V48" s="27" t="s">
        <v>486</v>
      </c>
      <c r="W48" s="18">
        <f t="shared" si="10"/>
        <v>23.31</v>
      </c>
    </row>
    <row r="49" spans="1:23" x14ac:dyDescent="0.3">
      <c r="B49" s="11"/>
      <c r="T49" s="26">
        <f t="shared" si="6"/>
        <v>44676</v>
      </c>
      <c r="U49" s="27" t="str">
        <f t="shared" si="9"/>
        <v>Black</v>
      </c>
      <c r="V49" s="27" t="s">
        <v>488</v>
      </c>
      <c r="W49" s="18">
        <f t="shared" si="10"/>
        <v>25.3</v>
      </c>
    </row>
    <row r="50" spans="1:23" x14ac:dyDescent="0.3">
      <c r="B50" s="11"/>
      <c r="T50" s="26">
        <f t="shared" si="6"/>
        <v>44676</v>
      </c>
      <c r="U50" s="27" t="str">
        <f t="shared" si="9"/>
        <v>Black</v>
      </c>
      <c r="V50" s="27" t="s">
        <v>490</v>
      </c>
      <c r="W50" s="18">
        <f t="shared" si="10"/>
        <v>28.678999999999998</v>
      </c>
    </row>
    <row r="51" spans="1:23" ht="14.25" thickBot="1" x14ac:dyDescent="0.35">
      <c r="B51" s="11"/>
      <c r="T51" s="28">
        <f t="shared" si="6"/>
        <v>44676</v>
      </c>
      <c r="U51" s="29" t="str">
        <f t="shared" si="9"/>
        <v>Black</v>
      </c>
      <c r="V51" s="29" t="s">
        <v>492</v>
      </c>
      <c r="W51" s="21">
        <f t="shared" si="10"/>
        <v>36.445</v>
      </c>
    </row>
    <row r="52" spans="1:23" x14ac:dyDescent="0.3">
      <c r="B52" s="11"/>
      <c r="T52" s="2"/>
    </row>
    <row r="53" spans="1:23" x14ac:dyDescent="0.3">
      <c r="B53" s="11"/>
      <c r="T53" s="2"/>
    </row>
    <row r="54" spans="1:23" x14ac:dyDescent="0.3">
      <c r="B54" s="11"/>
      <c r="T54" s="2"/>
    </row>
    <row r="55" spans="1:23" x14ac:dyDescent="0.3">
      <c r="B55" s="11"/>
      <c r="T55" s="2"/>
    </row>
    <row r="56" spans="1:23" ht="16.5" customHeight="1" x14ac:dyDescent="0.3">
      <c r="A56" s="68" t="s">
        <v>536</v>
      </c>
      <c r="B56" s="69"/>
      <c r="C56" s="69"/>
      <c r="D56" s="69"/>
      <c r="E56" s="69"/>
      <c r="F56" s="69"/>
      <c r="G56" s="69"/>
      <c r="H56" s="69"/>
      <c r="T56" s="2"/>
    </row>
    <row r="57" spans="1:23" ht="16.5" customHeight="1" x14ac:dyDescent="0.3">
      <c r="A57" s="68"/>
      <c r="B57" s="69"/>
      <c r="C57" s="69"/>
      <c r="D57" s="69"/>
      <c r="E57" s="69"/>
      <c r="F57" s="69"/>
      <c r="G57" s="69"/>
      <c r="H57" s="69"/>
      <c r="T57" s="2"/>
    </row>
    <row r="58" spans="1:23" x14ac:dyDescent="0.3">
      <c r="T58" s="2"/>
    </row>
    <row r="59" spans="1:23" x14ac:dyDescent="0.3">
      <c r="T59" s="2"/>
    </row>
    <row r="60" spans="1:23" x14ac:dyDescent="0.3">
      <c r="T60" s="2"/>
    </row>
    <row r="61" spans="1:23" x14ac:dyDescent="0.3">
      <c r="T61" s="2"/>
    </row>
    <row r="62" spans="1:23" x14ac:dyDescent="0.3">
      <c r="T62" s="2"/>
    </row>
    <row r="88" spans="20:20" x14ac:dyDescent="0.3">
      <c r="T88" s="1" t="s">
        <v>535</v>
      </c>
    </row>
  </sheetData>
  <mergeCells count="5">
    <mergeCell ref="C16:N16"/>
    <mergeCell ref="A18:A30"/>
    <mergeCell ref="O18:O30"/>
    <mergeCell ref="B44:C44"/>
    <mergeCell ref="A56:H5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LACKCSVSave">
                <anchor moveWithCells="1" sizeWithCells="1">
                  <from>
                    <xdr:col>0</xdr:col>
                    <xdr:colOff>771525</xdr:colOff>
                    <xdr:row>42</xdr:row>
                    <xdr:rowOff>47625</xdr:rowOff>
                  </from>
                  <to>
                    <xdr:col>2</xdr:col>
                    <xdr:colOff>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NormalCSVSave">
                <anchor moveWithCells="1" sizeWithCells="1">
                  <from>
                    <xdr:col>0</xdr:col>
                    <xdr:colOff>809625</xdr:colOff>
                    <xdr:row>45</xdr:row>
                    <xdr:rowOff>123825</xdr:rowOff>
                  </from>
                  <to>
                    <xdr:col>2</xdr:col>
                    <xdr:colOff>38100</xdr:colOff>
                    <xdr:row>48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0.79998168889431442"/>
  </sheetPr>
  <dimension ref="A1:AV96"/>
  <sheetViews>
    <sheetView zoomScale="55" zoomScaleNormal="55" workbookViewId="0">
      <selection activeCell="C24" sqref="C24:N24"/>
    </sheetView>
  </sheetViews>
  <sheetFormatPr defaultRowHeight="13.5" x14ac:dyDescent="0.3"/>
  <cols>
    <col min="1" max="1" width="14.875" style="1" bestFit="1" customWidth="1"/>
    <col min="2" max="2" width="13" style="1" customWidth="1"/>
    <col min="3" max="3" width="10.25" style="1" customWidth="1"/>
    <col min="4" max="4" width="12.5" style="1" customWidth="1"/>
    <col min="5" max="5" width="10.875" style="1" customWidth="1"/>
    <col min="6" max="6" width="7.75" style="1" customWidth="1"/>
    <col min="7" max="7" width="8.375" style="1" customWidth="1"/>
    <col min="8" max="8" width="12.5" style="1" customWidth="1"/>
    <col min="9" max="9" width="8.375" style="1" customWidth="1"/>
    <col min="10" max="10" width="11.75" style="1" customWidth="1"/>
    <col min="11" max="11" width="8" style="1" customWidth="1"/>
    <col min="12" max="12" width="8.625" style="1" customWidth="1"/>
    <col min="13" max="13" width="13.375" style="1" customWidth="1"/>
    <col min="14" max="14" width="21" style="1" bestFit="1" customWidth="1"/>
    <col min="15" max="15" width="9" style="1"/>
    <col min="16" max="16" width="12.125" style="1" customWidth="1"/>
    <col min="17" max="19" width="9" style="1"/>
    <col min="20" max="20" width="11" style="1" bestFit="1" customWidth="1"/>
    <col min="21" max="16384" width="9" style="1"/>
  </cols>
  <sheetData>
    <row r="1" spans="1:33" ht="16.5" x14ac:dyDescent="0.3">
      <c r="B1" s="1" t="s">
        <v>171</v>
      </c>
      <c r="C1" t="s">
        <v>2798</v>
      </c>
    </row>
    <row r="2" spans="1:33" ht="15" x14ac:dyDescent="0.25">
      <c r="A2" s="5" t="s">
        <v>174</v>
      </c>
      <c r="B2" s="1" t="s">
        <v>171</v>
      </c>
      <c r="C2" s="37" t="s">
        <v>302</v>
      </c>
      <c r="D2" s="37" t="s">
        <v>303</v>
      </c>
      <c r="E2" s="37" t="s">
        <v>304</v>
      </c>
      <c r="F2" s="37" t="s">
        <v>305</v>
      </c>
      <c r="G2" s="37" t="s">
        <v>306</v>
      </c>
      <c r="H2" s="37" t="s">
        <v>307</v>
      </c>
      <c r="I2" s="37" t="s">
        <v>308</v>
      </c>
      <c r="J2" s="37" t="s">
        <v>309</v>
      </c>
      <c r="K2" s="37" t="s">
        <v>310</v>
      </c>
      <c r="L2" s="37" t="s">
        <v>311</v>
      </c>
      <c r="M2" s="37" t="s">
        <v>312</v>
      </c>
      <c r="N2" s="37" t="s">
        <v>313</v>
      </c>
      <c r="O2" s="37" t="s">
        <v>533</v>
      </c>
      <c r="P2" s="37" t="s">
        <v>534</v>
      </c>
      <c r="Q2" s="37" t="s">
        <v>534</v>
      </c>
      <c r="S2" s="37" t="s">
        <v>301</v>
      </c>
      <c r="T2" s="37" t="s">
        <v>302</v>
      </c>
      <c r="U2" s="37" t="s">
        <v>303</v>
      </c>
      <c r="V2" s="37" t="s">
        <v>304</v>
      </c>
      <c r="W2" s="37" t="s">
        <v>305</v>
      </c>
      <c r="X2" s="37" t="s">
        <v>306</v>
      </c>
      <c r="Y2" s="37" t="s">
        <v>307</v>
      </c>
      <c r="Z2" s="37" t="s">
        <v>308</v>
      </c>
      <c r="AA2" s="37" t="s">
        <v>309</v>
      </c>
      <c r="AB2" s="37" t="s">
        <v>310</v>
      </c>
      <c r="AC2" s="37" t="s">
        <v>311</v>
      </c>
      <c r="AD2" s="37" t="s">
        <v>312</v>
      </c>
      <c r="AE2" s="37" t="s">
        <v>313</v>
      </c>
      <c r="AF2" s="37" t="s">
        <v>533</v>
      </c>
      <c r="AG2" s="37" t="s">
        <v>534</v>
      </c>
    </row>
    <row r="3" spans="1:33" ht="16.5" x14ac:dyDescent="0.3">
      <c r="A3" s="5" t="s">
        <v>175</v>
      </c>
      <c r="B3" s="38" t="s">
        <v>314</v>
      </c>
      <c r="C3" s="38" t="str">
        <f>T3&amp;$C$1</f>
        <v>KWSN0A1  BBIR Curncy</v>
      </c>
      <c r="D3" s="38" t="str">
        <f t="shared" ref="D3:Q18" si="0">U3&amp;$C$1</f>
        <v>KWSN0A2  BBIR Curncy</v>
      </c>
      <c r="E3" s="38" t="str">
        <f t="shared" si="0"/>
        <v>KWSN0A3  BBIR Curncy</v>
      </c>
      <c r="F3" s="38" t="str">
        <f t="shared" si="0"/>
        <v>KWSN0A4  BBIR Curncy</v>
      </c>
      <c r="G3" s="38" t="str">
        <f t="shared" si="0"/>
        <v>KWSN0A5  BBIR Curncy</v>
      </c>
      <c r="H3" s="38" t="str">
        <f t="shared" si="0"/>
        <v>KWSN0A6  BBIR Curncy</v>
      </c>
      <c r="I3" s="38" t="str">
        <f t="shared" si="0"/>
        <v>KWSN0A7  BBIR Curncy</v>
      </c>
      <c r="J3" s="38" t="str">
        <f t="shared" si="0"/>
        <v>KWSN0A8  BBIR Curncy</v>
      </c>
      <c r="K3" s="38" t="str">
        <f t="shared" si="0"/>
        <v>KWSN0A9  BBIR Curncy</v>
      </c>
      <c r="L3" s="38" t="str">
        <f t="shared" si="0"/>
        <v>KWSN0A10 BBIR Curncy</v>
      </c>
      <c r="M3" s="38" t="str">
        <f t="shared" si="0"/>
        <v>KWSN0A15 BBIR Curncy</v>
      </c>
      <c r="N3" s="38" t="str">
        <f t="shared" si="0"/>
        <v>KWSN0A20 BBIR Curncy</v>
      </c>
      <c r="O3" s="38" t="str">
        <f t="shared" si="0"/>
        <v>KWSN0A25 BBIR Curncy</v>
      </c>
      <c r="P3" s="38" t="str">
        <f t="shared" si="0"/>
        <v>KWSN0A30 BBIR Curncy</v>
      </c>
      <c r="Q3" s="38" t="str">
        <f t="shared" si="0"/>
        <v xml:space="preserve"> BBIR Curncy</v>
      </c>
      <c r="S3" s="38" t="s">
        <v>314</v>
      </c>
      <c r="T3" s="38" t="s">
        <v>614</v>
      </c>
      <c r="U3" s="38" t="s">
        <v>628</v>
      </c>
      <c r="V3" s="38" t="s">
        <v>642</v>
      </c>
      <c r="W3" s="38" t="s">
        <v>656</v>
      </c>
      <c r="X3" s="38" t="s">
        <v>670</v>
      </c>
      <c r="Y3" s="38" t="s">
        <v>684</v>
      </c>
      <c r="Z3" s="38" t="s">
        <v>698</v>
      </c>
      <c r="AA3" s="38" t="s">
        <v>712</v>
      </c>
      <c r="AB3" s="38" t="s">
        <v>726</v>
      </c>
      <c r="AC3" s="38" t="s">
        <v>740</v>
      </c>
      <c r="AD3" s="38" t="s">
        <v>754</v>
      </c>
      <c r="AE3" s="38" t="s">
        <v>768</v>
      </c>
      <c r="AF3" s="38" t="s">
        <v>3084</v>
      </c>
      <c r="AG3" s="38" t="s">
        <v>3085</v>
      </c>
    </row>
    <row r="4" spans="1:33" ht="16.5" x14ac:dyDescent="0.3">
      <c r="B4" s="38" t="s">
        <v>3256</v>
      </c>
      <c r="C4" s="38" t="str">
        <f t="shared" ref="C4:C22" si="1">T4&amp;$C$1</f>
        <v>KWSN0B1  BBIR Curncy</v>
      </c>
      <c r="D4" s="38" t="str">
        <f t="shared" si="0"/>
        <v>KWSN0B2  BBIR Curncy</v>
      </c>
      <c r="E4" s="38" t="str">
        <f t="shared" si="0"/>
        <v>KWSN0B3  BBIR Curncy</v>
      </c>
      <c r="F4" s="38" t="str">
        <f t="shared" si="0"/>
        <v>KWSN0B4  BBIR Curncy</v>
      </c>
      <c r="G4" s="38" t="str">
        <f t="shared" si="0"/>
        <v>KWSN0B5  BBIR Curncy</v>
      </c>
      <c r="H4" s="38" t="str">
        <f t="shared" si="0"/>
        <v>KWSN0B6  BBIR Curncy</v>
      </c>
      <c r="I4" s="38" t="str">
        <f t="shared" si="0"/>
        <v>KWSN0B7  BBIR Curncy</v>
      </c>
      <c r="J4" s="38" t="str">
        <f t="shared" si="0"/>
        <v>KWSN0B8  BBIR Curncy</v>
      </c>
      <c r="K4" s="38" t="str">
        <f t="shared" si="0"/>
        <v>KWSN0B9  BBIR Curncy</v>
      </c>
      <c r="L4" s="38" t="str">
        <f t="shared" si="0"/>
        <v>KWSN0B10 BBIR Curncy</v>
      </c>
      <c r="M4" s="38" t="str">
        <f t="shared" si="0"/>
        <v>KWSN0B15 BBIR Curncy</v>
      </c>
      <c r="N4" s="38" t="str">
        <f t="shared" si="0"/>
        <v>KWSN0B20 BBIR Curncy</v>
      </c>
      <c r="O4" s="38" t="str">
        <f t="shared" si="0"/>
        <v>KWSN0B25 BBIR Curncy</v>
      </c>
      <c r="P4" s="38" t="str">
        <f t="shared" si="0"/>
        <v>KWSN0B30 BBIR Curncy</v>
      </c>
      <c r="Q4" s="38" t="str">
        <f t="shared" si="0"/>
        <v xml:space="preserve"> BBIR Curncy</v>
      </c>
      <c r="S4" s="38" t="s">
        <v>3256</v>
      </c>
      <c r="T4" s="38" t="s">
        <v>3086</v>
      </c>
      <c r="U4" s="38" t="s">
        <v>3087</v>
      </c>
      <c r="V4" s="38" t="s">
        <v>3088</v>
      </c>
      <c r="W4" s="38" t="s">
        <v>3089</v>
      </c>
      <c r="X4" s="38" t="s">
        <v>3090</v>
      </c>
      <c r="Y4" s="38" t="s">
        <v>3091</v>
      </c>
      <c r="Z4" s="38" t="s">
        <v>3092</v>
      </c>
      <c r="AA4" s="38" t="s">
        <v>3093</v>
      </c>
      <c r="AB4" s="38" t="s">
        <v>3094</v>
      </c>
      <c r="AC4" s="38" t="s">
        <v>3095</v>
      </c>
      <c r="AD4" s="38" t="s">
        <v>3096</v>
      </c>
      <c r="AE4" s="38" t="s">
        <v>3097</v>
      </c>
      <c r="AF4" s="38" t="s">
        <v>3098</v>
      </c>
      <c r="AG4" s="38" t="s">
        <v>3099</v>
      </c>
    </row>
    <row r="5" spans="1:33" ht="16.5" x14ac:dyDescent="0.3">
      <c r="B5" s="38" t="s">
        <v>315</v>
      </c>
      <c r="C5" s="38" t="str">
        <f t="shared" si="1"/>
        <v>KWSN0C1  BBIR Curncy</v>
      </c>
      <c r="D5" s="38" t="str">
        <f t="shared" si="0"/>
        <v>KWSN0C2  BBIR Curncy</v>
      </c>
      <c r="E5" s="38" t="str">
        <f t="shared" si="0"/>
        <v>KWSN0C3  BBIR Curncy</v>
      </c>
      <c r="F5" s="38" t="str">
        <f t="shared" si="0"/>
        <v>KWSN0C4  BBIR Curncy</v>
      </c>
      <c r="G5" s="38" t="str">
        <f t="shared" si="0"/>
        <v>KWSN0C5  BBIR Curncy</v>
      </c>
      <c r="H5" s="38" t="str">
        <f t="shared" si="0"/>
        <v>KWSN0C6  BBIR Curncy</v>
      </c>
      <c r="I5" s="38" t="str">
        <f t="shared" si="0"/>
        <v>KWSN0C7  BBIR Curncy</v>
      </c>
      <c r="J5" s="38" t="str">
        <f t="shared" si="0"/>
        <v>KWSN0C8  BBIR Curncy</v>
      </c>
      <c r="K5" s="38" t="str">
        <f t="shared" si="0"/>
        <v>KWSN0C9  BBIR Curncy</v>
      </c>
      <c r="L5" s="38" t="str">
        <f t="shared" si="0"/>
        <v>KWSN0C10 BBIR Curncy</v>
      </c>
      <c r="M5" s="38" t="str">
        <f t="shared" si="0"/>
        <v>KWSN0C15 BBIR Curncy</v>
      </c>
      <c r="N5" s="38" t="str">
        <f t="shared" si="0"/>
        <v>KWSN0C20 BBIR Curncy</v>
      </c>
      <c r="O5" s="38" t="str">
        <f t="shared" si="0"/>
        <v>KWSN0C25 BBIR Curncy</v>
      </c>
      <c r="P5" s="38" t="str">
        <f t="shared" si="0"/>
        <v>KWSN0C30 BBIR Curncy</v>
      </c>
      <c r="Q5" s="38" t="str">
        <f t="shared" si="0"/>
        <v xml:space="preserve"> BBIR Curncy</v>
      </c>
      <c r="S5" s="38" t="s">
        <v>315</v>
      </c>
      <c r="T5" s="38" t="s">
        <v>782</v>
      </c>
      <c r="U5" s="38" t="s">
        <v>796</v>
      </c>
      <c r="V5" s="38" t="s">
        <v>810</v>
      </c>
      <c r="W5" s="38" t="s">
        <v>824</v>
      </c>
      <c r="X5" s="38" t="s">
        <v>838</v>
      </c>
      <c r="Y5" s="38" t="s">
        <v>852</v>
      </c>
      <c r="Z5" s="38" t="s">
        <v>866</v>
      </c>
      <c r="AA5" s="38" t="s">
        <v>880</v>
      </c>
      <c r="AB5" s="38" t="s">
        <v>894</v>
      </c>
      <c r="AC5" s="38" t="s">
        <v>908</v>
      </c>
      <c r="AD5" s="38" t="s">
        <v>922</v>
      </c>
      <c r="AE5" s="38" t="s">
        <v>936</v>
      </c>
      <c r="AF5" s="38" t="s">
        <v>3100</v>
      </c>
      <c r="AG5" s="38" t="s">
        <v>3101</v>
      </c>
    </row>
    <row r="6" spans="1:33" ht="16.5" x14ac:dyDescent="0.3">
      <c r="B6" s="38" t="s">
        <v>316</v>
      </c>
      <c r="C6" s="38" t="str">
        <f t="shared" si="1"/>
        <v>KWSN0F1  BBIR Curncy</v>
      </c>
      <c r="D6" s="38" t="str">
        <f t="shared" si="0"/>
        <v>KWSN0F2  BBIR Curncy</v>
      </c>
      <c r="E6" s="38" t="str">
        <f t="shared" si="0"/>
        <v>KWSN0F3  BBIR Curncy</v>
      </c>
      <c r="F6" s="38" t="str">
        <f t="shared" si="0"/>
        <v>KWSN0F4  BBIR Curncy</v>
      </c>
      <c r="G6" s="38" t="str">
        <f t="shared" si="0"/>
        <v>KWSN0F5  BBIR Curncy</v>
      </c>
      <c r="H6" s="38" t="str">
        <f t="shared" si="0"/>
        <v>KWSN0F6  BBIR Curncy</v>
      </c>
      <c r="I6" s="38" t="str">
        <f t="shared" si="0"/>
        <v>KWSN0F7  BBIR Curncy</v>
      </c>
      <c r="J6" s="38" t="str">
        <f t="shared" si="0"/>
        <v>KWSN0F8  BBIR Curncy</v>
      </c>
      <c r="K6" s="38" t="str">
        <f t="shared" si="0"/>
        <v>KWSN0F9  BBIR Curncy</v>
      </c>
      <c r="L6" s="38" t="str">
        <f t="shared" si="0"/>
        <v>KWSN0F10 BBIR Curncy</v>
      </c>
      <c r="M6" s="38" t="str">
        <f t="shared" si="0"/>
        <v>KWSN0F15 BBIR Curncy</v>
      </c>
      <c r="N6" s="38" t="str">
        <f t="shared" si="0"/>
        <v>KWSN0F20 BBIR Curncy</v>
      </c>
      <c r="O6" s="38" t="str">
        <f t="shared" si="0"/>
        <v>KWSN0F25 BBIR Curncy</v>
      </c>
      <c r="P6" s="38" t="str">
        <f t="shared" si="0"/>
        <v>KWSN0F30 BBIR Curncy</v>
      </c>
      <c r="Q6" s="38" t="str">
        <f t="shared" si="0"/>
        <v xml:space="preserve"> BBIR Curncy</v>
      </c>
      <c r="S6" s="38" t="s">
        <v>316</v>
      </c>
      <c r="T6" s="38" t="s">
        <v>950</v>
      </c>
      <c r="U6" s="38" t="s">
        <v>964</v>
      </c>
      <c r="V6" s="38" t="s">
        <v>978</v>
      </c>
      <c r="W6" s="38" t="s">
        <v>992</v>
      </c>
      <c r="X6" s="38" t="s">
        <v>1006</v>
      </c>
      <c r="Y6" s="38" t="s">
        <v>1020</v>
      </c>
      <c r="Z6" s="38" t="s">
        <v>1034</v>
      </c>
      <c r="AA6" s="38" t="s">
        <v>1048</v>
      </c>
      <c r="AB6" s="38" t="s">
        <v>1062</v>
      </c>
      <c r="AC6" s="38" t="s">
        <v>1076</v>
      </c>
      <c r="AD6" s="38" t="s">
        <v>1090</v>
      </c>
      <c r="AE6" s="38" t="s">
        <v>1104</v>
      </c>
      <c r="AF6" s="38" t="s">
        <v>3102</v>
      </c>
      <c r="AG6" s="38" t="s">
        <v>3103</v>
      </c>
    </row>
    <row r="7" spans="1:33" ht="16.5" x14ac:dyDescent="0.3">
      <c r="B7" s="38" t="s">
        <v>317</v>
      </c>
      <c r="C7" s="38" t="str">
        <f t="shared" si="1"/>
        <v>KWSN0I1  BBIR Curncy</v>
      </c>
      <c r="D7" s="38" t="str">
        <f t="shared" si="0"/>
        <v>KWSN0I2  BBIR Curncy</v>
      </c>
      <c r="E7" s="38" t="str">
        <f t="shared" si="0"/>
        <v>KWSN0I3  BBIR Curncy</v>
      </c>
      <c r="F7" s="38" t="str">
        <f t="shared" si="0"/>
        <v>KWSN0I4  BBIR Curncy</v>
      </c>
      <c r="G7" s="38" t="str">
        <f t="shared" si="0"/>
        <v>KWSN0I5  BBIR Curncy</v>
      </c>
      <c r="H7" s="38" t="str">
        <f t="shared" si="0"/>
        <v>KWSN0I6  BBIR Curncy</v>
      </c>
      <c r="I7" s="38" t="str">
        <f t="shared" si="0"/>
        <v>KWSN0I7  BBIR Curncy</v>
      </c>
      <c r="J7" s="38" t="str">
        <f t="shared" si="0"/>
        <v>KWSN0I8  BBIR Curncy</v>
      </c>
      <c r="K7" s="38" t="str">
        <f t="shared" si="0"/>
        <v>KWSN0I9  BBIR Curncy</v>
      </c>
      <c r="L7" s="38" t="str">
        <f t="shared" si="0"/>
        <v>KWSN0I10 BBIR Curncy</v>
      </c>
      <c r="M7" s="38" t="str">
        <f t="shared" si="0"/>
        <v>KWSN0I15 BBIR Curncy</v>
      </c>
      <c r="N7" s="38" t="str">
        <f t="shared" si="0"/>
        <v>KWSN0I20 BBIR Curncy</v>
      </c>
      <c r="O7" s="38" t="str">
        <f t="shared" si="0"/>
        <v>KWSN0I25 BBIR Curncy</v>
      </c>
      <c r="P7" s="38" t="str">
        <f t="shared" si="0"/>
        <v>KWSN0I30 BBIR Curncy</v>
      </c>
      <c r="Q7" s="38" t="str">
        <f t="shared" si="0"/>
        <v xml:space="preserve"> BBIR Curncy</v>
      </c>
      <c r="S7" s="38" t="s">
        <v>317</v>
      </c>
      <c r="T7" s="38" t="s">
        <v>3104</v>
      </c>
      <c r="U7" s="38" t="s">
        <v>3105</v>
      </c>
      <c r="V7" s="38" t="s">
        <v>3106</v>
      </c>
      <c r="W7" s="38" t="s">
        <v>3107</v>
      </c>
      <c r="X7" s="38" t="s">
        <v>3108</v>
      </c>
      <c r="Y7" s="38" t="s">
        <v>3109</v>
      </c>
      <c r="Z7" s="38" t="s">
        <v>3110</v>
      </c>
      <c r="AA7" s="38" t="s">
        <v>3111</v>
      </c>
      <c r="AB7" s="38" t="s">
        <v>3112</v>
      </c>
      <c r="AC7" s="38" t="s">
        <v>3113</v>
      </c>
      <c r="AD7" s="38" t="s">
        <v>3114</v>
      </c>
      <c r="AE7" s="38" t="s">
        <v>3115</v>
      </c>
      <c r="AF7" s="38" t="s">
        <v>3116</v>
      </c>
      <c r="AG7" s="38" t="s">
        <v>3117</v>
      </c>
    </row>
    <row r="8" spans="1:33" ht="16.5" x14ac:dyDescent="0.3">
      <c r="B8" s="38" t="s">
        <v>302</v>
      </c>
      <c r="C8" s="38" t="str">
        <f t="shared" si="1"/>
        <v>KWSN011  BBIR Curncy</v>
      </c>
      <c r="D8" s="38" t="str">
        <f t="shared" si="0"/>
        <v>KWSN012  BBIR Curncy</v>
      </c>
      <c r="E8" s="38" t="str">
        <f t="shared" si="0"/>
        <v>KWSN013  BBIR Curncy</v>
      </c>
      <c r="F8" s="38" t="str">
        <f t="shared" si="0"/>
        <v>KWSN014  BBIR Curncy</v>
      </c>
      <c r="G8" s="38" t="str">
        <f t="shared" si="0"/>
        <v>KWSN015  BBIR Curncy</v>
      </c>
      <c r="H8" s="38" t="str">
        <f t="shared" si="0"/>
        <v>KWSN016  BBIR Curncy</v>
      </c>
      <c r="I8" s="38" t="str">
        <f t="shared" si="0"/>
        <v>KWSN017  BBIR Curncy</v>
      </c>
      <c r="J8" s="38" t="str">
        <f t="shared" si="0"/>
        <v>KWSN018  BBIR Curncy</v>
      </c>
      <c r="K8" s="38" t="str">
        <f t="shared" si="0"/>
        <v>KWSN019  BBIR Curncy</v>
      </c>
      <c r="L8" s="38" t="str">
        <f t="shared" si="0"/>
        <v>KWSN0110 BBIR Curncy</v>
      </c>
      <c r="M8" s="38" t="str">
        <f t="shared" si="0"/>
        <v>KWSN0115 BBIR Curncy</v>
      </c>
      <c r="N8" s="38" t="str">
        <f t="shared" si="0"/>
        <v>KWSN0120 BBIR Curncy</v>
      </c>
      <c r="O8" s="38" t="str">
        <f t="shared" si="0"/>
        <v>KWSN0125 BBIR Curncy</v>
      </c>
      <c r="P8" s="38" t="str">
        <f t="shared" si="0"/>
        <v>KWSN0130 BBIR Curncy</v>
      </c>
      <c r="Q8" s="38" t="str">
        <f t="shared" si="0"/>
        <v xml:space="preserve"> BBIR Curncy</v>
      </c>
      <c r="S8" s="38" t="s">
        <v>302</v>
      </c>
      <c r="T8" s="38" t="s">
        <v>1118</v>
      </c>
      <c r="U8" s="38" t="s">
        <v>1132</v>
      </c>
      <c r="V8" s="38" t="s">
        <v>1146</v>
      </c>
      <c r="W8" s="38" t="s">
        <v>1160</v>
      </c>
      <c r="X8" s="38" t="s">
        <v>1174</v>
      </c>
      <c r="Y8" s="38" t="s">
        <v>1188</v>
      </c>
      <c r="Z8" s="38" t="s">
        <v>1202</v>
      </c>
      <c r="AA8" s="38" t="s">
        <v>1216</v>
      </c>
      <c r="AB8" s="38" t="s">
        <v>1230</v>
      </c>
      <c r="AC8" s="38" t="s">
        <v>1244</v>
      </c>
      <c r="AD8" s="38" t="s">
        <v>1258</v>
      </c>
      <c r="AE8" s="38" t="s">
        <v>1272</v>
      </c>
      <c r="AF8" s="38" t="s">
        <v>3118</v>
      </c>
      <c r="AG8" s="38" t="s">
        <v>3119</v>
      </c>
    </row>
    <row r="9" spans="1:33" ht="16.5" x14ac:dyDescent="0.3">
      <c r="B9" s="38" t="s">
        <v>3257</v>
      </c>
      <c r="C9" s="38" t="str">
        <f t="shared" si="1"/>
        <v>KWSN1F1  BBIR Curncy</v>
      </c>
      <c r="D9" s="38" t="str">
        <f t="shared" si="0"/>
        <v>KWSN1F2  BBIR Curncy</v>
      </c>
      <c r="E9" s="38" t="str">
        <f t="shared" si="0"/>
        <v>KWSN1F3  BBIR Curncy</v>
      </c>
      <c r="F9" s="38" t="str">
        <f t="shared" si="0"/>
        <v>KWSN1F4  BBIR Curncy</v>
      </c>
      <c r="G9" s="38" t="str">
        <f t="shared" si="0"/>
        <v>KWSN1F5  BBIR Curncy</v>
      </c>
      <c r="H9" s="38" t="str">
        <f t="shared" si="0"/>
        <v>KWSN1F6  BBIR Curncy</v>
      </c>
      <c r="I9" s="38" t="str">
        <f t="shared" si="0"/>
        <v>KWSN1F7  BBIR Curncy</v>
      </c>
      <c r="J9" s="38" t="str">
        <f t="shared" si="0"/>
        <v>KWSN1F8  BBIR Curncy</v>
      </c>
      <c r="K9" s="38" t="str">
        <f t="shared" si="0"/>
        <v>KWSN1F9  BBIR Curncy</v>
      </c>
      <c r="L9" s="38" t="str">
        <f t="shared" si="0"/>
        <v>KWSN1F10 BBIR Curncy</v>
      </c>
      <c r="M9" s="38" t="str">
        <f t="shared" si="0"/>
        <v>KWSN1F15 BBIR Curncy</v>
      </c>
      <c r="N9" s="38" t="str">
        <f t="shared" si="0"/>
        <v>KWSN1F20 BBIR Curncy</v>
      </c>
      <c r="O9" s="38" t="str">
        <f t="shared" si="0"/>
        <v>KWSN1F25 BBIR Curncy</v>
      </c>
      <c r="P9" s="38" t="str">
        <f t="shared" si="0"/>
        <v>KWSN1F30 BBIR Curncy</v>
      </c>
      <c r="Q9" s="38" t="str">
        <f t="shared" si="0"/>
        <v xml:space="preserve"> BBIR Curncy</v>
      </c>
      <c r="S9" s="38" t="s">
        <v>3257</v>
      </c>
      <c r="T9" s="38" t="s">
        <v>3120</v>
      </c>
      <c r="U9" s="38" t="s">
        <v>3121</v>
      </c>
      <c r="V9" s="38" t="s">
        <v>3122</v>
      </c>
      <c r="W9" s="38" t="s">
        <v>3123</v>
      </c>
      <c r="X9" s="38" t="s">
        <v>3124</v>
      </c>
      <c r="Y9" s="38" t="s">
        <v>3125</v>
      </c>
      <c r="Z9" s="38" t="s">
        <v>3126</v>
      </c>
      <c r="AA9" s="38" t="s">
        <v>3127</v>
      </c>
      <c r="AB9" s="38" t="s">
        <v>3128</v>
      </c>
      <c r="AC9" s="38" t="s">
        <v>3129</v>
      </c>
      <c r="AD9" s="38" t="s">
        <v>3130</v>
      </c>
      <c r="AE9" s="38" t="s">
        <v>3131</v>
      </c>
      <c r="AF9" s="38" t="s">
        <v>3132</v>
      </c>
      <c r="AG9" s="38" t="s">
        <v>3133</v>
      </c>
    </row>
    <row r="10" spans="1:33" ht="16.5" x14ac:dyDescent="0.3">
      <c r="B10" s="38" t="s">
        <v>303</v>
      </c>
      <c r="C10" s="38" t="str">
        <f t="shared" si="1"/>
        <v>KWSN021  BBIR Curncy</v>
      </c>
      <c r="D10" s="38" t="str">
        <f t="shared" si="0"/>
        <v>KWSN022  BBIR Curncy</v>
      </c>
      <c r="E10" s="38" t="str">
        <f t="shared" si="0"/>
        <v>KWSN023  BBIR Curncy</v>
      </c>
      <c r="F10" s="38" t="str">
        <f t="shared" si="0"/>
        <v>KWSN024  BBIR Curncy</v>
      </c>
      <c r="G10" s="38" t="str">
        <f t="shared" si="0"/>
        <v>KWSN025  BBIR Curncy</v>
      </c>
      <c r="H10" s="38" t="str">
        <f t="shared" si="0"/>
        <v>KWSN026  BBIR Curncy</v>
      </c>
      <c r="I10" s="38" t="str">
        <f t="shared" si="0"/>
        <v>KWSN027  BBIR Curncy</v>
      </c>
      <c r="J10" s="38" t="str">
        <f t="shared" si="0"/>
        <v>KWSN028  BBIR Curncy</v>
      </c>
      <c r="K10" s="38" t="str">
        <f t="shared" si="0"/>
        <v>KWSN029  BBIR Curncy</v>
      </c>
      <c r="L10" s="38" t="str">
        <f t="shared" si="0"/>
        <v>KWSN0210 BBIR Curncy</v>
      </c>
      <c r="M10" s="38" t="str">
        <f t="shared" si="0"/>
        <v>KWSN0215 BBIR Curncy</v>
      </c>
      <c r="N10" s="38" t="str">
        <f t="shared" si="0"/>
        <v>KWSN0220 BBIR Curncy</v>
      </c>
      <c r="O10" s="38" t="str">
        <f t="shared" si="0"/>
        <v>KWSN0225 BBIR Curncy</v>
      </c>
      <c r="P10" s="38" t="str">
        <f t="shared" si="0"/>
        <v>KWSN0230 BBIR Curncy</v>
      </c>
      <c r="Q10" s="38" t="str">
        <f t="shared" si="0"/>
        <v xml:space="preserve"> BBIR Curncy</v>
      </c>
      <c r="S10" s="38" t="s">
        <v>303</v>
      </c>
      <c r="T10" s="38" t="s">
        <v>1286</v>
      </c>
      <c r="U10" s="38" t="s">
        <v>1300</v>
      </c>
      <c r="V10" s="38" t="s">
        <v>1314</v>
      </c>
      <c r="W10" s="38" t="s">
        <v>1328</v>
      </c>
      <c r="X10" s="38" t="s">
        <v>1342</v>
      </c>
      <c r="Y10" s="38" t="s">
        <v>1356</v>
      </c>
      <c r="Z10" s="38" t="s">
        <v>1370</v>
      </c>
      <c r="AA10" s="38" t="s">
        <v>1384</v>
      </c>
      <c r="AB10" s="38" t="s">
        <v>1398</v>
      </c>
      <c r="AC10" s="38" t="s">
        <v>1412</v>
      </c>
      <c r="AD10" s="38" t="s">
        <v>1426</v>
      </c>
      <c r="AE10" s="38" t="s">
        <v>1440</v>
      </c>
      <c r="AF10" s="38" t="s">
        <v>3134</v>
      </c>
      <c r="AG10" s="38" t="s">
        <v>3135</v>
      </c>
    </row>
    <row r="11" spans="1:33" ht="16.5" x14ac:dyDescent="0.3">
      <c r="B11" s="38" t="s">
        <v>304</v>
      </c>
      <c r="C11" s="38" t="str">
        <f t="shared" si="1"/>
        <v>KWSN031  BBIR Curncy</v>
      </c>
      <c r="D11" s="38" t="str">
        <f t="shared" si="0"/>
        <v>KWSN032  BBIR Curncy</v>
      </c>
      <c r="E11" s="38" t="str">
        <f t="shared" si="0"/>
        <v>KWSN033  BBIR Curncy</v>
      </c>
      <c r="F11" s="38" t="str">
        <f t="shared" si="0"/>
        <v>KWSN034  BBIR Curncy</v>
      </c>
      <c r="G11" s="38" t="str">
        <f t="shared" si="0"/>
        <v>KWSN035  BBIR Curncy</v>
      </c>
      <c r="H11" s="38" t="str">
        <f t="shared" si="0"/>
        <v>KWSN036  BBIR Curncy</v>
      </c>
      <c r="I11" s="38" t="str">
        <f t="shared" si="0"/>
        <v>KWSN037  BBIR Curncy</v>
      </c>
      <c r="J11" s="38" t="str">
        <f t="shared" si="0"/>
        <v>KWSN038  BBIR Curncy</v>
      </c>
      <c r="K11" s="38" t="str">
        <f t="shared" si="0"/>
        <v>KWSN039  BBIR Curncy</v>
      </c>
      <c r="L11" s="38" t="str">
        <f t="shared" si="0"/>
        <v>KWSN0310 BBIR Curncy</v>
      </c>
      <c r="M11" s="38" t="str">
        <f t="shared" si="0"/>
        <v>KWSN0315 BBIR Curncy</v>
      </c>
      <c r="N11" s="38" t="str">
        <f t="shared" si="0"/>
        <v>KWSN0320 BBIR Curncy</v>
      </c>
      <c r="O11" s="38" t="str">
        <f t="shared" si="0"/>
        <v>KWSN0325 BBIR Curncy</v>
      </c>
      <c r="P11" s="38" t="str">
        <f t="shared" si="0"/>
        <v>KWSN0330 BBIR Curncy</v>
      </c>
      <c r="Q11" s="38" t="str">
        <f t="shared" si="0"/>
        <v xml:space="preserve"> BBIR Curncy</v>
      </c>
      <c r="S11" s="38" t="s">
        <v>304</v>
      </c>
      <c r="T11" s="38" t="s">
        <v>3136</v>
      </c>
      <c r="U11" s="38" t="s">
        <v>3137</v>
      </c>
      <c r="V11" s="38" t="s">
        <v>3138</v>
      </c>
      <c r="W11" s="38" t="s">
        <v>3139</v>
      </c>
      <c r="X11" s="38" t="s">
        <v>3140</v>
      </c>
      <c r="Y11" s="38" t="s">
        <v>3141</v>
      </c>
      <c r="Z11" s="38" t="s">
        <v>3142</v>
      </c>
      <c r="AA11" s="38" t="s">
        <v>3143</v>
      </c>
      <c r="AB11" s="38" t="s">
        <v>3144</v>
      </c>
      <c r="AC11" s="38" t="s">
        <v>3145</v>
      </c>
      <c r="AD11" s="38" t="s">
        <v>3146</v>
      </c>
      <c r="AE11" s="38" t="s">
        <v>3147</v>
      </c>
      <c r="AF11" s="38" t="s">
        <v>3148</v>
      </c>
      <c r="AG11" s="38" t="s">
        <v>3149</v>
      </c>
    </row>
    <row r="12" spans="1:33" ht="16.5" x14ac:dyDescent="0.3">
      <c r="B12" s="38" t="s">
        <v>305</v>
      </c>
      <c r="C12" s="38" t="str">
        <f t="shared" si="1"/>
        <v>KWSN041  BBIR Curncy</v>
      </c>
      <c r="D12" s="38" t="str">
        <f t="shared" si="0"/>
        <v>KWSN042  BBIR Curncy</v>
      </c>
      <c r="E12" s="38" t="str">
        <f t="shared" si="0"/>
        <v>KWSN043  BBIR Curncy</v>
      </c>
      <c r="F12" s="38" t="str">
        <f t="shared" si="0"/>
        <v>KWSN044  BBIR Curncy</v>
      </c>
      <c r="G12" s="38" t="str">
        <f t="shared" si="0"/>
        <v>KWSN045  BBIR Curncy</v>
      </c>
      <c r="H12" s="38" t="str">
        <f t="shared" si="0"/>
        <v>KWSN046  BBIR Curncy</v>
      </c>
      <c r="I12" s="38" t="str">
        <f t="shared" si="0"/>
        <v>KWSN047  BBIR Curncy</v>
      </c>
      <c r="J12" s="38" t="str">
        <f t="shared" si="0"/>
        <v>KWSN048  BBIR Curncy</v>
      </c>
      <c r="K12" s="38" t="str">
        <f t="shared" si="0"/>
        <v>KWSN049  BBIR Curncy</v>
      </c>
      <c r="L12" s="38" t="str">
        <f t="shared" si="0"/>
        <v>KWSN0410 BBIR Curncy</v>
      </c>
      <c r="M12" s="38" t="str">
        <f t="shared" si="0"/>
        <v>KWSN0415 BBIR Curncy</v>
      </c>
      <c r="N12" s="38" t="str">
        <f t="shared" si="0"/>
        <v>KWSN0420 BBIR Curncy</v>
      </c>
      <c r="O12" s="38" t="str">
        <f t="shared" si="0"/>
        <v>KWSN0425 BBIR Curncy</v>
      </c>
      <c r="P12" s="38" t="str">
        <f t="shared" si="0"/>
        <v>KWSN0430 BBIR Curncy</v>
      </c>
      <c r="Q12" s="38" t="str">
        <f t="shared" si="0"/>
        <v xml:space="preserve"> BBIR Curncy</v>
      </c>
      <c r="S12" s="38" t="s">
        <v>305</v>
      </c>
      <c r="T12" s="38" t="s">
        <v>3150</v>
      </c>
      <c r="U12" s="38" t="s">
        <v>3151</v>
      </c>
      <c r="V12" s="38" t="s">
        <v>3152</v>
      </c>
      <c r="W12" s="38" t="s">
        <v>3153</v>
      </c>
      <c r="X12" s="38" t="s">
        <v>3154</v>
      </c>
      <c r="Y12" s="38" t="s">
        <v>3155</v>
      </c>
      <c r="Z12" s="38" t="s">
        <v>3156</v>
      </c>
      <c r="AA12" s="38" t="s">
        <v>3157</v>
      </c>
      <c r="AB12" s="38" t="s">
        <v>3158</v>
      </c>
      <c r="AC12" s="38" t="s">
        <v>3159</v>
      </c>
      <c r="AD12" s="38" t="s">
        <v>3160</v>
      </c>
      <c r="AE12" s="38" t="s">
        <v>3161</v>
      </c>
      <c r="AF12" s="38" t="s">
        <v>3162</v>
      </c>
      <c r="AG12" s="38" t="s">
        <v>3163</v>
      </c>
    </row>
    <row r="13" spans="1:33" ht="16.5" x14ac:dyDescent="0.3">
      <c r="B13" s="38" t="s">
        <v>306</v>
      </c>
      <c r="C13" s="38" t="str">
        <f t="shared" si="1"/>
        <v>KWSN051  BBIR Curncy</v>
      </c>
      <c r="D13" s="38" t="str">
        <f t="shared" si="0"/>
        <v>KWSN052  BBIR Curncy</v>
      </c>
      <c r="E13" s="38" t="str">
        <f t="shared" si="0"/>
        <v>KWSN053  BBIR Curncy</v>
      </c>
      <c r="F13" s="38" t="str">
        <f t="shared" si="0"/>
        <v>KWSN054  BBIR Curncy</v>
      </c>
      <c r="G13" s="38" t="str">
        <f t="shared" si="0"/>
        <v>KWSN055  BBIR Curncy</v>
      </c>
      <c r="H13" s="38" t="str">
        <f t="shared" si="0"/>
        <v>KWSN056  BBIR Curncy</v>
      </c>
      <c r="I13" s="38" t="str">
        <f t="shared" si="0"/>
        <v>KWSN057  BBIR Curncy</v>
      </c>
      <c r="J13" s="38" t="str">
        <f t="shared" si="0"/>
        <v>KWSN058  BBIR Curncy</v>
      </c>
      <c r="K13" s="38" t="str">
        <f t="shared" si="0"/>
        <v>KWSN059  BBIR Curncy</v>
      </c>
      <c r="L13" s="38" t="str">
        <f t="shared" si="0"/>
        <v>KWSN0510 BBIR Curncy</v>
      </c>
      <c r="M13" s="38" t="str">
        <f t="shared" si="0"/>
        <v>KWSN0515 BBIR Curncy</v>
      </c>
      <c r="N13" s="38" t="str">
        <f t="shared" si="0"/>
        <v>KWSN0520 BBIR Curncy</v>
      </c>
      <c r="O13" s="38" t="str">
        <f t="shared" si="0"/>
        <v>KWSN0525 BBIR Curncy</v>
      </c>
      <c r="P13" s="38" t="str">
        <f t="shared" si="0"/>
        <v>KWSN0530 BBIR Curncy</v>
      </c>
      <c r="Q13" s="38" t="str">
        <f t="shared" si="0"/>
        <v xml:space="preserve"> BBIR Curncy</v>
      </c>
      <c r="S13" s="38" t="s">
        <v>306</v>
      </c>
      <c r="T13" s="38" t="s">
        <v>1454</v>
      </c>
      <c r="U13" s="38" t="s">
        <v>1468</v>
      </c>
      <c r="V13" s="38" t="s">
        <v>1482</v>
      </c>
      <c r="W13" s="38" t="s">
        <v>1496</v>
      </c>
      <c r="X13" s="38" t="s">
        <v>1510</v>
      </c>
      <c r="Y13" s="38" t="s">
        <v>1524</v>
      </c>
      <c r="Z13" s="38" t="s">
        <v>1538</v>
      </c>
      <c r="AA13" s="38" t="s">
        <v>1552</v>
      </c>
      <c r="AB13" s="38" t="s">
        <v>1566</v>
      </c>
      <c r="AC13" s="38" t="s">
        <v>1580</v>
      </c>
      <c r="AD13" s="38" t="s">
        <v>1594</v>
      </c>
      <c r="AE13" s="38" t="s">
        <v>1608</v>
      </c>
      <c r="AF13" s="38" t="s">
        <v>3164</v>
      </c>
      <c r="AG13" s="38" t="s">
        <v>3165</v>
      </c>
    </row>
    <row r="14" spans="1:33" ht="16.5" x14ac:dyDescent="0.3">
      <c r="B14" s="38" t="s">
        <v>307</v>
      </c>
      <c r="C14" s="38" t="str">
        <f t="shared" si="1"/>
        <v>KWSN061  BBIR Curncy</v>
      </c>
      <c r="D14" s="38" t="str">
        <f t="shared" si="0"/>
        <v>KWSN062  BBIR Curncy</v>
      </c>
      <c r="E14" s="38" t="str">
        <f t="shared" si="0"/>
        <v>KWSN063  BBIR Curncy</v>
      </c>
      <c r="F14" s="38" t="str">
        <f t="shared" si="0"/>
        <v>KWSN064  BBIR Curncy</v>
      </c>
      <c r="G14" s="38" t="str">
        <f t="shared" si="0"/>
        <v>KWSN065  BBIR Curncy</v>
      </c>
      <c r="H14" s="38" t="str">
        <f t="shared" si="0"/>
        <v>KWSN066  BBIR Curncy</v>
      </c>
      <c r="I14" s="38" t="str">
        <f t="shared" si="0"/>
        <v>KWSN067  BBIR Curncy</v>
      </c>
      <c r="J14" s="38" t="str">
        <f t="shared" si="0"/>
        <v>KWSN068  BBIR Curncy</v>
      </c>
      <c r="K14" s="38" t="str">
        <f t="shared" si="0"/>
        <v>KWSN069  BBIR Curncy</v>
      </c>
      <c r="L14" s="38" t="str">
        <f t="shared" si="0"/>
        <v>KWSN0610 BBIR Curncy</v>
      </c>
      <c r="M14" s="38" t="str">
        <f t="shared" si="0"/>
        <v>KWSN0615 BBIR Curncy</v>
      </c>
      <c r="N14" s="38" t="str">
        <f t="shared" si="0"/>
        <v>KWSN0620 BBIR Curncy</v>
      </c>
      <c r="O14" s="38" t="str">
        <f t="shared" si="0"/>
        <v>KWSN0625 BBIR Curncy</v>
      </c>
      <c r="P14" s="38" t="str">
        <f t="shared" si="0"/>
        <v>KWSN0630 BBIR Curncy</v>
      </c>
      <c r="Q14" s="38" t="str">
        <f t="shared" si="0"/>
        <v xml:space="preserve"> BBIR Curncy</v>
      </c>
      <c r="S14" s="38" t="s">
        <v>307</v>
      </c>
      <c r="T14" s="38" t="s">
        <v>3166</v>
      </c>
      <c r="U14" s="38" t="s">
        <v>3167</v>
      </c>
      <c r="V14" s="38" t="s">
        <v>3168</v>
      </c>
      <c r="W14" s="38" t="s">
        <v>3169</v>
      </c>
      <c r="X14" s="38" t="s">
        <v>3170</v>
      </c>
      <c r="Y14" s="38" t="s">
        <v>3171</v>
      </c>
      <c r="Z14" s="38" t="s">
        <v>3172</v>
      </c>
      <c r="AA14" s="38" t="s">
        <v>3173</v>
      </c>
      <c r="AB14" s="38" t="s">
        <v>3174</v>
      </c>
      <c r="AC14" s="38" t="s">
        <v>3175</v>
      </c>
      <c r="AD14" s="38" t="s">
        <v>3176</v>
      </c>
      <c r="AE14" s="38" t="s">
        <v>3177</v>
      </c>
      <c r="AF14" s="38" t="s">
        <v>3178</v>
      </c>
      <c r="AG14" s="38" t="s">
        <v>3179</v>
      </c>
    </row>
    <row r="15" spans="1:33" ht="16.5" x14ac:dyDescent="0.3">
      <c r="B15" s="38" t="s">
        <v>308</v>
      </c>
      <c r="C15" s="38" t="str">
        <f t="shared" si="1"/>
        <v>KWSN071  BBIR Curncy</v>
      </c>
      <c r="D15" s="38" t="str">
        <f t="shared" si="0"/>
        <v>KWSN072  BBIR Curncy</v>
      </c>
      <c r="E15" s="38" t="str">
        <f t="shared" si="0"/>
        <v>KWSN073  BBIR Curncy</v>
      </c>
      <c r="F15" s="38" t="str">
        <f t="shared" si="0"/>
        <v>KWSN074  BBIR Curncy</v>
      </c>
      <c r="G15" s="38" t="str">
        <f t="shared" si="0"/>
        <v>KWSN075  BBIR Curncy</v>
      </c>
      <c r="H15" s="38" t="str">
        <f t="shared" si="0"/>
        <v>KWSN076  BBIR Curncy</v>
      </c>
      <c r="I15" s="38" t="str">
        <f t="shared" si="0"/>
        <v>KWSN077  BBIR Curncy</v>
      </c>
      <c r="J15" s="38" t="str">
        <f t="shared" si="0"/>
        <v>KWSN078  BBIR Curncy</v>
      </c>
      <c r="K15" s="38" t="str">
        <f t="shared" si="0"/>
        <v>KWSN079  BBIR Curncy</v>
      </c>
      <c r="L15" s="38" t="str">
        <f t="shared" si="0"/>
        <v>KWSN0710 BBIR Curncy</v>
      </c>
      <c r="M15" s="38" t="str">
        <f t="shared" si="0"/>
        <v>KWSN0715 BBIR Curncy</v>
      </c>
      <c r="N15" s="38" t="str">
        <f t="shared" si="0"/>
        <v>KWSN0720 BBIR Curncy</v>
      </c>
      <c r="O15" s="38" t="str">
        <f t="shared" si="0"/>
        <v>KWSN0725 BBIR Curncy</v>
      </c>
      <c r="P15" s="38" t="str">
        <f t="shared" si="0"/>
        <v>KWSN0730 BBIR Curncy</v>
      </c>
      <c r="Q15" s="38" t="str">
        <f t="shared" si="0"/>
        <v xml:space="preserve"> BBIR Curncy</v>
      </c>
      <c r="S15" s="38" t="s">
        <v>308</v>
      </c>
      <c r="T15" s="38" t="s">
        <v>3180</v>
      </c>
      <c r="U15" s="38" t="s">
        <v>3181</v>
      </c>
      <c r="V15" s="38" t="s">
        <v>3182</v>
      </c>
      <c r="W15" s="38" t="s">
        <v>3183</v>
      </c>
      <c r="X15" s="38" t="s">
        <v>3184</v>
      </c>
      <c r="Y15" s="38" t="s">
        <v>3185</v>
      </c>
      <c r="Z15" s="38" t="s">
        <v>3186</v>
      </c>
      <c r="AA15" s="38" t="s">
        <v>3187</v>
      </c>
      <c r="AB15" s="38" t="s">
        <v>3188</v>
      </c>
      <c r="AC15" s="38" t="s">
        <v>3189</v>
      </c>
      <c r="AD15" s="38" t="s">
        <v>3190</v>
      </c>
      <c r="AE15" s="38" t="s">
        <v>3191</v>
      </c>
      <c r="AF15" s="38" t="s">
        <v>3192</v>
      </c>
      <c r="AG15" s="38" t="s">
        <v>3193</v>
      </c>
    </row>
    <row r="16" spans="1:33" ht="16.5" x14ac:dyDescent="0.3">
      <c r="B16" s="38" t="s">
        <v>309</v>
      </c>
      <c r="C16" s="38" t="str">
        <f t="shared" si="1"/>
        <v>KWSN081  BBIR Curncy</v>
      </c>
      <c r="D16" s="38" t="str">
        <f t="shared" si="0"/>
        <v>KWSN082  BBIR Curncy</v>
      </c>
      <c r="E16" s="38" t="str">
        <f t="shared" si="0"/>
        <v>KWSN083  BBIR Curncy</v>
      </c>
      <c r="F16" s="38" t="str">
        <f t="shared" si="0"/>
        <v>KWSN084  BBIR Curncy</v>
      </c>
      <c r="G16" s="38" t="str">
        <f t="shared" si="0"/>
        <v>KWSN085  BBIR Curncy</v>
      </c>
      <c r="H16" s="38" t="str">
        <f t="shared" si="0"/>
        <v>KWSN086  BBIR Curncy</v>
      </c>
      <c r="I16" s="38" t="str">
        <f t="shared" si="0"/>
        <v>KWSN087  BBIR Curncy</v>
      </c>
      <c r="J16" s="38" t="str">
        <f t="shared" si="0"/>
        <v>KWSN088  BBIR Curncy</v>
      </c>
      <c r="K16" s="38" t="str">
        <f t="shared" si="0"/>
        <v>KWSN089  BBIR Curncy</v>
      </c>
      <c r="L16" s="38" t="str">
        <f t="shared" si="0"/>
        <v>KWSN0810 BBIR Curncy</v>
      </c>
      <c r="M16" s="38" t="str">
        <f t="shared" si="0"/>
        <v>KWSN0815 BBIR Curncy</v>
      </c>
      <c r="N16" s="38" t="str">
        <f t="shared" si="0"/>
        <v>KWSN0820 BBIR Curncy</v>
      </c>
      <c r="O16" s="38" t="str">
        <f t="shared" si="0"/>
        <v>KWSN0825 BBIR Curncy</v>
      </c>
      <c r="P16" s="38" t="str">
        <f t="shared" si="0"/>
        <v>KWSN0830 BBIR Curncy</v>
      </c>
      <c r="Q16" s="38" t="str">
        <f t="shared" si="0"/>
        <v xml:space="preserve"> BBIR Curncy</v>
      </c>
      <c r="S16" s="38" t="s">
        <v>309</v>
      </c>
      <c r="T16" s="38" t="s">
        <v>3194</v>
      </c>
      <c r="U16" s="38" t="s">
        <v>3195</v>
      </c>
      <c r="V16" s="38" t="s">
        <v>3196</v>
      </c>
      <c r="W16" s="38" t="s">
        <v>3197</v>
      </c>
      <c r="X16" s="38" t="s">
        <v>3198</v>
      </c>
      <c r="Y16" s="38" t="s">
        <v>3199</v>
      </c>
      <c r="Z16" s="38" t="s">
        <v>3200</v>
      </c>
      <c r="AA16" s="38" t="s">
        <v>3201</v>
      </c>
      <c r="AB16" s="38" t="s">
        <v>3202</v>
      </c>
      <c r="AC16" s="38" t="s">
        <v>3203</v>
      </c>
      <c r="AD16" s="38" t="s">
        <v>3204</v>
      </c>
      <c r="AE16" s="38" t="s">
        <v>3205</v>
      </c>
      <c r="AF16" s="38" t="s">
        <v>3206</v>
      </c>
      <c r="AG16" s="38" t="s">
        <v>3207</v>
      </c>
    </row>
    <row r="17" spans="1:48" ht="16.5" x14ac:dyDescent="0.3">
      <c r="B17" s="38" t="s">
        <v>310</v>
      </c>
      <c r="C17" s="38" t="str">
        <f t="shared" si="1"/>
        <v>KWSN091  BBIR Curncy</v>
      </c>
      <c r="D17" s="38" t="str">
        <f t="shared" si="0"/>
        <v>KWSN092  BBIR Curncy</v>
      </c>
      <c r="E17" s="38" t="str">
        <f t="shared" si="0"/>
        <v>KWSN093  BBIR Curncy</v>
      </c>
      <c r="F17" s="38" t="str">
        <f t="shared" si="0"/>
        <v>KWSN094  BBIR Curncy</v>
      </c>
      <c r="G17" s="38" t="str">
        <f t="shared" si="0"/>
        <v>KWSN095  BBIR Curncy</v>
      </c>
      <c r="H17" s="38" t="str">
        <f t="shared" si="0"/>
        <v>KWSN096  BBIR Curncy</v>
      </c>
      <c r="I17" s="38" t="str">
        <f t="shared" si="0"/>
        <v>KWSN097  BBIR Curncy</v>
      </c>
      <c r="J17" s="38" t="str">
        <f t="shared" si="0"/>
        <v>KWSN098  BBIR Curncy</v>
      </c>
      <c r="K17" s="38" t="str">
        <f t="shared" si="0"/>
        <v>KWSN099  BBIR Curncy</v>
      </c>
      <c r="L17" s="38" t="str">
        <f t="shared" si="0"/>
        <v>KWSN0910 BBIR Curncy</v>
      </c>
      <c r="M17" s="38" t="str">
        <f t="shared" si="0"/>
        <v>KWSN0915 BBIR Curncy</v>
      </c>
      <c r="N17" s="38" t="str">
        <f t="shared" si="0"/>
        <v>KWSN0920 BBIR Curncy</v>
      </c>
      <c r="O17" s="38" t="str">
        <f t="shared" si="0"/>
        <v>KWSN0925 BBIR Curncy</v>
      </c>
      <c r="P17" s="38" t="str">
        <f t="shared" si="0"/>
        <v>KWSN0930 BBIR Curncy</v>
      </c>
      <c r="Q17" s="38" t="str">
        <f t="shared" si="0"/>
        <v xml:space="preserve"> BBIR Curncy</v>
      </c>
      <c r="S17" s="38" t="s">
        <v>310</v>
      </c>
      <c r="T17" s="38" t="s">
        <v>3208</v>
      </c>
      <c r="U17" s="38" t="s">
        <v>3209</v>
      </c>
      <c r="V17" s="38" t="s">
        <v>3210</v>
      </c>
      <c r="W17" s="38" t="s">
        <v>3211</v>
      </c>
      <c r="X17" s="38" t="s">
        <v>3212</v>
      </c>
      <c r="Y17" s="38" t="s">
        <v>3213</v>
      </c>
      <c r="Z17" s="38" t="s">
        <v>3214</v>
      </c>
      <c r="AA17" s="38" t="s">
        <v>3215</v>
      </c>
      <c r="AB17" s="38" t="s">
        <v>3216</v>
      </c>
      <c r="AC17" s="38" t="s">
        <v>3217</v>
      </c>
      <c r="AD17" s="38" t="s">
        <v>3218</v>
      </c>
      <c r="AE17" s="38" t="s">
        <v>3219</v>
      </c>
      <c r="AF17" s="38" t="s">
        <v>3220</v>
      </c>
      <c r="AG17" s="38" t="s">
        <v>3221</v>
      </c>
    </row>
    <row r="18" spans="1:48" ht="16.5" x14ac:dyDescent="0.3">
      <c r="B18" s="38" t="s">
        <v>311</v>
      </c>
      <c r="C18" s="38" t="str">
        <f t="shared" si="1"/>
        <v>KWSN101  BBIR Curncy</v>
      </c>
      <c r="D18" s="38" t="str">
        <f t="shared" si="0"/>
        <v>KWSN102  BBIR Curncy</v>
      </c>
      <c r="E18" s="38" t="str">
        <f t="shared" si="0"/>
        <v>KWSN103  BBIR Curncy</v>
      </c>
      <c r="F18" s="38" t="str">
        <f t="shared" si="0"/>
        <v>KWSN104  BBIR Curncy</v>
      </c>
      <c r="G18" s="38" t="str">
        <f t="shared" si="0"/>
        <v>KWSN105  BBIR Curncy</v>
      </c>
      <c r="H18" s="38" t="str">
        <f t="shared" si="0"/>
        <v>KWSN106  BBIR Curncy</v>
      </c>
      <c r="I18" s="38" t="str">
        <f t="shared" si="0"/>
        <v>KWSN107  BBIR Curncy</v>
      </c>
      <c r="J18" s="38" t="str">
        <f t="shared" si="0"/>
        <v>KWSN108  BBIR Curncy</v>
      </c>
      <c r="K18" s="38" t="str">
        <f t="shared" si="0"/>
        <v>KWSN109  BBIR Curncy</v>
      </c>
      <c r="L18" s="38" t="str">
        <f t="shared" si="0"/>
        <v>KWSN1010 BBIR Curncy</v>
      </c>
      <c r="M18" s="38" t="str">
        <f t="shared" si="0"/>
        <v>KWSN1015 BBIR Curncy</v>
      </c>
      <c r="N18" s="38" t="str">
        <f t="shared" si="0"/>
        <v>KWSN1020 BBIR Curncy</v>
      </c>
      <c r="O18" s="38" t="str">
        <f t="shared" si="0"/>
        <v>KWSN1025 BBIR Curncy</v>
      </c>
      <c r="P18" s="38" t="str">
        <f t="shared" si="0"/>
        <v>KWSN1030 BBIR Curncy</v>
      </c>
      <c r="Q18" s="38" t="str">
        <f t="shared" si="0"/>
        <v xml:space="preserve"> BBIR Curncy</v>
      </c>
      <c r="S18" s="38" t="s">
        <v>311</v>
      </c>
      <c r="T18" s="38" t="s">
        <v>1622</v>
      </c>
      <c r="U18" s="38" t="s">
        <v>1636</v>
      </c>
      <c r="V18" s="38" t="s">
        <v>1650</v>
      </c>
      <c r="W18" s="38" t="s">
        <v>1664</v>
      </c>
      <c r="X18" s="38" t="s">
        <v>1678</v>
      </c>
      <c r="Y18" s="38" t="s">
        <v>1692</v>
      </c>
      <c r="Z18" s="38" t="s">
        <v>1706</v>
      </c>
      <c r="AA18" s="38" t="s">
        <v>1720</v>
      </c>
      <c r="AB18" s="38" t="s">
        <v>1734</v>
      </c>
      <c r="AC18" s="38" t="s">
        <v>1748</v>
      </c>
      <c r="AD18" s="38" t="s">
        <v>1762</v>
      </c>
      <c r="AE18" s="38" t="s">
        <v>1776</v>
      </c>
      <c r="AF18" s="38" t="s">
        <v>3222</v>
      </c>
      <c r="AG18" s="38" t="s">
        <v>3223</v>
      </c>
    </row>
    <row r="19" spans="1:48" ht="16.5" x14ac:dyDescent="0.3">
      <c r="B19" s="38" t="s">
        <v>312</v>
      </c>
      <c r="C19" s="38" t="str">
        <f t="shared" si="1"/>
        <v>KWSN151  BBIR Curncy</v>
      </c>
      <c r="D19" s="38" t="str">
        <f t="shared" ref="D19:D22" si="2">U19&amp;$C$1</f>
        <v>KWSN152  BBIR Curncy</v>
      </c>
      <c r="E19" s="38" t="str">
        <f t="shared" ref="E19:E22" si="3">V19&amp;$C$1</f>
        <v>KWSN153  BBIR Curncy</v>
      </c>
      <c r="F19" s="38" t="str">
        <f t="shared" ref="F19:F22" si="4">W19&amp;$C$1</f>
        <v>KWSN154  BBIR Curncy</v>
      </c>
      <c r="G19" s="38" t="str">
        <f t="shared" ref="G19:G22" si="5">X19&amp;$C$1</f>
        <v>KWSN155  BBIR Curncy</v>
      </c>
      <c r="H19" s="38" t="str">
        <f t="shared" ref="H19:H22" si="6">Y19&amp;$C$1</f>
        <v>KWSN156  BBIR Curncy</v>
      </c>
      <c r="I19" s="38" t="str">
        <f t="shared" ref="I19:I22" si="7">Z19&amp;$C$1</f>
        <v>KWSN157  BBIR Curncy</v>
      </c>
      <c r="J19" s="38" t="str">
        <f t="shared" ref="J19:J22" si="8">AA19&amp;$C$1</f>
        <v>KWSN158  BBIR Curncy</v>
      </c>
      <c r="K19" s="38" t="str">
        <f t="shared" ref="K19:K22" si="9">AB19&amp;$C$1</f>
        <v>KWSN159  BBIR Curncy</v>
      </c>
      <c r="L19" s="38" t="str">
        <f t="shared" ref="L19:L22" si="10">AC19&amp;$C$1</f>
        <v>KWSN1510 BBIR Curncy</v>
      </c>
      <c r="M19" s="38" t="str">
        <f t="shared" ref="M19:M22" si="11">AD19&amp;$C$1</f>
        <v>KWSN1515 BBIR Curncy</v>
      </c>
      <c r="N19" s="38" t="str">
        <f t="shared" ref="N19:N22" si="12">AE19&amp;$C$1</f>
        <v>KWSN1520 BBIR Curncy</v>
      </c>
      <c r="O19" s="38" t="str">
        <f t="shared" ref="O19:O22" si="13">AF19&amp;$C$1</f>
        <v>KWSN1525 BBIR Curncy</v>
      </c>
      <c r="P19" s="38" t="str">
        <f t="shared" ref="P19:P22" si="14">AG19&amp;$C$1</f>
        <v>KWSN1530 BBIR Curncy</v>
      </c>
      <c r="Q19" s="38" t="str">
        <f t="shared" ref="Q19:Q22" si="15">AH19&amp;$C$1</f>
        <v xml:space="preserve"> BBIR Curncy</v>
      </c>
      <c r="S19" s="38" t="s">
        <v>312</v>
      </c>
      <c r="T19" s="38" t="s">
        <v>1790</v>
      </c>
      <c r="U19" s="38" t="s">
        <v>1804</v>
      </c>
      <c r="V19" s="38" t="s">
        <v>1818</v>
      </c>
      <c r="W19" s="38" t="s">
        <v>1832</v>
      </c>
      <c r="X19" s="38" t="s">
        <v>1846</v>
      </c>
      <c r="Y19" s="38" t="s">
        <v>1860</v>
      </c>
      <c r="Z19" s="38" t="s">
        <v>1874</v>
      </c>
      <c r="AA19" s="38" t="s">
        <v>1888</v>
      </c>
      <c r="AB19" s="38" t="s">
        <v>1902</v>
      </c>
      <c r="AC19" s="38" t="s">
        <v>1916</v>
      </c>
      <c r="AD19" s="38" t="s">
        <v>1930</v>
      </c>
      <c r="AE19" s="38" t="s">
        <v>1944</v>
      </c>
      <c r="AF19" s="38" t="s">
        <v>3224</v>
      </c>
      <c r="AG19" s="38" t="s">
        <v>3225</v>
      </c>
    </row>
    <row r="20" spans="1:48" ht="16.5" x14ac:dyDescent="0.3">
      <c r="B20" s="38" t="s">
        <v>313</v>
      </c>
      <c r="C20" s="38" t="str">
        <f t="shared" si="1"/>
        <v>KWSN201  BBIR Curncy</v>
      </c>
      <c r="D20" s="38" t="str">
        <f t="shared" si="2"/>
        <v>KWSN202  BBIR Curncy</v>
      </c>
      <c r="E20" s="38" t="str">
        <f t="shared" si="3"/>
        <v>KWSN203  BBIR Curncy</v>
      </c>
      <c r="F20" s="38" t="str">
        <f t="shared" si="4"/>
        <v>KWSN204  BBIR Curncy</v>
      </c>
      <c r="G20" s="38" t="str">
        <f t="shared" si="5"/>
        <v>KWSN205  BBIR Curncy</v>
      </c>
      <c r="H20" s="38" t="str">
        <f t="shared" si="6"/>
        <v>KWSN206  BBIR Curncy</v>
      </c>
      <c r="I20" s="38" t="str">
        <f t="shared" si="7"/>
        <v>KWSN207  BBIR Curncy</v>
      </c>
      <c r="J20" s="38" t="str">
        <f t="shared" si="8"/>
        <v>KWSN208  BBIR Curncy</v>
      </c>
      <c r="K20" s="38" t="str">
        <f t="shared" si="9"/>
        <v>KWSN209  BBIR Curncy</v>
      </c>
      <c r="L20" s="38" t="str">
        <f t="shared" si="10"/>
        <v>KWSN2010 BBIR Curncy</v>
      </c>
      <c r="M20" s="38" t="str">
        <f t="shared" si="11"/>
        <v>KWSN2015 BBIR Curncy</v>
      </c>
      <c r="N20" s="38" t="str">
        <f t="shared" si="12"/>
        <v>KWSN2020 BBIR Curncy</v>
      </c>
      <c r="O20" s="38" t="str">
        <f t="shared" si="13"/>
        <v>KWSN2025 BBIR Curncy</v>
      </c>
      <c r="P20" s="38" t="str">
        <f t="shared" si="14"/>
        <v>KWSN2030 BBIR Curncy</v>
      </c>
      <c r="Q20" s="38" t="str">
        <f t="shared" si="15"/>
        <v xml:space="preserve"> BBIR Curncy</v>
      </c>
      <c r="S20" s="38" t="s">
        <v>313</v>
      </c>
      <c r="T20" s="38" t="s">
        <v>1958</v>
      </c>
      <c r="U20" s="38" t="s">
        <v>1972</v>
      </c>
      <c r="V20" s="38" t="s">
        <v>1986</v>
      </c>
      <c r="W20" s="38" t="s">
        <v>2000</v>
      </c>
      <c r="X20" s="38" t="s">
        <v>2014</v>
      </c>
      <c r="Y20" s="38" t="s">
        <v>2028</v>
      </c>
      <c r="Z20" s="38" t="s">
        <v>2042</v>
      </c>
      <c r="AA20" s="38" t="s">
        <v>2056</v>
      </c>
      <c r="AB20" s="38" t="s">
        <v>2070</v>
      </c>
      <c r="AC20" s="38" t="s">
        <v>2084</v>
      </c>
      <c r="AD20" s="38" t="s">
        <v>2098</v>
      </c>
      <c r="AE20" s="38" t="s">
        <v>2112</v>
      </c>
      <c r="AF20" s="38" t="s">
        <v>3226</v>
      </c>
      <c r="AG20" s="38" t="s">
        <v>3227</v>
      </c>
    </row>
    <row r="21" spans="1:48" ht="16.5" x14ac:dyDescent="0.3">
      <c r="B21" s="38" t="s">
        <v>533</v>
      </c>
      <c r="C21" s="38" t="str">
        <f t="shared" si="1"/>
        <v>KWSN251  BBIR Curncy</v>
      </c>
      <c r="D21" s="38" t="str">
        <f t="shared" si="2"/>
        <v>KWSN252  BBIR Curncy</v>
      </c>
      <c r="E21" s="38" t="str">
        <f t="shared" si="3"/>
        <v>KWSN253  BBIR Curncy</v>
      </c>
      <c r="F21" s="38" t="str">
        <f t="shared" si="4"/>
        <v>KWSN254  BBIR Curncy</v>
      </c>
      <c r="G21" s="38" t="str">
        <f t="shared" si="5"/>
        <v>KWSN255  BBIR Curncy</v>
      </c>
      <c r="H21" s="38" t="str">
        <f t="shared" si="6"/>
        <v>KWSN256  BBIR Curncy</v>
      </c>
      <c r="I21" s="38" t="str">
        <f t="shared" si="7"/>
        <v>KWSN257  BBIR Curncy</v>
      </c>
      <c r="J21" s="38" t="str">
        <f t="shared" si="8"/>
        <v>KWSN258  BBIR Curncy</v>
      </c>
      <c r="K21" s="38" t="str">
        <f t="shared" si="9"/>
        <v>KWSN259  BBIR Curncy</v>
      </c>
      <c r="L21" s="38" t="str">
        <f t="shared" si="10"/>
        <v>KWSN2510 BBIR Curncy</v>
      </c>
      <c r="M21" s="38" t="str">
        <f t="shared" si="11"/>
        <v>KWSN2515 BBIR Curncy</v>
      </c>
      <c r="N21" s="38" t="str">
        <f t="shared" si="12"/>
        <v>KWSN2520 BBIR Curncy</v>
      </c>
      <c r="O21" s="38" t="str">
        <f t="shared" si="13"/>
        <v>KWSN2525 BBIR Curncy</v>
      </c>
      <c r="P21" s="38" t="str">
        <f t="shared" si="14"/>
        <v>KWSN2530 BBIR Curncy</v>
      </c>
      <c r="Q21" s="38" t="str">
        <f t="shared" si="15"/>
        <v xml:space="preserve"> BBIR Curncy</v>
      </c>
      <c r="S21" s="38" t="s">
        <v>533</v>
      </c>
      <c r="T21" s="38" t="s">
        <v>3228</v>
      </c>
      <c r="U21" s="38" t="s">
        <v>3229</v>
      </c>
      <c r="V21" s="38" t="s">
        <v>3230</v>
      </c>
      <c r="W21" s="38" t="s">
        <v>3231</v>
      </c>
      <c r="X21" s="38" t="s">
        <v>3232</v>
      </c>
      <c r="Y21" s="38" t="s">
        <v>3233</v>
      </c>
      <c r="Z21" s="38" t="s">
        <v>3234</v>
      </c>
      <c r="AA21" s="38" t="s">
        <v>3235</v>
      </c>
      <c r="AB21" s="38" t="s">
        <v>3236</v>
      </c>
      <c r="AC21" s="38" t="s">
        <v>3237</v>
      </c>
      <c r="AD21" s="38" t="s">
        <v>3238</v>
      </c>
      <c r="AE21" s="38" t="s">
        <v>3239</v>
      </c>
      <c r="AF21" s="38" t="s">
        <v>3240</v>
      </c>
      <c r="AG21" s="38" t="s">
        <v>3241</v>
      </c>
    </row>
    <row r="22" spans="1:48" ht="16.5" x14ac:dyDescent="0.3">
      <c r="B22" s="38" t="s">
        <v>534</v>
      </c>
      <c r="C22" s="38" t="str">
        <f t="shared" si="1"/>
        <v>KWSN301  BBIR Curncy</v>
      </c>
      <c r="D22" s="38" t="str">
        <f t="shared" si="2"/>
        <v>KWSN302  BBIR Curncy</v>
      </c>
      <c r="E22" s="38" t="str">
        <f t="shared" si="3"/>
        <v>KWSN303  BBIR Curncy</v>
      </c>
      <c r="F22" s="38" t="str">
        <f t="shared" si="4"/>
        <v>KWSN304  BBIR Curncy</v>
      </c>
      <c r="G22" s="38" t="str">
        <f t="shared" si="5"/>
        <v>KWSN305  BBIR Curncy</v>
      </c>
      <c r="H22" s="38" t="str">
        <f t="shared" si="6"/>
        <v>KWSN306  BBIR Curncy</v>
      </c>
      <c r="I22" s="38" t="str">
        <f t="shared" si="7"/>
        <v>KWSN307  BBIR Curncy</v>
      </c>
      <c r="J22" s="38" t="str">
        <f t="shared" si="8"/>
        <v>KWSN308  BBIR Curncy</v>
      </c>
      <c r="K22" s="38" t="str">
        <f t="shared" si="9"/>
        <v>KWSN309  BBIR Curncy</v>
      </c>
      <c r="L22" s="38" t="str">
        <f t="shared" si="10"/>
        <v>KWSN3010 BBIR Curncy</v>
      </c>
      <c r="M22" s="38" t="str">
        <f t="shared" si="11"/>
        <v>KWSN3015 BBIR Curncy</v>
      </c>
      <c r="N22" s="38" t="str">
        <f t="shared" si="12"/>
        <v>KWSN3020 BBIR Curncy</v>
      </c>
      <c r="O22" s="38" t="str">
        <f t="shared" si="13"/>
        <v>KWSN3025 BBIR Curncy</v>
      </c>
      <c r="P22" s="38" t="str">
        <f t="shared" si="14"/>
        <v>KWSN3030 BBIR Curncy</v>
      </c>
      <c r="Q22" s="38" t="str">
        <f t="shared" si="15"/>
        <v xml:space="preserve"> BBIR Curncy</v>
      </c>
      <c r="S22" s="38" t="s">
        <v>534</v>
      </c>
      <c r="T22" s="38" t="s">
        <v>3242</v>
      </c>
      <c r="U22" s="38" t="s">
        <v>3243</v>
      </c>
      <c r="V22" s="38" t="s">
        <v>3244</v>
      </c>
      <c r="W22" s="38" t="s">
        <v>3245</v>
      </c>
      <c r="X22" s="38" t="s">
        <v>3246</v>
      </c>
      <c r="Y22" s="38" t="s">
        <v>3247</v>
      </c>
      <c r="Z22" s="38" t="s">
        <v>3248</v>
      </c>
      <c r="AA22" s="38" t="s">
        <v>3249</v>
      </c>
      <c r="AB22" s="38" t="s">
        <v>3250</v>
      </c>
      <c r="AC22" s="38" t="s">
        <v>3251</v>
      </c>
      <c r="AD22" s="38" t="s">
        <v>3252</v>
      </c>
      <c r="AE22" s="38" t="s">
        <v>3253</v>
      </c>
      <c r="AF22" s="38" t="s">
        <v>3254</v>
      </c>
      <c r="AG22" s="38" t="s">
        <v>3255</v>
      </c>
    </row>
    <row r="23" spans="1:48" x14ac:dyDescent="0.3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P23" s="3"/>
    </row>
    <row r="24" spans="1:48" x14ac:dyDescent="0.3">
      <c r="B24" s="1" t="s">
        <v>498</v>
      </c>
      <c r="C24" s="66" t="s">
        <v>172</v>
      </c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</row>
    <row r="25" spans="1:48" x14ac:dyDescent="0.3">
      <c r="A25" s="5" t="s">
        <v>318</v>
      </c>
      <c r="B25" s="4">
        <v>44634</v>
      </c>
      <c r="C25" s="1" t="s">
        <v>155</v>
      </c>
      <c r="D25" s="1" t="s">
        <v>156</v>
      </c>
      <c r="E25" s="1" t="s">
        <v>157</v>
      </c>
      <c r="F25" s="1" t="s">
        <v>158</v>
      </c>
      <c r="G25" s="1" t="s">
        <v>159</v>
      </c>
      <c r="H25" s="1" t="s">
        <v>160</v>
      </c>
      <c r="I25" s="1" t="s">
        <v>161</v>
      </c>
      <c r="J25" s="1" t="s">
        <v>162</v>
      </c>
      <c r="K25" s="1" t="s">
        <v>163</v>
      </c>
      <c r="L25" s="1" t="s">
        <v>164</v>
      </c>
      <c r="M25" s="1" t="s">
        <v>165</v>
      </c>
      <c r="N25" s="1" t="s">
        <v>166</v>
      </c>
      <c r="P25" s="5"/>
      <c r="AD25" s="5" t="s">
        <v>300</v>
      </c>
      <c r="AE25" s="5" t="s">
        <v>155</v>
      </c>
      <c r="AF25" s="5" t="s">
        <v>156</v>
      </c>
      <c r="AG25" s="5" t="s">
        <v>157</v>
      </c>
      <c r="AH25" s="5" t="s">
        <v>158</v>
      </c>
      <c r="AI25" s="5" t="s">
        <v>159</v>
      </c>
      <c r="AJ25" s="5" t="s">
        <v>161</v>
      </c>
      <c r="AK25" s="5" t="s">
        <v>164</v>
      </c>
      <c r="AL25" s="5" t="s">
        <v>165</v>
      </c>
      <c r="AM25" s="5" t="s">
        <v>166</v>
      </c>
      <c r="AO25" s="1" t="s">
        <v>590</v>
      </c>
    </row>
    <row r="26" spans="1:48" x14ac:dyDescent="0.3">
      <c r="A26" s="66" t="s">
        <v>173</v>
      </c>
      <c r="B26" s="1" t="s">
        <v>494</v>
      </c>
      <c r="C26" s="9">
        <f>_xll.BDH(C3,$B$2,$B$25,$B$25)</f>
        <v>70.254999999999995</v>
      </c>
      <c r="D26" s="9">
        <f>_xll.BDH(D3,$B$2,$B$25,$B$25)</f>
        <v>71.883499999999998</v>
      </c>
      <c r="E26" s="9">
        <f>_xll.BDH(E3,$B$2,$B$25,$B$25)</f>
        <v>73.752899999999997</v>
      </c>
      <c r="F26" s="9">
        <f>_xll.BDH(F3,$B$2,$B$25,$B$25)</f>
        <v>75.563500000000005</v>
      </c>
      <c r="G26" s="9">
        <f>_xll.BDH(G3,$B$2,$B$25,$B$25)</f>
        <v>77.342200000000005</v>
      </c>
      <c r="H26" s="9">
        <f>_xll.BDH(H3,$B$2,$B$25,$B$25)</f>
        <v>78.192499999999995</v>
      </c>
      <c r="I26" s="9">
        <f>_xll.BDH(I3,$B$2,$B$25,$B$25)</f>
        <v>79.043599999999998</v>
      </c>
      <c r="J26" s="9">
        <f>_xll.BDH(J3,$B$2,$B$25,$B$25)</f>
        <v>79.859200000000001</v>
      </c>
      <c r="K26" s="9">
        <f>_xll.BDH(K3,$B$2,$B$25,$B$25)</f>
        <v>80.680999999999997</v>
      </c>
      <c r="L26" s="9">
        <f>_xll.BDH(L3,$B$2,$B$25,$B$25)</f>
        <v>81.5261</v>
      </c>
      <c r="M26" s="9">
        <f>_xll.BDH(M3,$B$2,$B$25,$B$25)</f>
        <v>81.945800000000006</v>
      </c>
      <c r="N26" s="9">
        <f>_xll.BDH(N3,$B$2,$B$25,$B$25)</f>
        <v>82.404499999999999</v>
      </c>
      <c r="O26" s="67" t="s">
        <v>173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D26" s="5" t="s">
        <v>155</v>
      </c>
      <c r="AE26" s="5">
        <f t="shared" ref="AE26:AM34" si="16">Q30/100</f>
        <v>0</v>
      </c>
      <c r="AF26" s="5">
        <f t="shared" si="16"/>
        <v>0</v>
      </c>
      <c r="AG26" s="5">
        <f t="shared" si="16"/>
        <v>0</v>
      </c>
      <c r="AH26" s="5">
        <f t="shared" si="16"/>
        <v>0</v>
      </c>
      <c r="AI26" s="5">
        <f t="shared" si="16"/>
        <v>0</v>
      </c>
      <c r="AJ26" s="5">
        <f t="shared" si="16"/>
        <v>0</v>
      </c>
      <c r="AK26" s="5">
        <f t="shared" si="16"/>
        <v>0</v>
      </c>
      <c r="AL26" s="5">
        <f t="shared" si="16"/>
        <v>0</v>
      </c>
      <c r="AM26" s="5">
        <f t="shared" si="16"/>
        <v>0</v>
      </c>
      <c r="AO26" s="5" t="str">
        <f>AE26&amp;", "&amp;AF26&amp;", "&amp;AG26&amp;", "&amp;AH26&amp;", "&amp;AI26&amp;", "&amp;AJ26&amp;", "&amp;AK26&amp;", "&amp;AL26&amp;", "&amp;AM26&amp;","</f>
        <v>0, 0, 0, 0, 0, 0, 0, 0, 0,</v>
      </c>
      <c r="AP26" s="5"/>
      <c r="AQ26" s="5"/>
      <c r="AR26" s="5"/>
      <c r="AS26" s="5"/>
      <c r="AT26" s="5"/>
      <c r="AU26" s="5"/>
      <c r="AV26" s="5"/>
    </row>
    <row r="27" spans="1:48" x14ac:dyDescent="0.3">
      <c r="A27" s="66"/>
      <c r="B27" s="1" t="s">
        <v>168</v>
      </c>
      <c r="C27" s="9">
        <f>_xll.BDH(C4,$B$2,$B$25,$B$25)</f>
        <v>73.815299999999993</v>
      </c>
      <c r="D27" s="9">
        <f>_xll.BDH(D4,$B$2,$B$25,$B$25)</f>
        <v>75.449600000000004</v>
      </c>
      <c r="E27" s="9">
        <f>_xll.BDH(E4,$B$2,$B$25,$B$25)</f>
        <v>73.326499999999996</v>
      </c>
      <c r="F27" s="9">
        <f>_xll.BDH(F4,$B$2,$B$25,$B$25)</f>
        <v>74.860399999999998</v>
      </c>
      <c r="G27" s="9">
        <f>_xll.BDH(G4,$B$2,$B$25,$B$25)</f>
        <v>76.365499999999997</v>
      </c>
      <c r="H27" s="9">
        <f>_xll.BDH(H4,$B$2,$B$25,$B$25)</f>
        <v>77.034099999999995</v>
      </c>
      <c r="I27" s="9">
        <f>_xll.BDH(I4,$B$2,$B$25,$B$25)</f>
        <v>77.711500000000001</v>
      </c>
      <c r="J27" s="9">
        <f>_xll.BDH(J4,$B$2,$B$25,$B$25)</f>
        <v>78.325800000000001</v>
      </c>
      <c r="K27" s="9">
        <f>_xll.BDH(K4,$B$2,$B$25,$B$25)</f>
        <v>78.952100000000002</v>
      </c>
      <c r="L27" s="9">
        <f>_xll.BDH(L4,$B$2,$B$25,$B$25)</f>
        <v>79.622799999999998</v>
      </c>
      <c r="M27" s="9">
        <f>_xll.BDH(M4,$B$2,$B$25,$B$25)</f>
        <v>80.851500000000001</v>
      </c>
      <c r="N27" s="9">
        <f>_xll.BDH(N4,$B$2,$B$25,$B$25)</f>
        <v>82.228700000000003</v>
      </c>
      <c r="O27" s="6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D27" s="5" t="s">
        <v>156</v>
      </c>
      <c r="AE27" s="5">
        <f t="shared" si="16"/>
        <v>0</v>
      </c>
      <c r="AF27" s="5">
        <f t="shared" si="16"/>
        <v>0</v>
      </c>
      <c r="AG27" s="5">
        <f t="shared" si="16"/>
        <v>0</v>
      </c>
      <c r="AH27" s="5">
        <f t="shared" si="16"/>
        <v>0</v>
      </c>
      <c r="AI27" s="5">
        <f t="shared" si="16"/>
        <v>0</v>
      </c>
      <c r="AJ27" s="5">
        <f t="shared" si="16"/>
        <v>0</v>
      </c>
      <c r="AK27" s="5">
        <f t="shared" si="16"/>
        <v>0</v>
      </c>
      <c r="AL27" s="5">
        <f t="shared" si="16"/>
        <v>0</v>
      </c>
      <c r="AM27" s="5">
        <f t="shared" si="16"/>
        <v>0</v>
      </c>
      <c r="AO27" s="5" t="str">
        <f t="shared" ref="AO27:AO33" si="17">AE27&amp;", "&amp;AF27&amp;", "&amp;AG27&amp;", "&amp;AH27&amp;", "&amp;AI27&amp;", "&amp;AJ27&amp;", "&amp;AK27&amp;", "&amp;AL27&amp;", "&amp;AM27&amp;","</f>
        <v>0, 0, 0, 0, 0, 0, 0, 0, 0,</v>
      </c>
      <c r="AP27" s="5"/>
      <c r="AQ27" s="5"/>
      <c r="AR27" s="5"/>
      <c r="AS27" s="5"/>
      <c r="AT27" s="5"/>
      <c r="AU27" s="5"/>
      <c r="AV27" s="5"/>
    </row>
    <row r="28" spans="1:48" x14ac:dyDescent="0.3">
      <c r="A28" s="66"/>
      <c r="B28" s="1" t="s">
        <v>169</v>
      </c>
      <c r="C28" s="9">
        <f>_xll.BDH(C5,$B$2,$B$25,$B$25)</f>
        <v>77.203299999999999</v>
      </c>
      <c r="D28" s="9">
        <f>_xll.BDH(D5,$B$2,$B$25,$B$25)</f>
        <v>78.785200000000003</v>
      </c>
      <c r="E28" s="9">
        <f>_xll.BDH(E5,$B$2,$B$25,$B$25)</f>
        <v>72.917100000000005</v>
      </c>
      <c r="F28" s="9">
        <f>_xll.BDH(F5,$B$2,$B$25,$B$25)</f>
        <v>74.206900000000005</v>
      </c>
      <c r="G28" s="9">
        <f>_xll.BDH(G5,$B$2,$B$25,$B$25)</f>
        <v>75.466099999999997</v>
      </c>
      <c r="H28" s="9">
        <f>_xll.BDH(H5,$B$2,$B$25,$B$25)</f>
        <v>75.971699999999998</v>
      </c>
      <c r="I28" s="9">
        <f>_xll.BDH(I5,$B$2,$B$25,$B$25)</f>
        <v>76.493200000000002</v>
      </c>
      <c r="J28" s="9">
        <f>_xll.BDH(J5,$B$2,$B$25,$B$25)</f>
        <v>76.925299999999993</v>
      </c>
      <c r="K28" s="9">
        <f>_xll.BDH(K5,$B$2,$B$25,$B$25)</f>
        <v>77.375200000000007</v>
      </c>
      <c r="L28" s="9">
        <f>_xll.BDH(L5,$B$2,$B$25,$B$25)</f>
        <v>77.887900000000002</v>
      </c>
      <c r="M28" s="9">
        <f>_xll.BDH(M5,$B$2,$B$25,$B$25)</f>
        <v>79.861400000000003</v>
      </c>
      <c r="N28" s="9">
        <f>_xll.BDH(N5,$B$2,$B$25,$B$25)</f>
        <v>82.069299999999998</v>
      </c>
      <c r="O28" s="67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D28" s="5" t="s">
        <v>157</v>
      </c>
      <c r="AE28" s="5">
        <f t="shared" si="16"/>
        <v>0</v>
      </c>
      <c r="AF28" s="5">
        <f t="shared" si="16"/>
        <v>0</v>
      </c>
      <c r="AG28" s="5">
        <f t="shared" si="16"/>
        <v>0</v>
      </c>
      <c r="AH28" s="5">
        <f t="shared" si="16"/>
        <v>0</v>
      </c>
      <c r="AI28" s="5">
        <f t="shared" si="16"/>
        <v>0</v>
      </c>
      <c r="AJ28" s="5">
        <f t="shared" si="16"/>
        <v>0</v>
      </c>
      <c r="AK28" s="5">
        <f t="shared" si="16"/>
        <v>0</v>
      </c>
      <c r="AL28" s="5">
        <f t="shared" si="16"/>
        <v>0</v>
      </c>
      <c r="AM28" s="5">
        <f t="shared" si="16"/>
        <v>0</v>
      </c>
      <c r="AO28" s="5" t="str">
        <f t="shared" si="17"/>
        <v>0, 0, 0, 0, 0, 0, 0, 0, 0,</v>
      </c>
      <c r="AP28" s="5"/>
      <c r="AQ28" s="5"/>
      <c r="AR28" s="5"/>
      <c r="AS28" s="5"/>
      <c r="AT28" s="5"/>
      <c r="AU28" s="5"/>
      <c r="AV28" s="5"/>
    </row>
    <row r="29" spans="1:48" x14ac:dyDescent="0.3">
      <c r="A29" s="66"/>
      <c r="B29" s="1" t="s">
        <v>170</v>
      </c>
      <c r="C29" s="9">
        <f>_xll.BDH(C6,$B$2,$B$25,$B$25)</f>
        <v>72.522000000000006</v>
      </c>
      <c r="D29" s="9">
        <f>_xll.BDH(D6,$B$2,$B$25,$B$25)</f>
        <v>73.650999999999996</v>
      </c>
      <c r="E29" s="9">
        <f>_xll.BDH(E6,$B$2,$B$25,$B$25)</f>
        <v>74.880700000000004</v>
      </c>
      <c r="F29" s="9">
        <f>_xll.BDH(F6,$B$2,$B$25,$B$25)</f>
        <v>72.231999999999999</v>
      </c>
      <c r="G29" s="9">
        <f>_xll.BDH(G6,$B$2,$B$25,$B$25)</f>
        <v>72.648899999999998</v>
      </c>
      <c r="H29" s="9">
        <f>_xll.BDH(H6,$B$2,$B$25,$B$25)</f>
        <v>73.349999999999994</v>
      </c>
      <c r="I29" s="9">
        <f>_xll.BDH(I6,$B$2,$B$25,$B$25)</f>
        <v>74.072400000000002</v>
      </c>
      <c r="J29" s="9">
        <f>_xll.BDH(J6,$B$2,$B$25,$B$25)</f>
        <v>74.749700000000004</v>
      </c>
      <c r="K29" s="9">
        <f>_xll.BDH(K6,$B$2,$B$25,$B$25)</f>
        <v>75.453500000000005</v>
      </c>
      <c r="L29" s="9">
        <f>_xll.BDH(L6,$B$2,$B$25,$B$25)</f>
        <v>76.272599999999997</v>
      </c>
      <c r="M29" s="9">
        <f>_xll.BDH(M6,$B$2,$B$25,$B$25)</f>
        <v>78.961799999999997</v>
      </c>
      <c r="N29" s="9">
        <f>_xll.BDH(N6,$B$2,$B$25,$B$25)</f>
        <v>80.398099999999999</v>
      </c>
      <c r="O29" s="67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D29" s="5" t="s">
        <v>158</v>
      </c>
      <c r="AE29" s="5">
        <f t="shared" si="16"/>
        <v>0</v>
      </c>
      <c r="AF29" s="5">
        <f t="shared" si="16"/>
        <v>0</v>
      </c>
      <c r="AG29" s="5">
        <f t="shared" si="16"/>
        <v>0</v>
      </c>
      <c r="AH29" s="5">
        <f t="shared" si="16"/>
        <v>0</v>
      </c>
      <c r="AI29" s="5">
        <f t="shared" si="16"/>
        <v>0</v>
      </c>
      <c r="AJ29" s="5">
        <f t="shared" si="16"/>
        <v>0</v>
      </c>
      <c r="AK29" s="5">
        <f t="shared" si="16"/>
        <v>0</v>
      </c>
      <c r="AL29" s="5">
        <f t="shared" si="16"/>
        <v>0</v>
      </c>
      <c r="AM29" s="5">
        <f t="shared" si="16"/>
        <v>0</v>
      </c>
      <c r="AO29" s="5" t="str">
        <f t="shared" si="17"/>
        <v>0, 0, 0, 0, 0, 0, 0, 0, 0,</v>
      </c>
      <c r="AP29" s="5"/>
      <c r="AQ29" s="5"/>
      <c r="AR29" s="5"/>
      <c r="AS29" s="5"/>
      <c r="AT29" s="5"/>
      <c r="AU29" s="5"/>
      <c r="AV29" s="5"/>
    </row>
    <row r="30" spans="1:48" x14ac:dyDescent="0.3">
      <c r="A30" s="66"/>
      <c r="B30" s="1" t="s">
        <v>155</v>
      </c>
      <c r="C30" s="34">
        <f>_xll.BDH(C7,$B$2,$B$25,$B$25)</f>
        <v>73.252200000000002</v>
      </c>
      <c r="D30" s="34">
        <f>_xll.BDH(D7,$B$2,$B$25,$B$25)</f>
        <v>71.497600000000006</v>
      </c>
      <c r="E30" s="34">
        <f>_xll.BDH(E7,$B$2,$B$25,$B$25)</f>
        <v>70.9756</v>
      </c>
      <c r="F30" s="34">
        <f>_xll.BDH(F7,$B$2,$B$25,$B$25)</f>
        <v>70.448899999999995</v>
      </c>
      <c r="G30" s="34">
        <f>_xll.BDH(G7,$B$2,$B$25,$B$25)</f>
        <v>69.862399999999994</v>
      </c>
      <c r="H30" s="9">
        <f>_xll.BDH(H7,$B$2,$B$25,$B$25)</f>
        <v>70.629300000000001</v>
      </c>
      <c r="I30" s="34">
        <f>_xll.BDH(I7,$B$2,$B$25,$B$25)</f>
        <v>71.414500000000004</v>
      </c>
      <c r="J30" s="9">
        <f>_xll.BDH(J7,$B$2,$B$25,$B$25)</f>
        <v>71.995599999999996</v>
      </c>
      <c r="K30" s="9">
        <f>_xll.BDH(K7,$B$2,$B$25,$B$25)</f>
        <v>72.608199999999997</v>
      </c>
      <c r="L30" s="34">
        <f>_xll.BDH(L7,$B$2,$B$25,$B$25)</f>
        <v>73.381500000000003</v>
      </c>
      <c r="M30" s="34">
        <f>_xll.BDH(M7,$B$2,$B$25,$B$25)</f>
        <v>75.690899999999999</v>
      </c>
      <c r="N30" s="34">
        <f>_xll.BDH(N7,$B$2,$B$25,$B$25)</f>
        <v>78.721699999999998</v>
      </c>
      <c r="O30" s="67"/>
      <c r="P30" s="9"/>
      <c r="Q30" s="34"/>
      <c r="R30" s="34"/>
      <c r="S30" s="34"/>
      <c r="T30" s="34"/>
      <c r="U30" s="34"/>
      <c r="V30" s="9"/>
      <c r="W30" s="34"/>
      <c r="X30" s="9"/>
      <c r="Y30" s="9"/>
      <c r="Z30" s="34"/>
      <c r="AA30" s="34"/>
      <c r="AB30" s="34"/>
      <c r="AD30" s="5" t="s">
        <v>159</v>
      </c>
      <c r="AE30" s="5">
        <f t="shared" si="16"/>
        <v>0</v>
      </c>
      <c r="AF30" s="5">
        <f t="shared" si="16"/>
        <v>0</v>
      </c>
      <c r="AG30" s="5">
        <f t="shared" si="16"/>
        <v>0</v>
      </c>
      <c r="AH30" s="5">
        <f t="shared" si="16"/>
        <v>0</v>
      </c>
      <c r="AI30" s="5">
        <f t="shared" si="16"/>
        <v>0</v>
      </c>
      <c r="AJ30" s="5">
        <f t="shared" si="16"/>
        <v>0</v>
      </c>
      <c r="AK30" s="5">
        <f t="shared" si="16"/>
        <v>0</v>
      </c>
      <c r="AL30" s="5">
        <f t="shared" si="16"/>
        <v>0</v>
      </c>
      <c r="AM30" s="5">
        <f t="shared" si="16"/>
        <v>0</v>
      </c>
      <c r="AO30" s="5" t="str">
        <f t="shared" si="17"/>
        <v>0, 0, 0, 0, 0, 0, 0, 0, 0,</v>
      </c>
      <c r="AP30" s="5"/>
      <c r="AQ30" s="5"/>
      <c r="AR30" s="5"/>
      <c r="AS30" s="5"/>
      <c r="AT30" s="5"/>
      <c r="AU30" s="5"/>
      <c r="AV30" s="5"/>
    </row>
    <row r="31" spans="1:48" x14ac:dyDescent="0.3">
      <c r="A31" s="66"/>
      <c r="B31" s="1" t="s">
        <v>156</v>
      </c>
      <c r="C31" s="34">
        <f>_xll.BDH(C8,$B$2,$B$25,$B$25)</f>
        <v>72.978700000000003</v>
      </c>
      <c r="D31" s="34">
        <f>_xll.BDH(D8,$B$2,$B$25,$B$25)</f>
        <v>73.424599999999998</v>
      </c>
      <c r="E31" s="34">
        <f>_xll.BDH(E8,$B$2,$B$25,$B$25)</f>
        <v>72.263199999999998</v>
      </c>
      <c r="F31" s="34">
        <f>_xll.BDH(F8,$B$2,$B$25,$B$25)</f>
        <v>66.380499999999998</v>
      </c>
      <c r="G31" s="34">
        <f>_xll.BDH(G8,$B$2,$B$25,$B$25)</f>
        <v>65.634500000000003</v>
      </c>
      <c r="H31" s="9">
        <f>_xll.BDH(H8,$B$2,$B$25,$B$25)</f>
        <v>66.7239</v>
      </c>
      <c r="I31" s="34">
        <f>_xll.BDH(I8,$B$2,$B$25,$B$25)</f>
        <v>67.823599999999999</v>
      </c>
      <c r="J31" s="9">
        <f>_xll.BDH(J8,$B$2,$B$25,$B$25)</f>
        <v>68.018199999999993</v>
      </c>
      <c r="K31" s="9">
        <f>_xll.BDH(K8,$B$2,$B$25,$B$25)</f>
        <v>68.248999999999995</v>
      </c>
      <c r="L31" s="34">
        <f>_xll.BDH(L8,$B$2,$B$25,$B$25)</f>
        <v>68.67</v>
      </c>
      <c r="M31" s="34">
        <f>_xll.BDH(M8,$B$2,$B$25,$B$25)</f>
        <v>70.205200000000005</v>
      </c>
      <c r="N31" s="34">
        <f>_xll.BDH(N8,$B$2,$B$25,$B$25)</f>
        <v>76.730699999999999</v>
      </c>
      <c r="O31" s="67"/>
      <c r="P31" s="9"/>
      <c r="Q31" s="34"/>
      <c r="R31" s="34"/>
      <c r="S31" s="34"/>
      <c r="T31" s="34"/>
      <c r="U31" s="34"/>
      <c r="V31" s="9"/>
      <c r="W31" s="34"/>
      <c r="X31" s="9"/>
      <c r="Y31" s="9"/>
      <c r="Z31" s="34"/>
      <c r="AA31" s="34"/>
      <c r="AB31" s="34"/>
      <c r="AD31" s="5" t="s">
        <v>161</v>
      </c>
      <c r="AE31" s="5">
        <f t="shared" si="16"/>
        <v>0</v>
      </c>
      <c r="AF31" s="5">
        <f t="shared" si="16"/>
        <v>0</v>
      </c>
      <c r="AG31" s="5">
        <f t="shared" si="16"/>
        <v>0</v>
      </c>
      <c r="AH31" s="5">
        <f t="shared" si="16"/>
        <v>0</v>
      </c>
      <c r="AI31" s="5">
        <f t="shared" si="16"/>
        <v>0</v>
      </c>
      <c r="AJ31" s="5">
        <f t="shared" si="16"/>
        <v>0</v>
      </c>
      <c r="AK31" s="5">
        <f t="shared" si="16"/>
        <v>0</v>
      </c>
      <c r="AL31" s="5">
        <f t="shared" si="16"/>
        <v>0</v>
      </c>
      <c r="AM31" s="5">
        <f t="shared" si="16"/>
        <v>0</v>
      </c>
      <c r="AO31" s="5" t="str">
        <f t="shared" si="17"/>
        <v>0, 0, 0, 0, 0, 0, 0, 0, 0,</v>
      </c>
      <c r="AP31" s="5"/>
      <c r="AQ31" s="5"/>
      <c r="AR31" s="5"/>
      <c r="AS31" s="5"/>
      <c r="AT31" s="5"/>
      <c r="AU31" s="5"/>
      <c r="AV31" s="5"/>
    </row>
    <row r="32" spans="1:48" x14ac:dyDescent="0.3">
      <c r="A32" s="66"/>
      <c r="B32" s="1" t="s">
        <v>157</v>
      </c>
      <c r="C32" s="34">
        <f>_xll.BDH(C9,$B$2,$B$25,$B$25)</f>
        <v>70.597300000000004</v>
      </c>
      <c r="D32" s="34">
        <f>_xll.BDH(D9,$B$2,$B$25,$B$25)</f>
        <v>70.309399999999997</v>
      </c>
      <c r="E32" s="34">
        <f>_xll.BDH(E9,$B$2,$B$25,$B$25)</f>
        <v>68.591899999999995</v>
      </c>
      <c r="F32" s="34">
        <f>_xll.BDH(F9,$B$2,$B$25,$B$25)</f>
        <v>63.365499999999997</v>
      </c>
      <c r="G32" s="34">
        <f>_xll.BDH(G9,$B$2,$B$25,$B$25)</f>
        <v>64.006500000000003</v>
      </c>
      <c r="H32" s="9">
        <f>_xll.BDH(H9,$B$2,$B$25,$B$25)</f>
        <v>63.754800000000003</v>
      </c>
      <c r="I32" s="34">
        <f>_xll.BDH(I9,$B$2,$B$25,$B$25)</f>
        <v>63.546799999999998</v>
      </c>
      <c r="J32" s="9">
        <f>_xll.BDH(J9,$B$2,$B$25,$B$25)</f>
        <v>63.828400000000002</v>
      </c>
      <c r="K32" s="9">
        <f>_xll.BDH(K9,$B$2,$B$25,$B$25)</f>
        <v>64.228700000000003</v>
      </c>
      <c r="L32" s="34">
        <f>_xll.BDH(L9,$B$2,$B$25,$B$25)</f>
        <v>64.703900000000004</v>
      </c>
      <c r="M32" s="34">
        <f>_xll.BDH(M9,$B$2,$B$25,$B$25)</f>
        <v>66.507000000000005</v>
      </c>
      <c r="N32" s="34">
        <f>_xll.BDH(N9,$B$2,$B$25,$B$25)</f>
        <v>67.8553</v>
      </c>
      <c r="O32" s="67"/>
      <c r="P32" s="9"/>
      <c r="Q32" s="34"/>
      <c r="R32" s="34"/>
      <c r="S32" s="34"/>
      <c r="T32" s="34"/>
      <c r="U32" s="34"/>
      <c r="V32" s="9"/>
      <c r="W32" s="34"/>
      <c r="X32" s="9"/>
      <c r="Y32" s="9"/>
      <c r="Z32" s="34"/>
      <c r="AA32" s="34"/>
      <c r="AB32" s="34"/>
      <c r="AD32" s="5" t="s">
        <v>164</v>
      </c>
      <c r="AE32" s="5">
        <f t="shared" si="16"/>
        <v>0</v>
      </c>
      <c r="AF32" s="5">
        <f t="shared" si="16"/>
        <v>0</v>
      </c>
      <c r="AG32" s="5">
        <f t="shared" si="16"/>
        <v>0</v>
      </c>
      <c r="AH32" s="5">
        <f t="shared" si="16"/>
        <v>0</v>
      </c>
      <c r="AI32" s="5">
        <f t="shared" si="16"/>
        <v>0</v>
      </c>
      <c r="AJ32" s="5">
        <f t="shared" si="16"/>
        <v>0</v>
      </c>
      <c r="AK32" s="5">
        <f t="shared" si="16"/>
        <v>0</v>
      </c>
      <c r="AL32" s="5">
        <f t="shared" si="16"/>
        <v>0</v>
      </c>
      <c r="AM32" s="5">
        <f t="shared" si="16"/>
        <v>0</v>
      </c>
      <c r="AO32" s="5" t="str">
        <f t="shared" si="17"/>
        <v>0, 0, 0, 0, 0, 0, 0, 0, 0,</v>
      </c>
      <c r="AP32" s="5"/>
      <c r="AQ32" s="5"/>
      <c r="AR32" s="5"/>
      <c r="AS32" s="5"/>
      <c r="AT32" s="5"/>
      <c r="AU32" s="5"/>
      <c r="AV32" s="5"/>
    </row>
    <row r="33" spans="1:48" x14ac:dyDescent="0.3">
      <c r="A33" s="66"/>
      <c r="B33" s="1" t="s">
        <v>158</v>
      </c>
      <c r="C33" s="34">
        <f>_xll.BDH(C10,$B$2,$B$25,$B$25)</f>
        <v>68.210400000000007</v>
      </c>
      <c r="D33" s="34">
        <f>_xll.BDH(D10,$B$2,$B$25,$B$25)</f>
        <v>67.250200000000007</v>
      </c>
      <c r="E33" s="34">
        <f>_xll.BDH(E10,$B$2,$B$25,$B$25)</f>
        <v>65.0261</v>
      </c>
      <c r="F33" s="34">
        <f>_xll.BDH(F10,$B$2,$B$25,$B$25)</f>
        <v>60.438400000000001</v>
      </c>
      <c r="G33" s="34">
        <f>_xll.BDH(G10,$B$2,$B$25,$B$25)</f>
        <v>62.411299999999997</v>
      </c>
      <c r="H33" s="9">
        <f>_xll.BDH(H10,$B$2,$B$25,$B$25)</f>
        <v>60.862900000000003</v>
      </c>
      <c r="I33" s="34">
        <f>_xll.BDH(I10,$B$2,$B$25,$B$25)</f>
        <v>59.378700000000002</v>
      </c>
      <c r="J33" s="9">
        <f>_xll.BDH(J10,$B$2,$B$25,$B$25)</f>
        <v>59.742100000000001</v>
      </c>
      <c r="K33" s="9">
        <f>_xll.BDH(K10,$B$2,$B$25,$B$25)</f>
        <v>60.292400000000001</v>
      </c>
      <c r="L33" s="34">
        <f>_xll.BDH(L10,$B$2,$B$25,$B$25)</f>
        <v>60.820099999999996</v>
      </c>
      <c r="M33" s="34">
        <f>_xll.BDH(M10,$B$2,$B$25,$B$25)</f>
        <v>62.947099999999999</v>
      </c>
      <c r="N33" s="34">
        <f>_xll.BDH(N10,$B$2,$B$25,$B$25)</f>
        <v>59.326500000000003</v>
      </c>
      <c r="O33" s="67"/>
      <c r="P33" s="9"/>
      <c r="Q33" s="34"/>
      <c r="R33" s="34"/>
      <c r="S33" s="34"/>
      <c r="T33" s="34"/>
      <c r="U33" s="34"/>
      <c r="V33" s="9"/>
      <c r="W33" s="34"/>
      <c r="X33" s="9"/>
      <c r="Y33" s="9"/>
      <c r="Z33" s="34"/>
      <c r="AA33" s="34"/>
      <c r="AB33" s="34"/>
      <c r="AD33" s="5" t="s">
        <v>165</v>
      </c>
      <c r="AE33" s="5">
        <f t="shared" si="16"/>
        <v>0</v>
      </c>
      <c r="AF33" s="5">
        <f t="shared" si="16"/>
        <v>0</v>
      </c>
      <c r="AG33" s="5">
        <f t="shared" si="16"/>
        <v>0</v>
      </c>
      <c r="AH33" s="5">
        <f t="shared" si="16"/>
        <v>0</v>
      </c>
      <c r="AI33" s="5">
        <f t="shared" si="16"/>
        <v>0</v>
      </c>
      <c r="AJ33" s="5">
        <f t="shared" si="16"/>
        <v>0</v>
      </c>
      <c r="AK33" s="5">
        <f t="shared" si="16"/>
        <v>0</v>
      </c>
      <c r="AL33" s="5">
        <f t="shared" si="16"/>
        <v>0</v>
      </c>
      <c r="AM33" s="5">
        <f t="shared" si="16"/>
        <v>0</v>
      </c>
      <c r="AO33" s="5" t="str">
        <f t="shared" si="17"/>
        <v>0, 0, 0, 0, 0, 0, 0, 0, 0,</v>
      </c>
      <c r="AP33" s="5"/>
      <c r="AQ33" s="5"/>
      <c r="AR33" s="5"/>
      <c r="AS33" s="5"/>
      <c r="AT33" s="5"/>
      <c r="AU33" s="5"/>
      <c r="AV33" s="5"/>
    </row>
    <row r="34" spans="1:48" x14ac:dyDescent="0.3">
      <c r="A34" s="66"/>
      <c r="B34" s="1" t="s">
        <v>159</v>
      </c>
      <c r="C34" s="34">
        <f>_xll.BDH(C11,$B$2,$B$25,$B$25)</f>
        <v>63.6327</v>
      </c>
      <c r="D34" s="34">
        <f>_xll.BDH(D11,$B$2,$B$25,$B$25)</f>
        <v>62.695099999999996</v>
      </c>
      <c r="E34" s="34">
        <f>_xll.BDH(E11,$B$2,$B$25,$B$25)</f>
        <v>61.063899999999997</v>
      </c>
      <c r="F34" s="34">
        <f>_xll.BDH(F11,$B$2,$B$25,$B$25)</f>
        <v>59.383600000000001</v>
      </c>
      <c r="G34" s="34">
        <f>_xll.BDH(G11,$B$2,$B$25,$B$25)</f>
        <v>56.052399999999999</v>
      </c>
      <c r="H34" s="9">
        <f>_xll.BDH(H11,$B$2,$B$25,$B$25)</f>
        <v>55.9756</v>
      </c>
      <c r="I34" s="34">
        <f>_xll.BDH(I11,$B$2,$B$25,$B$25)</f>
        <v>55.929099999999998</v>
      </c>
      <c r="J34" s="9">
        <f>_xll.BDH(J11,$B$2,$B$25,$B$25)</f>
        <v>56.197899999999997</v>
      </c>
      <c r="K34" s="9">
        <f>_xll.BDH(K11,$B$2,$B$25,$B$25)</f>
        <v>56.431600000000003</v>
      </c>
      <c r="L34" s="34">
        <f>_xll.BDH(L11,$B$2,$B$25,$B$25)</f>
        <v>56.148200000000003</v>
      </c>
      <c r="M34" s="34">
        <f>_xll.BDH(M11,$B$2,$B$25,$B$25)</f>
        <v>58.699100000000001</v>
      </c>
      <c r="N34" s="34">
        <f>_xll.BDH(N11,$B$2,$B$25,$B$25)</f>
        <v>54.7864</v>
      </c>
      <c r="O34" s="67"/>
      <c r="P34" s="9"/>
      <c r="Q34" s="34"/>
      <c r="R34" s="34"/>
      <c r="S34" s="34"/>
      <c r="T34" s="34"/>
      <c r="U34" s="34"/>
      <c r="V34" s="9"/>
      <c r="W34" s="34"/>
      <c r="X34" s="9"/>
      <c r="Y34" s="9"/>
      <c r="Z34" s="34"/>
      <c r="AA34" s="34"/>
      <c r="AB34" s="34"/>
      <c r="AD34" s="5" t="s">
        <v>166</v>
      </c>
      <c r="AE34" s="5">
        <f t="shared" si="16"/>
        <v>0</v>
      </c>
      <c r="AF34" s="5">
        <f t="shared" si="16"/>
        <v>0</v>
      </c>
      <c r="AG34" s="5">
        <f t="shared" si="16"/>
        <v>0</v>
      </c>
      <c r="AH34" s="5">
        <f t="shared" si="16"/>
        <v>0</v>
      </c>
      <c r="AI34" s="5">
        <f t="shared" si="16"/>
        <v>0</v>
      </c>
      <c r="AJ34" s="5">
        <f t="shared" si="16"/>
        <v>0</v>
      </c>
      <c r="AK34" s="5">
        <f t="shared" si="16"/>
        <v>0</v>
      </c>
      <c r="AL34" s="5">
        <f t="shared" si="16"/>
        <v>0</v>
      </c>
      <c r="AM34" s="5">
        <f t="shared" si="16"/>
        <v>0</v>
      </c>
      <c r="AO34" s="5" t="str">
        <f>AE34&amp;", "&amp;AF34&amp;", "&amp;AG34&amp;", "&amp;AH34&amp;", "&amp;AI34&amp;", "&amp;AJ34&amp;", "&amp;AK34&amp;", "&amp;AL34&amp;", "&amp;AM34</f>
        <v>0, 0, 0, 0, 0, 0, 0, 0, 0</v>
      </c>
      <c r="AP34" s="5"/>
      <c r="AQ34" s="5"/>
      <c r="AR34" s="5"/>
      <c r="AS34" s="5"/>
      <c r="AT34" s="5"/>
      <c r="AU34" s="5"/>
      <c r="AV34" s="5"/>
    </row>
    <row r="35" spans="1:48" x14ac:dyDescent="0.3">
      <c r="A35" s="66"/>
      <c r="B35" s="1" t="s">
        <v>161</v>
      </c>
      <c r="C35" s="34">
        <f>_xll.BDH(C12,$B$2,$B$25,$B$25)</f>
        <v>58.706400000000002</v>
      </c>
      <c r="D35" s="34">
        <f>_xll.BDH(D12,$B$2,$B$25,$B$25)</f>
        <v>57.026499999999999</v>
      </c>
      <c r="E35" s="34">
        <f>_xll.BDH(E12,$B$2,$B$25,$B$25)</f>
        <v>56.758699999999997</v>
      </c>
      <c r="F35" s="34">
        <f>_xll.BDH(F12,$B$2,$B$25,$B$25)</f>
        <v>54.657499999999999</v>
      </c>
      <c r="G35" s="34">
        <f>_xll.BDH(G12,$B$2,$B$25,$B$25)</f>
        <v>53.3827</v>
      </c>
      <c r="H35" s="9">
        <f>_xll.BDH(H12,$B$2,$B$25,$B$25)</f>
        <v>53.278799999999997</v>
      </c>
      <c r="I35" s="34">
        <f>_xll.BDH(I12,$B$2,$B$25,$B$25)</f>
        <v>53.377899999999997</v>
      </c>
      <c r="J35" s="9">
        <f>_xll.BDH(J12,$B$2,$B$25,$B$25)</f>
        <v>53.797600000000003</v>
      </c>
      <c r="K35" s="9">
        <f>_xll.BDH(K12,$B$2,$B$25,$B$25)</f>
        <v>53.648200000000003</v>
      </c>
      <c r="L35" s="34">
        <f>_xll.BDH(L12,$B$2,$B$25,$B$25)</f>
        <v>53.5779</v>
      </c>
      <c r="M35" s="34">
        <f>_xll.BDH(M12,$B$2,$B$25,$B$25)</f>
        <v>54.608199999999997</v>
      </c>
      <c r="N35" s="34">
        <f>_xll.BDH(N12,$B$2,$B$25,$B$25)</f>
        <v>51.7547</v>
      </c>
      <c r="O35" s="67"/>
      <c r="P35" s="9"/>
      <c r="Q35" s="34"/>
      <c r="R35" s="34"/>
      <c r="S35" s="34"/>
      <c r="T35" s="34"/>
      <c r="U35" s="34"/>
      <c r="V35" s="9"/>
      <c r="W35" s="34"/>
      <c r="X35" s="9"/>
      <c r="Y35" s="9"/>
      <c r="Z35" s="34"/>
      <c r="AA35" s="34"/>
      <c r="AB35" s="34"/>
    </row>
    <row r="36" spans="1:48" x14ac:dyDescent="0.3">
      <c r="A36" s="66"/>
      <c r="B36" s="1" t="s">
        <v>164</v>
      </c>
      <c r="C36" s="34">
        <f>_xll.BDH(C13,$B$2,$B$25,$B$25)</f>
        <v>54.596400000000003</v>
      </c>
      <c r="D36" s="34">
        <f>_xll.BDH(D13,$B$2,$B$25,$B$25)</f>
        <v>54.293900000000001</v>
      </c>
      <c r="E36" s="34">
        <f>_xll.BDH(E13,$B$2,$B$25,$B$25)</f>
        <v>55.0548</v>
      </c>
      <c r="F36" s="34">
        <f>_xll.BDH(F13,$B$2,$B$25,$B$25)</f>
        <v>52.064999999999998</v>
      </c>
      <c r="G36" s="34">
        <f>_xll.BDH(G13,$B$2,$B$25,$B$25)</f>
        <v>51.728400000000001</v>
      </c>
      <c r="H36" s="9">
        <f>_xll.BDH(H13,$B$2,$B$25,$B$25)</f>
        <v>51.877099999999999</v>
      </c>
      <c r="I36" s="34">
        <f>_xll.BDH(I13,$B$2,$B$25,$B$25)</f>
        <v>51.955100000000002</v>
      </c>
      <c r="J36" s="9">
        <f>_xll.BDH(J13,$B$2,$B$25,$B$25)</f>
        <v>51.979300000000002</v>
      </c>
      <c r="K36" s="9">
        <f>_xll.BDH(K13,$B$2,$B$25,$B$25)</f>
        <v>52.091299999999997</v>
      </c>
      <c r="L36" s="34">
        <f>_xll.BDH(L13,$B$2,$B$25,$B$25)</f>
        <v>52.270899999999997</v>
      </c>
      <c r="M36" s="34">
        <f>_xll.BDH(M13,$B$2,$B$25,$B$25)</f>
        <v>52.700400000000002</v>
      </c>
      <c r="N36" s="34">
        <f>_xll.BDH(N13,$B$2,$B$25,$B$25)</f>
        <v>50.142499999999998</v>
      </c>
      <c r="O36" s="67"/>
      <c r="P36" s="9"/>
      <c r="Q36" s="34"/>
      <c r="R36" s="34"/>
      <c r="S36" s="34"/>
      <c r="T36" s="34"/>
      <c r="U36" s="34"/>
      <c r="V36" s="9"/>
      <c r="W36" s="34"/>
      <c r="X36" s="9"/>
      <c r="Y36" s="9"/>
      <c r="Z36" s="34"/>
      <c r="AA36" s="34"/>
      <c r="AB36" s="34"/>
      <c r="AD36" s="5" t="s">
        <v>592</v>
      </c>
      <c r="AE36" s="5" t="s">
        <v>155</v>
      </c>
      <c r="AF36" s="5" t="s">
        <v>156</v>
      </c>
      <c r="AG36" s="5" t="s">
        <v>157</v>
      </c>
      <c r="AH36" s="5" t="s">
        <v>158</v>
      </c>
      <c r="AI36" s="5" t="s">
        <v>159</v>
      </c>
      <c r="AJ36" s="5" t="s">
        <v>161</v>
      </c>
      <c r="AK36" s="5" t="s">
        <v>164</v>
      </c>
      <c r="AL36" s="5" t="s">
        <v>165</v>
      </c>
      <c r="AM36" s="5" t="s">
        <v>166</v>
      </c>
      <c r="AO36" s="1" t="s">
        <v>593</v>
      </c>
    </row>
    <row r="37" spans="1:48" x14ac:dyDescent="0.3">
      <c r="A37" s="66"/>
      <c r="B37" s="1" t="s">
        <v>165</v>
      </c>
      <c r="C37" s="34">
        <f>_xll.BDH(C14,$B$2,$B$25,$B$25)</f>
        <v>54.0229</v>
      </c>
      <c r="D37" s="34">
        <f>_xll.BDH(D14,$B$2,$B$25,$B$25)</f>
        <v>52.8765</v>
      </c>
      <c r="E37" s="34">
        <f>_xll.BDH(E14,$B$2,$B$25,$B$25)</f>
        <v>53.960799999999999</v>
      </c>
      <c r="F37" s="34">
        <f>_xll.BDH(F14,$B$2,$B$25,$B$25)</f>
        <v>50.238599999999998</v>
      </c>
      <c r="G37" s="34">
        <f>_xll.BDH(G14,$B$2,$B$25,$B$25)</f>
        <v>50.863100000000003</v>
      </c>
      <c r="H37" s="9">
        <f>_xll.BDH(H14,$B$2,$B$25,$B$25)</f>
        <v>51.261699999999998</v>
      </c>
      <c r="I37" s="34">
        <f>_xll.BDH(I14,$B$2,$B$25,$B$25)</f>
        <v>50.9358</v>
      </c>
      <c r="J37" s="9">
        <f>_xll.BDH(J14,$B$2,$B$25,$B$25)</f>
        <v>51.382300000000001</v>
      </c>
      <c r="K37" s="9">
        <f>_xll.BDH(K14,$B$2,$B$25,$B$25)</f>
        <v>51.895000000000003</v>
      </c>
      <c r="L37" s="34">
        <f>_xll.BDH(L14,$B$2,$B$25,$B$25)</f>
        <v>51.6708</v>
      </c>
      <c r="M37" s="34">
        <f>_xll.BDH(M14,$B$2,$B$25,$B$25)</f>
        <v>51.8827</v>
      </c>
      <c r="N37" s="34">
        <f>_xll.BDH(N14,$B$2,$B$25,$B$25)</f>
        <v>49.097000000000001</v>
      </c>
      <c r="O37" s="67"/>
      <c r="P37" s="9"/>
      <c r="Q37" s="34"/>
      <c r="R37" s="34"/>
      <c r="S37" s="34"/>
      <c r="T37" s="34"/>
      <c r="U37" s="34"/>
      <c r="V37" s="9"/>
      <c r="W37" s="34"/>
      <c r="X37" s="9"/>
      <c r="Y37" s="9"/>
      <c r="Z37" s="34"/>
      <c r="AA37" s="34"/>
      <c r="AB37" s="34"/>
      <c r="AD37" s="5" t="s">
        <v>155</v>
      </c>
      <c r="AE37" s="5">
        <f t="shared" ref="AE37:AI45" si="18">C30</f>
        <v>73.252200000000002</v>
      </c>
      <c r="AF37" s="5">
        <f t="shared" si="18"/>
        <v>71.497600000000006</v>
      </c>
      <c r="AG37" s="5">
        <f t="shared" si="18"/>
        <v>70.9756</v>
      </c>
      <c r="AH37" s="5">
        <f t="shared" si="18"/>
        <v>70.448899999999995</v>
      </c>
      <c r="AI37" s="5">
        <f t="shared" si="18"/>
        <v>69.862399999999994</v>
      </c>
      <c r="AJ37" s="5">
        <f>I30</f>
        <v>71.414500000000004</v>
      </c>
      <c r="AK37" s="5">
        <f t="shared" ref="AK37:AM45" si="19">L30</f>
        <v>73.381500000000003</v>
      </c>
      <c r="AL37" s="5">
        <f t="shared" si="19"/>
        <v>75.690899999999999</v>
      </c>
      <c r="AM37" s="5">
        <f t="shared" si="19"/>
        <v>78.721699999999998</v>
      </c>
      <c r="AO37" s="5" t="str">
        <f>AE37&amp;", "&amp;AF37&amp;", "&amp;AG37&amp;", "&amp;AH37&amp;", "&amp;AI37&amp;", "&amp;AJ37&amp;", "&amp;AK37&amp;", "&amp;AL37&amp;", "&amp;AM37&amp;","</f>
        <v>73.2522, 71.4976, 70.9756, 70.4489, 69.8624, 71.4145, 73.3815, 75.6909, 78.7217,</v>
      </c>
      <c r="AP37" s="5"/>
      <c r="AQ37" s="5"/>
      <c r="AR37" s="5"/>
      <c r="AS37" s="5"/>
      <c r="AT37" s="5"/>
      <c r="AU37" s="5"/>
      <c r="AV37" s="5"/>
    </row>
    <row r="38" spans="1:48" x14ac:dyDescent="0.3">
      <c r="A38" s="66"/>
      <c r="B38" s="1" t="s">
        <v>166</v>
      </c>
      <c r="C38" s="34">
        <f>_xll.BDH(C15,$B$2,$B$25,$B$25)</f>
        <v>53.161799999999999</v>
      </c>
      <c r="D38" s="34">
        <f>_xll.BDH(D15,$B$2,$B$25,$B$25)</f>
        <v>51.4574</v>
      </c>
      <c r="E38" s="34">
        <f>_xll.BDH(E15,$B$2,$B$25,$B$25)</f>
        <v>52.871000000000002</v>
      </c>
      <c r="F38" s="34">
        <f>_xll.BDH(F15,$B$2,$B$25,$B$25)</f>
        <v>48.743099999999998</v>
      </c>
      <c r="G38" s="34">
        <f>_xll.BDH(G15,$B$2,$B$25,$B$25)</f>
        <v>49.980200000000004</v>
      </c>
      <c r="H38" s="9">
        <f>_xll.BDH(H15,$B$2,$B$25,$B$25)</f>
        <v>49.864800000000002</v>
      </c>
      <c r="I38" s="34">
        <f>_xll.BDH(I15,$B$2,$B$25,$B$25)</f>
        <v>49.903700000000001</v>
      </c>
      <c r="J38" s="9">
        <f>_xll.BDH(J15,$B$2,$B$25,$B$25)</f>
        <v>50.7605</v>
      </c>
      <c r="K38" s="9">
        <f>_xll.BDH(K15,$B$2,$B$25,$B$25)</f>
        <v>50.780200000000001</v>
      </c>
      <c r="L38" s="34">
        <f>_xll.BDH(L15,$B$2,$B$25,$B$25)</f>
        <v>50.923000000000002</v>
      </c>
      <c r="M38" s="34">
        <f>_xll.BDH(M15,$B$2,$B$25,$B$25)</f>
        <v>50.993200000000002</v>
      </c>
      <c r="N38" s="34">
        <f>_xll.BDH(N15,$B$2,$B$25,$B$25)</f>
        <v>48.031999999999996</v>
      </c>
      <c r="O38" s="67"/>
      <c r="P38" s="9"/>
      <c r="Q38" s="34"/>
      <c r="R38" s="34"/>
      <c r="S38" s="34"/>
      <c r="T38" s="34"/>
      <c r="U38" s="34"/>
      <c r="V38" s="9"/>
      <c r="W38" s="34"/>
      <c r="X38" s="9"/>
      <c r="Y38" s="9"/>
      <c r="Z38" s="34"/>
      <c r="AA38" s="34"/>
      <c r="AB38" s="34"/>
      <c r="AD38" s="5" t="s">
        <v>156</v>
      </c>
      <c r="AE38" s="5">
        <f t="shared" si="18"/>
        <v>72.978700000000003</v>
      </c>
      <c r="AF38" s="5">
        <f t="shared" si="18"/>
        <v>73.424599999999998</v>
      </c>
      <c r="AG38" s="5">
        <f t="shared" si="18"/>
        <v>72.263199999999998</v>
      </c>
      <c r="AH38" s="5">
        <f t="shared" si="18"/>
        <v>66.380499999999998</v>
      </c>
      <c r="AI38" s="5">
        <f t="shared" si="18"/>
        <v>65.634500000000003</v>
      </c>
      <c r="AJ38" s="5">
        <f t="shared" ref="AJ38:AJ45" si="20">I31</f>
        <v>67.823599999999999</v>
      </c>
      <c r="AK38" s="5">
        <f t="shared" si="19"/>
        <v>68.67</v>
      </c>
      <c r="AL38" s="5">
        <f t="shared" si="19"/>
        <v>70.205200000000005</v>
      </c>
      <c r="AM38" s="5">
        <f t="shared" si="19"/>
        <v>76.730699999999999</v>
      </c>
      <c r="AO38" s="5" t="str">
        <f t="shared" ref="AO38:AO45" si="21">AE38&amp;", "&amp;AF38&amp;", "&amp;AG38&amp;", "&amp;AH38&amp;", "&amp;AI38&amp;", "&amp;AJ38&amp;", "&amp;AK38&amp;", "&amp;AL38&amp;", "&amp;AM38&amp;","</f>
        <v>72.9787, 73.4246, 72.2632, 66.3805, 65.6345, 67.8236, 68.67, 70.2052, 76.7307,</v>
      </c>
      <c r="AP38" s="5"/>
      <c r="AQ38" s="5"/>
      <c r="AR38" s="5"/>
      <c r="AS38" s="5"/>
      <c r="AT38" s="5"/>
      <c r="AU38" s="5"/>
      <c r="AV38" s="5"/>
    </row>
    <row r="39" spans="1:48" ht="14.25" thickBot="1" x14ac:dyDescent="0.35">
      <c r="A39" s="1" t="s">
        <v>501</v>
      </c>
      <c r="AD39" s="5" t="s">
        <v>157</v>
      </c>
      <c r="AE39" s="5">
        <f t="shared" si="18"/>
        <v>70.597300000000004</v>
      </c>
      <c r="AF39" s="5">
        <f t="shared" si="18"/>
        <v>70.309399999999997</v>
      </c>
      <c r="AG39" s="5">
        <f t="shared" si="18"/>
        <v>68.591899999999995</v>
      </c>
      <c r="AH39" s="5">
        <f t="shared" si="18"/>
        <v>63.365499999999997</v>
      </c>
      <c r="AI39" s="5">
        <f t="shared" si="18"/>
        <v>64.006500000000003</v>
      </c>
      <c r="AJ39" s="5">
        <f t="shared" si="20"/>
        <v>63.546799999999998</v>
      </c>
      <c r="AK39" s="5">
        <f t="shared" si="19"/>
        <v>64.703900000000004</v>
      </c>
      <c r="AL39" s="5">
        <f t="shared" si="19"/>
        <v>66.507000000000005</v>
      </c>
      <c r="AM39" s="5">
        <f t="shared" si="19"/>
        <v>67.8553</v>
      </c>
      <c r="AO39" s="5" t="str">
        <f t="shared" si="21"/>
        <v>70.5973, 70.3094, 68.5919, 63.3655, 64.0065, 63.5468, 64.7039, 66.507, 67.8553,</v>
      </c>
      <c r="AP39" s="5"/>
      <c r="AQ39" s="5"/>
      <c r="AR39" s="5"/>
      <c r="AS39" s="5"/>
      <c r="AT39" s="5"/>
      <c r="AU39" s="5"/>
      <c r="AV39" s="5"/>
    </row>
    <row r="40" spans="1:48" ht="16.5" customHeight="1" thickBot="1" x14ac:dyDescent="0.35">
      <c r="A40" s="15" t="s">
        <v>298</v>
      </c>
      <c r="B40" s="22" t="s">
        <v>299</v>
      </c>
      <c r="C40" s="23" t="s">
        <v>300</v>
      </c>
      <c r="AD40" s="5" t="s">
        <v>158</v>
      </c>
      <c r="AE40" s="5">
        <f t="shared" si="18"/>
        <v>68.210400000000007</v>
      </c>
      <c r="AF40" s="5">
        <f t="shared" si="18"/>
        <v>67.250200000000007</v>
      </c>
      <c r="AG40" s="5">
        <f t="shared" si="18"/>
        <v>65.0261</v>
      </c>
      <c r="AH40" s="5">
        <f t="shared" si="18"/>
        <v>60.438400000000001</v>
      </c>
      <c r="AI40" s="5">
        <f t="shared" si="18"/>
        <v>62.411299999999997</v>
      </c>
      <c r="AJ40" s="5">
        <f t="shared" si="20"/>
        <v>59.378700000000002</v>
      </c>
      <c r="AK40" s="5">
        <f t="shared" si="19"/>
        <v>60.820099999999996</v>
      </c>
      <c r="AL40" s="5">
        <f t="shared" si="19"/>
        <v>62.947099999999999</v>
      </c>
      <c r="AM40" s="5">
        <f t="shared" si="19"/>
        <v>59.326500000000003</v>
      </c>
      <c r="AO40" s="5" t="str">
        <f t="shared" si="21"/>
        <v>68.2104, 67.2502, 65.0261, 60.4384, 62.4113, 59.3787, 60.8201, 62.9471, 59.3265,</v>
      </c>
      <c r="AP40" s="5"/>
      <c r="AQ40" s="5"/>
      <c r="AR40" s="5"/>
      <c r="AS40" s="5"/>
      <c r="AT40" s="5"/>
      <c r="AU40" s="5"/>
      <c r="AV40" s="5"/>
    </row>
    <row r="41" spans="1:48" x14ac:dyDescent="0.3">
      <c r="A41" s="16" t="s">
        <v>479</v>
      </c>
      <c r="B41" s="17">
        <f>C38</f>
        <v>53.161799999999999</v>
      </c>
      <c r="C41" s="31">
        <f>Q38</f>
        <v>0</v>
      </c>
      <c r="T41" s="30" t="s">
        <v>500</v>
      </c>
      <c r="U41" s="24"/>
      <c r="V41" s="24"/>
      <c r="W41" s="25"/>
      <c r="Y41" s="35" t="s">
        <v>296</v>
      </c>
      <c r="Z41" s="35"/>
      <c r="AA41" s="36">
        <v>44376</v>
      </c>
      <c r="AD41" s="5" t="s">
        <v>159</v>
      </c>
      <c r="AE41" s="5">
        <f t="shared" si="18"/>
        <v>63.6327</v>
      </c>
      <c r="AF41" s="5">
        <f t="shared" si="18"/>
        <v>62.695099999999996</v>
      </c>
      <c r="AG41" s="5">
        <f t="shared" si="18"/>
        <v>61.063899999999997</v>
      </c>
      <c r="AH41" s="5">
        <f t="shared" si="18"/>
        <v>59.383600000000001</v>
      </c>
      <c r="AI41" s="5">
        <f t="shared" si="18"/>
        <v>56.052399999999999</v>
      </c>
      <c r="AJ41" s="5">
        <f t="shared" si="20"/>
        <v>55.929099999999998</v>
      </c>
      <c r="AK41" s="5">
        <f t="shared" si="19"/>
        <v>56.148200000000003</v>
      </c>
      <c r="AL41" s="5">
        <f t="shared" si="19"/>
        <v>58.699100000000001</v>
      </c>
      <c r="AM41" s="5">
        <f t="shared" si="19"/>
        <v>54.7864</v>
      </c>
      <c r="AO41" s="5" t="str">
        <f t="shared" si="21"/>
        <v>63.6327, 62.6951, 61.0639, 59.3836, 56.0524, 55.9291, 56.1482, 58.6991, 54.7864,</v>
      </c>
      <c r="AP41" s="5"/>
      <c r="AQ41" s="5"/>
      <c r="AR41" s="5"/>
      <c r="AS41" s="5"/>
      <c r="AT41" s="5"/>
      <c r="AU41" s="5"/>
      <c r="AV41" s="5"/>
    </row>
    <row r="42" spans="1:48" ht="16.5" x14ac:dyDescent="0.3">
      <c r="A42" s="16" t="s">
        <v>481</v>
      </c>
      <c r="B42" s="17">
        <f>D37</f>
        <v>52.8765</v>
      </c>
      <c r="C42" s="31">
        <f>R37</f>
        <v>0</v>
      </c>
      <c r="T42" s="26">
        <f>$B$25</f>
        <v>44634</v>
      </c>
      <c r="U42" s="27" t="str">
        <f>$B$40</f>
        <v>Normal</v>
      </c>
      <c r="V42" s="27" t="str">
        <f>A41</f>
        <v>20Y1Y</v>
      </c>
      <c r="W42" s="18">
        <f>B41</f>
        <v>53.161799999999999</v>
      </c>
      <c r="Y42" t="s">
        <v>502</v>
      </c>
      <c r="Z42" t="s">
        <v>516</v>
      </c>
      <c r="AA42" t="str">
        <f>_xll.BDH(Y42,$A$1,$C$1,$C$1)</f>
        <v>#N/A Mandatory parameter [FIELDS] cannot be empty</v>
      </c>
      <c r="AD42" s="5" t="s">
        <v>161</v>
      </c>
      <c r="AE42" s="5">
        <f t="shared" si="18"/>
        <v>58.706400000000002</v>
      </c>
      <c r="AF42" s="5">
        <f t="shared" si="18"/>
        <v>57.026499999999999</v>
      </c>
      <c r="AG42" s="5">
        <f t="shared" si="18"/>
        <v>56.758699999999997</v>
      </c>
      <c r="AH42" s="5">
        <f t="shared" si="18"/>
        <v>54.657499999999999</v>
      </c>
      <c r="AI42" s="5">
        <f t="shared" si="18"/>
        <v>53.3827</v>
      </c>
      <c r="AJ42" s="5">
        <f t="shared" si="20"/>
        <v>53.377899999999997</v>
      </c>
      <c r="AK42" s="5">
        <f t="shared" si="19"/>
        <v>53.5779</v>
      </c>
      <c r="AL42" s="5">
        <f t="shared" si="19"/>
        <v>54.608199999999997</v>
      </c>
      <c r="AM42" s="5">
        <f t="shared" si="19"/>
        <v>51.7547</v>
      </c>
      <c r="AO42" s="5" t="str">
        <f t="shared" si="21"/>
        <v>58.7064, 57.0265, 56.7587, 54.6575, 53.3827, 53.3779, 53.5779, 54.6082, 51.7547,</v>
      </c>
      <c r="AP42" s="5"/>
      <c r="AQ42" s="5"/>
      <c r="AR42" s="5"/>
      <c r="AS42" s="5"/>
      <c r="AT42" s="5"/>
      <c r="AU42" s="5"/>
      <c r="AV42" s="5"/>
    </row>
    <row r="43" spans="1:48" ht="16.5" x14ac:dyDescent="0.3">
      <c r="A43" s="16" t="s">
        <v>483</v>
      </c>
      <c r="B43" s="17">
        <f>E36</f>
        <v>55.0548</v>
      </c>
      <c r="C43" s="31">
        <f>S36</f>
        <v>0</v>
      </c>
      <c r="T43" s="26">
        <f t="shared" ref="T43:T59" si="22">$B$25</f>
        <v>44634</v>
      </c>
      <c r="U43" s="27" t="str">
        <f t="shared" ref="U43:U50" si="23">$B$40</f>
        <v>Normal</v>
      </c>
      <c r="V43" s="27" t="str">
        <f t="shared" ref="V43:W50" si="24">A42</f>
        <v>15Y2Y</v>
      </c>
      <c r="W43" s="18">
        <f t="shared" si="24"/>
        <v>52.8765</v>
      </c>
      <c r="Y43" t="s">
        <v>503</v>
      </c>
      <c r="Z43" t="s">
        <v>517</v>
      </c>
      <c r="AA43" t="str">
        <f>_xll.BDH(Y43,$A$1,$C$1,$C$1)</f>
        <v>#N/A Mandatory parameter [FIELDS] cannot be empty</v>
      </c>
      <c r="AD43" s="5" t="s">
        <v>164</v>
      </c>
      <c r="AE43" s="5">
        <f t="shared" si="18"/>
        <v>54.596400000000003</v>
      </c>
      <c r="AF43" s="5">
        <f t="shared" si="18"/>
        <v>54.293900000000001</v>
      </c>
      <c r="AG43" s="5">
        <f t="shared" si="18"/>
        <v>55.0548</v>
      </c>
      <c r="AH43" s="5">
        <f t="shared" si="18"/>
        <v>52.064999999999998</v>
      </c>
      <c r="AI43" s="5">
        <f t="shared" si="18"/>
        <v>51.728400000000001</v>
      </c>
      <c r="AJ43" s="5">
        <f t="shared" si="20"/>
        <v>51.955100000000002</v>
      </c>
      <c r="AK43" s="5">
        <f t="shared" si="19"/>
        <v>52.270899999999997</v>
      </c>
      <c r="AL43" s="5">
        <f t="shared" si="19"/>
        <v>52.700400000000002</v>
      </c>
      <c r="AM43" s="5">
        <f t="shared" si="19"/>
        <v>50.142499999999998</v>
      </c>
      <c r="AO43" s="5" t="str">
        <f t="shared" si="21"/>
        <v>54.5964, 54.2939, 55.0548, 52.065, 51.7284, 51.9551, 52.2709, 52.7004, 50.1425,</v>
      </c>
      <c r="AP43" s="5"/>
      <c r="AQ43" s="5"/>
      <c r="AR43" s="5"/>
      <c r="AS43" s="5"/>
      <c r="AT43" s="5"/>
      <c r="AU43" s="5"/>
      <c r="AV43" s="5"/>
    </row>
    <row r="44" spans="1:48" ht="16.5" x14ac:dyDescent="0.3">
      <c r="A44" s="16" t="s">
        <v>485</v>
      </c>
      <c r="B44" s="17">
        <f>F35</f>
        <v>54.657499999999999</v>
      </c>
      <c r="C44" s="31">
        <f>T35</f>
        <v>0</v>
      </c>
      <c r="T44" s="26">
        <f t="shared" si="22"/>
        <v>44634</v>
      </c>
      <c r="U44" s="27" t="str">
        <f t="shared" si="23"/>
        <v>Normal</v>
      </c>
      <c r="V44" s="27" t="str">
        <f t="shared" si="24"/>
        <v>10Y3Y</v>
      </c>
      <c r="W44" s="18">
        <f t="shared" si="24"/>
        <v>55.0548</v>
      </c>
      <c r="Y44" t="s">
        <v>504</v>
      </c>
      <c r="Z44" t="s">
        <v>518</v>
      </c>
      <c r="AA44" t="str">
        <f>_xll.BDH(Y44,$A$1,$C$1,$C$1)</f>
        <v>#N/A Mandatory parameter [FIELDS] cannot be empty</v>
      </c>
      <c r="AD44" s="5" t="s">
        <v>165</v>
      </c>
      <c r="AE44" s="5">
        <f t="shared" si="18"/>
        <v>54.0229</v>
      </c>
      <c r="AF44" s="5">
        <f t="shared" si="18"/>
        <v>52.8765</v>
      </c>
      <c r="AG44" s="5">
        <f t="shared" si="18"/>
        <v>53.960799999999999</v>
      </c>
      <c r="AH44" s="5">
        <f t="shared" si="18"/>
        <v>50.238599999999998</v>
      </c>
      <c r="AI44" s="5">
        <f t="shared" si="18"/>
        <v>50.863100000000003</v>
      </c>
      <c r="AJ44" s="5">
        <f t="shared" si="20"/>
        <v>50.9358</v>
      </c>
      <c r="AK44" s="5">
        <f t="shared" si="19"/>
        <v>51.6708</v>
      </c>
      <c r="AL44" s="5">
        <f t="shared" si="19"/>
        <v>51.8827</v>
      </c>
      <c r="AM44" s="5">
        <f t="shared" si="19"/>
        <v>49.097000000000001</v>
      </c>
      <c r="AO44" s="5" t="str">
        <f t="shared" si="21"/>
        <v>54.0229, 52.8765, 53.9608, 50.2386, 50.8631, 50.9358, 51.6708, 51.8827, 49.097,</v>
      </c>
      <c r="AP44" s="5"/>
      <c r="AQ44" s="5"/>
      <c r="AR44" s="5"/>
      <c r="AS44" s="5"/>
      <c r="AT44" s="5"/>
      <c r="AU44" s="5"/>
      <c r="AV44" s="5"/>
    </row>
    <row r="45" spans="1:48" ht="16.5" x14ac:dyDescent="0.3">
      <c r="A45" s="16" t="s">
        <v>297</v>
      </c>
      <c r="B45" s="17">
        <f>G34</f>
        <v>56.052399999999999</v>
      </c>
      <c r="C45" s="31">
        <f>U34</f>
        <v>0</v>
      </c>
      <c r="T45" s="26">
        <f t="shared" si="22"/>
        <v>44634</v>
      </c>
      <c r="U45" s="27" t="str">
        <f t="shared" si="23"/>
        <v>Normal</v>
      </c>
      <c r="V45" s="27" t="str">
        <f t="shared" si="24"/>
        <v>7Y4Y</v>
      </c>
      <c r="W45" s="18">
        <f t="shared" si="24"/>
        <v>54.657499999999999</v>
      </c>
      <c r="Y45" t="s">
        <v>505</v>
      </c>
      <c r="Z45" t="s">
        <v>519</v>
      </c>
      <c r="AA45" t="str">
        <f>_xll.BDH(Y45,$A$1,$C$1,$C$1)</f>
        <v>#N/A Mandatory parameter [FIELDS] cannot be empty</v>
      </c>
      <c r="AD45" s="5" t="s">
        <v>166</v>
      </c>
      <c r="AE45" s="5">
        <f t="shared" si="18"/>
        <v>53.161799999999999</v>
      </c>
      <c r="AF45" s="5">
        <f t="shared" si="18"/>
        <v>51.4574</v>
      </c>
      <c r="AG45" s="5">
        <f t="shared" si="18"/>
        <v>52.871000000000002</v>
      </c>
      <c r="AH45" s="5">
        <f t="shared" si="18"/>
        <v>48.743099999999998</v>
      </c>
      <c r="AI45" s="5">
        <f t="shared" si="18"/>
        <v>49.980200000000004</v>
      </c>
      <c r="AJ45" s="5">
        <f t="shared" si="20"/>
        <v>49.903700000000001</v>
      </c>
      <c r="AK45" s="5">
        <f t="shared" si="19"/>
        <v>50.923000000000002</v>
      </c>
      <c r="AL45" s="5">
        <f t="shared" si="19"/>
        <v>50.993200000000002</v>
      </c>
      <c r="AM45" s="5">
        <f t="shared" si="19"/>
        <v>48.031999999999996</v>
      </c>
      <c r="AO45" s="5" t="str">
        <f t="shared" si="21"/>
        <v>53.1618, 51.4574, 52.871, 48.7431, 49.9802, 49.9037, 50.923, 50.9932, 48.032,</v>
      </c>
      <c r="AP45" s="5"/>
      <c r="AQ45" s="5"/>
      <c r="AR45" s="5"/>
      <c r="AS45" s="5"/>
      <c r="AT45" s="5"/>
      <c r="AU45" s="5"/>
      <c r="AV45" s="5"/>
    </row>
    <row r="46" spans="1:48" ht="16.5" x14ac:dyDescent="0.3">
      <c r="A46" s="16" t="s">
        <v>487</v>
      </c>
      <c r="B46" s="17">
        <f>I33</f>
        <v>59.378700000000002</v>
      </c>
      <c r="C46" s="31">
        <f>W33</f>
        <v>0</v>
      </c>
      <c r="T46" s="26">
        <f t="shared" si="22"/>
        <v>44634</v>
      </c>
      <c r="U46" s="27" t="str">
        <f t="shared" si="23"/>
        <v>Normal</v>
      </c>
      <c r="V46" s="27" t="str">
        <f t="shared" si="24"/>
        <v>5Y5Y</v>
      </c>
      <c r="W46" s="18">
        <f t="shared" si="24"/>
        <v>56.052399999999999</v>
      </c>
      <c r="Y46" t="s">
        <v>506</v>
      </c>
      <c r="Z46" t="s">
        <v>520</v>
      </c>
      <c r="AA46" t="str">
        <f>_xll.BDH(Y46,$A$1,$C$1,$C$1)</f>
        <v>#N/A Mandatory parameter [FIELDS] cannot be empty</v>
      </c>
    </row>
    <row r="47" spans="1:48" ht="16.5" x14ac:dyDescent="0.3">
      <c r="A47" s="16" t="s">
        <v>489</v>
      </c>
      <c r="B47" s="17">
        <f>L32</f>
        <v>64.703900000000004</v>
      </c>
      <c r="C47" s="31">
        <f>Z32</f>
        <v>0</v>
      </c>
      <c r="T47" s="26">
        <f t="shared" si="22"/>
        <v>44634</v>
      </c>
      <c r="U47" s="27" t="str">
        <f t="shared" si="23"/>
        <v>Normal</v>
      </c>
      <c r="V47" s="27" t="str">
        <f t="shared" si="24"/>
        <v>4Y7Y</v>
      </c>
      <c r="W47" s="18">
        <f t="shared" si="24"/>
        <v>59.378700000000002</v>
      </c>
      <c r="Y47" t="s">
        <v>507</v>
      </c>
      <c r="Z47" t="s">
        <v>521</v>
      </c>
      <c r="AA47" t="str">
        <f>_xll.BDH(Y47,$A$1,$C$1,$C$1)</f>
        <v>#N/A Mandatory parameter [FIELDS] cannot be empty</v>
      </c>
    </row>
    <row r="48" spans="1:48" ht="16.5" x14ac:dyDescent="0.3">
      <c r="A48" s="16" t="s">
        <v>491</v>
      </c>
      <c r="B48" s="17">
        <f>M31</f>
        <v>70.205200000000005</v>
      </c>
      <c r="C48" s="31">
        <f>AA31</f>
        <v>0</v>
      </c>
      <c r="T48" s="26">
        <f t="shared" si="22"/>
        <v>44634</v>
      </c>
      <c r="U48" s="27" t="str">
        <f t="shared" si="23"/>
        <v>Normal</v>
      </c>
      <c r="V48" s="27" t="str">
        <f t="shared" si="24"/>
        <v>3Y10Y</v>
      </c>
      <c r="W48" s="18">
        <f t="shared" si="24"/>
        <v>64.703900000000004</v>
      </c>
      <c r="Y48" t="s">
        <v>508</v>
      </c>
      <c r="Z48" t="s">
        <v>522</v>
      </c>
      <c r="AA48" t="str">
        <f>_xll.BDH(Y48,$A$1,$C$1,$C$1)</f>
        <v>#N/A Mandatory parameter [FIELDS] cannot be empty</v>
      </c>
    </row>
    <row r="49" spans="1:27" ht="17.25" thickBot="1" x14ac:dyDescent="0.35">
      <c r="A49" s="19" t="s">
        <v>493</v>
      </c>
      <c r="B49" s="20">
        <f>N30</f>
        <v>78.721699999999998</v>
      </c>
      <c r="C49" s="32">
        <f>AB30</f>
        <v>0</v>
      </c>
      <c r="T49" s="26">
        <f t="shared" si="22"/>
        <v>44634</v>
      </c>
      <c r="U49" s="27" t="str">
        <f t="shared" si="23"/>
        <v>Normal</v>
      </c>
      <c r="V49" s="27" t="str">
        <f t="shared" si="24"/>
        <v>2Y15Y</v>
      </c>
      <c r="W49" s="18">
        <f t="shared" si="24"/>
        <v>70.205200000000005</v>
      </c>
      <c r="Y49" t="s">
        <v>509</v>
      </c>
      <c r="Z49" t="s">
        <v>523</v>
      </c>
      <c r="AA49" t="str">
        <f>_xll.BDH(Y49,$A$1,$C$1,$C$1)</f>
        <v>#N/A Mandatory parameter [FIELDS] cannot be empty</v>
      </c>
    </row>
    <row r="50" spans="1:27" ht="16.5" x14ac:dyDescent="0.3">
      <c r="T50" s="26">
        <f t="shared" si="22"/>
        <v>44634</v>
      </c>
      <c r="U50" s="27" t="str">
        <f t="shared" si="23"/>
        <v>Normal</v>
      </c>
      <c r="V50" s="27" t="str">
        <f t="shared" si="24"/>
        <v>1Y20Y</v>
      </c>
      <c r="W50" s="18">
        <f t="shared" si="24"/>
        <v>78.721699999999998</v>
      </c>
      <c r="Y50" t="s">
        <v>510</v>
      </c>
      <c r="Z50" t="s">
        <v>524</v>
      </c>
      <c r="AA50" t="str">
        <f>_xll.BDH(Y50,$A$1,$C$1,$C$1)</f>
        <v>#N/A Mandatory parameter [FIELDS] cannot be empty</v>
      </c>
    </row>
    <row r="51" spans="1:27" ht="16.5" x14ac:dyDescent="0.3">
      <c r="T51" s="26">
        <f t="shared" si="22"/>
        <v>44634</v>
      </c>
      <c r="U51" s="27" t="str">
        <f>$C$40</f>
        <v>Black</v>
      </c>
      <c r="V51" s="27" t="s">
        <v>478</v>
      </c>
      <c r="W51" s="18">
        <f>C41</f>
        <v>0</v>
      </c>
      <c r="Y51" t="s">
        <v>511</v>
      </c>
      <c r="Z51" t="s">
        <v>525</v>
      </c>
      <c r="AA51" t="str">
        <f>_xll.BDH(Y51,$A$1,$C$1,$C$1)</f>
        <v>#N/A Mandatory parameter [FIELDS] cannot be empty</v>
      </c>
    </row>
    <row r="52" spans="1:27" ht="16.5" x14ac:dyDescent="0.3">
      <c r="B52" s="66"/>
      <c r="C52" s="66"/>
      <c r="T52" s="26">
        <f t="shared" si="22"/>
        <v>44634</v>
      </c>
      <c r="U52" s="27" t="str">
        <f t="shared" ref="U52:U59" si="25">$C$40</f>
        <v>Black</v>
      </c>
      <c r="V52" s="27" t="s">
        <v>480</v>
      </c>
      <c r="W52" s="18">
        <f t="shared" ref="W52:W59" si="26">C42</f>
        <v>0</v>
      </c>
      <c r="Y52" t="s">
        <v>512</v>
      </c>
      <c r="Z52" t="s">
        <v>526</v>
      </c>
      <c r="AA52" t="str">
        <f>_xll.BDH(Y52,$A$1,$C$1,$C$1)</f>
        <v>#N/A Mandatory parameter [FIELDS] cannot be empty</v>
      </c>
    </row>
    <row r="53" spans="1:27" ht="16.5" x14ac:dyDescent="0.3">
      <c r="T53" s="26">
        <f t="shared" si="22"/>
        <v>44634</v>
      </c>
      <c r="U53" s="27" t="str">
        <f t="shared" si="25"/>
        <v>Black</v>
      </c>
      <c r="V53" s="27" t="s">
        <v>482</v>
      </c>
      <c r="W53" s="18">
        <f t="shared" si="26"/>
        <v>0</v>
      </c>
      <c r="Y53" t="s">
        <v>513</v>
      </c>
      <c r="Z53" t="s">
        <v>527</v>
      </c>
      <c r="AA53" t="str">
        <f>_xll.BDH(Y53,$A$1,$C$1,$C$1)</f>
        <v>#N/A Mandatory parameter [FIELDS] cannot be empty</v>
      </c>
    </row>
    <row r="54" spans="1:27" ht="16.5" x14ac:dyDescent="0.3">
      <c r="T54" s="26">
        <f t="shared" si="22"/>
        <v>44634</v>
      </c>
      <c r="U54" s="27" t="str">
        <f t="shared" si="25"/>
        <v>Black</v>
      </c>
      <c r="V54" s="27" t="s">
        <v>484</v>
      </c>
      <c r="W54" s="18">
        <f t="shared" si="26"/>
        <v>0</v>
      </c>
      <c r="Y54" t="s">
        <v>514</v>
      </c>
      <c r="Z54" t="s">
        <v>528</v>
      </c>
      <c r="AA54" t="str">
        <f>_xll.BDH(Y54,$A$1,$C$1,$C$1)</f>
        <v>#N/A Mandatory parameter [FIELDS] cannot be empty</v>
      </c>
    </row>
    <row r="55" spans="1:27" ht="16.5" x14ac:dyDescent="0.3">
      <c r="B55" s="60"/>
      <c r="T55" s="26">
        <f t="shared" si="22"/>
        <v>44634</v>
      </c>
      <c r="U55" s="27" t="str">
        <f t="shared" si="25"/>
        <v>Black</v>
      </c>
      <c r="V55" s="27" t="s">
        <v>477</v>
      </c>
      <c r="W55" s="18">
        <f t="shared" si="26"/>
        <v>0</v>
      </c>
      <c r="Y55" t="s">
        <v>515</v>
      </c>
      <c r="Z55" t="s">
        <v>529</v>
      </c>
      <c r="AA55" t="str">
        <f>_xll.BDH(Y55,$A$1,$C$1,$C$1)</f>
        <v>#N/A Mandatory parameter [FIELDS] cannot be empty</v>
      </c>
    </row>
    <row r="56" spans="1:27" x14ac:dyDescent="0.3">
      <c r="B56" s="11"/>
      <c r="T56" s="26">
        <f t="shared" si="22"/>
        <v>44634</v>
      </c>
      <c r="U56" s="27" t="str">
        <f t="shared" si="25"/>
        <v>Black</v>
      </c>
      <c r="V56" s="27" t="s">
        <v>486</v>
      </c>
      <c r="W56" s="18">
        <f t="shared" si="26"/>
        <v>0</v>
      </c>
    </row>
    <row r="57" spans="1:27" x14ac:dyDescent="0.3">
      <c r="B57" s="11"/>
      <c r="T57" s="26">
        <f t="shared" si="22"/>
        <v>44634</v>
      </c>
      <c r="U57" s="27" t="str">
        <f t="shared" si="25"/>
        <v>Black</v>
      </c>
      <c r="V57" s="27" t="s">
        <v>488</v>
      </c>
      <c r="W57" s="18">
        <f t="shared" si="26"/>
        <v>0</v>
      </c>
    </row>
    <row r="58" spans="1:27" x14ac:dyDescent="0.3">
      <c r="B58" s="11"/>
      <c r="T58" s="26">
        <f t="shared" si="22"/>
        <v>44634</v>
      </c>
      <c r="U58" s="27" t="str">
        <f t="shared" si="25"/>
        <v>Black</v>
      </c>
      <c r="V58" s="27" t="s">
        <v>490</v>
      </c>
      <c r="W58" s="18">
        <f t="shared" si="26"/>
        <v>0</v>
      </c>
    </row>
    <row r="59" spans="1:27" ht="14.25" thickBot="1" x14ac:dyDescent="0.35">
      <c r="B59" s="11"/>
      <c r="T59" s="28">
        <f t="shared" si="22"/>
        <v>44634</v>
      </c>
      <c r="U59" s="29" t="str">
        <f t="shared" si="25"/>
        <v>Black</v>
      </c>
      <c r="V59" s="29" t="s">
        <v>492</v>
      </c>
      <c r="W59" s="21">
        <f t="shared" si="26"/>
        <v>0</v>
      </c>
    </row>
    <row r="60" spans="1:27" x14ac:dyDescent="0.3">
      <c r="B60" s="11"/>
      <c r="T60" s="2"/>
    </row>
    <row r="61" spans="1:27" x14ac:dyDescent="0.3">
      <c r="B61" s="11"/>
      <c r="T61" s="2"/>
    </row>
    <row r="62" spans="1:27" x14ac:dyDescent="0.3">
      <c r="B62" s="11"/>
      <c r="T62" s="2"/>
    </row>
    <row r="63" spans="1:27" x14ac:dyDescent="0.3">
      <c r="B63" s="11"/>
      <c r="T63" s="2"/>
    </row>
    <row r="64" spans="1:27" ht="16.5" customHeight="1" x14ac:dyDescent="0.3">
      <c r="A64" s="68" t="s">
        <v>536</v>
      </c>
      <c r="B64" s="69"/>
      <c r="C64" s="69"/>
      <c r="D64" s="69"/>
      <c r="E64" s="69"/>
      <c r="F64" s="69"/>
      <c r="G64" s="69"/>
      <c r="H64" s="69"/>
      <c r="T64" s="2"/>
    </row>
    <row r="65" spans="1:20" ht="16.5" customHeight="1" x14ac:dyDescent="0.3">
      <c r="A65" s="68"/>
      <c r="B65" s="69"/>
      <c r="C65" s="69"/>
      <c r="D65" s="69"/>
      <c r="E65" s="69"/>
      <c r="F65" s="69"/>
      <c r="G65" s="69"/>
      <c r="H65" s="69"/>
      <c r="T65" s="2"/>
    </row>
    <row r="66" spans="1:20" x14ac:dyDescent="0.3">
      <c r="T66" s="2"/>
    </row>
    <row r="67" spans="1:20" x14ac:dyDescent="0.3">
      <c r="T67" s="2"/>
    </row>
    <row r="68" spans="1:20" x14ac:dyDescent="0.3">
      <c r="T68" s="2"/>
    </row>
    <row r="69" spans="1:20" x14ac:dyDescent="0.3">
      <c r="T69" s="2"/>
    </row>
    <row r="70" spans="1:20" x14ac:dyDescent="0.3">
      <c r="T70" s="2"/>
    </row>
    <row r="96" spans="20:20" x14ac:dyDescent="0.3">
      <c r="T96" s="1" t="s">
        <v>535</v>
      </c>
    </row>
  </sheetData>
  <mergeCells count="5">
    <mergeCell ref="C24:N24"/>
    <mergeCell ref="A26:A38"/>
    <mergeCell ref="O26:O38"/>
    <mergeCell ref="B52:C52"/>
    <mergeCell ref="A64:H6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BLACKCSVSave">
                <anchor moveWithCells="1" sizeWithCells="1">
                  <from>
                    <xdr:col>0</xdr:col>
                    <xdr:colOff>771525</xdr:colOff>
                    <xdr:row>50</xdr:row>
                    <xdr:rowOff>47625</xdr:rowOff>
                  </from>
                  <to>
                    <xdr:col>2</xdr:col>
                    <xdr:colOff>0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NormalCSVSave">
                <anchor moveWithCells="1" sizeWithCells="1">
                  <from>
                    <xdr:col>0</xdr:col>
                    <xdr:colOff>809625</xdr:colOff>
                    <xdr:row>53</xdr:row>
                    <xdr:rowOff>123825</xdr:rowOff>
                  </from>
                  <to>
                    <xdr:col>2</xdr:col>
                    <xdr:colOff>38100</xdr:colOff>
                    <xdr:row>56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79998168889431442"/>
  </sheetPr>
  <dimension ref="A1:AV96"/>
  <sheetViews>
    <sheetView topLeftCell="A5" zoomScale="55" zoomScaleNormal="55" workbookViewId="0">
      <selection activeCell="T18" sqref="T18"/>
    </sheetView>
  </sheetViews>
  <sheetFormatPr defaultRowHeight="13.5" x14ac:dyDescent="0.3"/>
  <cols>
    <col min="1" max="1" width="14.875" style="1" bestFit="1" customWidth="1"/>
    <col min="2" max="2" width="13" style="1" customWidth="1"/>
    <col min="3" max="3" width="10.25" style="1" customWidth="1"/>
    <col min="4" max="4" width="12.5" style="1" customWidth="1"/>
    <col min="5" max="5" width="10.875" style="1" customWidth="1"/>
    <col min="6" max="6" width="7.75" style="1" customWidth="1"/>
    <col min="7" max="7" width="8.375" style="1" customWidth="1"/>
    <col min="8" max="8" width="12.5" style="1" customWidth="1"/>
    <col min="9" max="9" width="8.375" style="1" customWidth="1"/>
    <col min="10" max="10" width="11.75" style="1" customWidth="1"/>
    <col min="11" max="11" width="8" style="1" customWidth="1"/>
    <col min="12" max="12" width="8.625" style="1" customWidth="1"/>
    <col min="13" max="13" width="13.375" style="1" customWidth="1"/>
    <col min="14" max="14" width="21" style="1" bestFit="1" customWidth="1"/>
    <col min="15" max="15" width="9" style="1"/>
    <col min="16" max="16" width="12.125" style="1" customWidth="1"/>
    <col min="17" max="19" width="9" style="1"/>
    <col min="20" max="20" width="11" style="1" bestFit="1" customWidth="1"/>
    <col min="21" max="16384" width="9" style="1"/>
  </cols>
  <sheetData>
    <row r="1" spans="1:34" ht="16.5" x14ac:dyDescent="0.3">
      <c r="B1" s="1" t="s">
        <v>171</v>
      </c>
      <c r="C1" t="s">
        <v>2798</v>
      </c>
    </row>
    <row r="2" spans="1:34" ht="15" x14ac:dyDescent="0.25">
      <c r="A2" s="5" t="s">
        <v>174</v>
      </c>
      <c r="B2" s="1" t="s">
        <v>171</v>
      </c>
      <c r="C2" s="37" t="s">
        <v>302</v>
      </c>
      <c r="D2" s="37" t="s">
        <v>303</v>
      </c>
      <c r="E2" s="37" t="s">
        <v>304</v>
      </c>
      <c r="F2" s="37" t="s">
        <v>305</v>
      </c>
      <c r="G2" s="37" t="s">
        <v>306</v>
      </c>
      <c r="H2" s="37" t="s">
        <v>307</v>
      </c>
      <c r="I2" s="37" t="s">
        <v>308</v>
      </c>
      <c r="J2" s="37" t="s">
        <v>309</v>
      </c>
      <c r="K2" s="37" t="s">
        <v>310</v>
      </c>
      <c r="L2" s="37" t="s">
        <v>311</v>
      </c>
      <c r="M2" s="37" t="s">
        <v>312</v>
      </c>
      <c r="N2" s="37" t="s">
        <v>313</v>
      </c>
      <c r="O2" s="37" t="s">
        <v>533</v>
      </c>
      <c r="P2" s="37" t="s">
        <v>534</v>
      </c>
      <c r="Q2" s="37" t="s">
        <v>534</v>
      </c>
      <c r="S2" s="37" t="s">
        <v>301</v>
      </c>
      <c r="T2" s="37" t="s">
        <v>302</v>
      </c>
      <c r="U2" s="37" t="s">
        <v>303</v>
      </c>
      <c r="V2" s="37" t="s">
        <v>304</v>
      </c>
      <c r="W2" s="37" t="s">
        <v>305</v>
      </c>
      <c r="X2" s="37" t="s">
        <v>306</v>
      </c>
      <c r="Y2" s="37" t="s">
        <v>307</v>
      </c>
      <c r="Z2" s="37" t="s">
        <v>308</v>
      </c>
      <c r="AA2" s="37" t="s">
        <v>309</v>
      </c>
      <c r="AB2" s="37" t="s">
        <v>310</v>
      </c>
      <c r="AC2" s="37" t="s">
        <v>311</v>
      </c>
      <c r="AD2" s="37" t="s">
        <v>532</v>
      </c>
      <c r="AE2" s="37" t="s">
        <v>312</v>
      </c>
      <c r="AF2" s="37" t="s">
        <v>313</v>
      </c>
      <c r="AG2" s="37" t="s">
        <v>533</v>
      </c>
      <c r="AH2" s="37" t="s">
        <v>534</v>
      </c>
    </row>
    <row r="3" spans="1:34" ht="16.5" x14ac:dyDescent="0.3">
      <c r="A3" s="5" t="s">
        <v>175</v>
      </c>
      <c r="B3" s="38" t="s">
        <v>314</v>
      </c>
      <c r="C3" s="38" t="str">
        <f>T3&amp;$C$1</f>
        <v>KWSV0A1  BBIR Curncy</v>
      </c>
      <c r="D3" s="38" t="str">
        <f t="shared" ref="D3:Q18" si="0">U3&amp;$C$1</f>
        <v>KWSV0A2  BBIR Curncy</v>
      </c>
      <c r="E3" s="38" t="str">
        <f t="shared" si="0"/>
        <v>KWSV0A3  BBIR Curncy</v>
      </c>
      <c r="F3" s="38" t="str">
        <f t="shared" si="0"/>
        <v>KWSV0A4  BBIR Curncy</v>
      </c>
      <c r="G3" s="38" t="str">
        <f t="shared" si="0"/>
        <v>KWSV0A5  BBIR Curncy</v>
      </c>
      <c r="H3" s="38" t="str">
        <f t="shared" si="0"/>
        <v>KWSV0A6  BBIR Curncy</v>
      </c>
      <c r="I3" s="38" t="str">
        <f t="shared" si="0"/>
        <v>KWSV0A7  BBIR Curncy</v>
      </c>
      <c r="J3" s="38" t="str">
        <f t="shared" si="0"/>
        <v>KWSV0A8  BBIR Curncy</v>
      </c>
      <c r="K3" s="38" t="str">
        <f t="shared" si="0"/>
        <v>KWSV0A9  BBIR Curncy</v>
      </c>
      <c r="L3" s="38" t="str">
        <f t="shared" si="0"/>
        <v>KWSV0A10 BBIR Curncy</v>
      </c>
      <c r="M3" s="38" t="str">
        <f t="shared" si="0"/>
        <v>KWSV0A12 BBIR Curncy</v>
      </c>
      <c r="N3" s="38" t="str">
        <f t="shared" si="0"/>
        <v>KWSV0A15 BBIR Curncy</v>
      </c>
      <c r="O3" s="38" t="str">
        <f t="shared" si="0"/>
        <v>KWSV0A20 BBIR Curncy</v>
      </c>
      <c r="P3" s="38" t="str">
        <f t="shared" si="0"/>
        <v>KWSV0A25 BBIR Curncy</v>
      </c>
      <c r="Q3" s="38" t="str">
        <f t="shared" si="0"/>
        <v>KWSV0A30 BBIR Curncy</v>
      </c>
      <c r="S3" s="38" t="s">
        <v>314</v>
      </c>
      <c r="T3" s="38" t="s">
        <v>2799</v>
      </c>
      <c r="U3" s="38" t="s">
        <v>2800</v>
      </c>
      <c r="V3" s="38" t="s">
        <v>2801</v>
      </c>
      <c r="W3" s="38" t="s">
        <v>2802</v>
      </c>
      <c r="X3" s="38" t="s">
        <v>2803</v>
      </c>
      <c r="Y3" s="38" t="s">
        <v>2804</v>
      </c>
      <c r="Z3" s="38" t="s">
        <v>2805</v>
      </c>
      <c r="AA3" s="38" t="s">
        <v>2806</v>
      </c>
      <c r="AB3" s="38" t="s">
        <v>2807</v>
      </c>
      <c r="AC3" s="38" t="s">
        <v>2808</v>
      </c>
      <c r="AD3" s="38" t="s">
        <v>2809</v>
      </c>
      <c r="AE3" s="38" t="s">
        <v>2810</v>
      </c>
      <c r="AF3" s="38" t="s">
        <v>2811</v>
      </c>
      <c r="AG3" s="38" t="s">
        <v>2812</v>
      </c>
      <c r="AH3" s="38" t="s">
        <v>2813</v>
      </c>
    </row>
    <row r="4" spans="1:34" ht="16.5" x14ac:dyDescent="0.3">
      <c r="B4" s="38" t="s">
        <v>315</v>
      </c>
      <c r="C4" s="38" t="str">
        <f t="shared" ref="C4:Q21" si="1">T4&amp;$C$1</f>
        <v>KWSV0C1  BBIR Curncy</v>
      </c>
      <c r="D4" s="38" t="str">
        <f t="shared" si="0"/>
        <v>KWSV0C2  BBIR Curncy</v>
      </c>
      <c r="E4" s="38" t="str">
        <f t="shared" si="0"/>
        <v>KWSV0C3  BBIR Curncy</v>
      </c>
      <c r="F4" s="38" t="str">
        <f t="shared" si="0"/>
        <v>KWSV0C4  BBIR Curncy</v>
      </c>
      <c r="G4" s="38" t="str">
        <f t="shared" si="0"/>
        <v>KWSV0C5  BBIR Curncy</v>
      </c>
      <c r="H4" s="38" t="str">
        <f t="shared" si="0"/>
        <v>KWSV0C6  BBIR Curncy</v>
      </c>
      <c r="I4" s="38" t="str">
        <f t="shared" si="0"/>
        <v>KWSV0C7  BBIR Curncy</v>
      </c>
      <c r="J4" s="38" t="str">
        <f t="shared" si="0"/>
        <v>KWSV0C8  BBIR Curncy</v>
      </c>
      <c r="K4" s="38" t="str">
        <f t="shared" si="0"/>
        <v>KWSV0C9  BBIR Curncy</v>
      </c>
      <c r="L4" s="38" t="str">
        <f t="shared" si="0"/>
        <v>KWSV0C10 BBIR Curncy</v>
      </c>
      <c r="M4" s="38" t="str">
        <f t="shared" si="0"/>
        <v>KWSV0C12 BBIR Curncy</v>
      </c>
      <c r="N4" s="38" t="str">
        <f t="shared" si="0"/>
        <v>KWSV0C15 BBIR Curncy</v>
      </c>
      <c r="O4" s="38" t="str">
        <f t="shared" si="0"/>
        <v>KWSV0C20 BBIR Curncy</v>
      </c>
      <c r="P4" s="38" t="str">
        <f t="shared" si="0"/>
        <v>KWSV0C25 BBIR Curncy</v>
      </c>
      <c r="Q4" s="38" t="str">
        <f t="shared" si="0"/>
        <v>KWSV0C30 BBIR Curncy</v>
      </c>
      <c r="S4" s="38" t="s">
        <v>315</v>
      </c>
      <c r="T4" s="38" t="s">
        <v>2814</v>
      </c>
      <c r="U4" s="38" t="s">
        <v>2815</v>
      </c>
      <c r="V4" s="38" t="s">
        <v>2816</v>
      </c>
      <c r="W4" s="38" t="s">
        <v>2817</v>
      </c>
      <c r="X4" s="38" t="s">
        <v>2818</v>
      </c>
      <c r="Y4" s="38" t="s">
        <v>2819</v>
      </c>
      <c r="Z4" s="38" t="s">
        <v>2820</v>
      </c>
      <c r="AA4" s="38" t="s">
        <v>2821</v>
      </c>
      <c r="AB4" s="38" t="s">
        <v>2822</v>
      </c>
      <c r="AC4" s="38" t="s">
        <v>2823</v>
      </c>
      <c r="AD4" s="38" t="s">
        <v>2824</v>
      </c>
      <c r="AE4" s="38" t="s">
        <v>2825</v>
      </c>
      <c r="AF4" s="38" t="s">
        <v>2826</v>
      </c>
      <c r="AG4" s="38" t="s">
        <v>2827</v>
      </c>
      <c r="AH4" s="38" t="s">
        <v>2828</v>
      </c>
    </row>
    <row r="5" spans="1:34" ht="16.5" x14ac:dyDescent="0.3">
      <c r="B5" s="38" t="s">
        <v>316</v>
      </c>
      <c r="C5" s="38" t="str">
        <f t="shared" si="1"/>
        <v>KWSV0F1  BBIR Curncy</v>
      </c>
      <c r="D5" s="38" t="str">
        <f t="shared" si="0"/>
        <v>KWSV0F2  BBIR Curncy</v>
      </c>
      <c r="E5" s="38" t="str">
        <f t="shared" si="0"/>
        <v>KWSV0F3  BBIR Curncy</v>
      </c>
      <c r="F5" s="38" t="str">
        <f t="shared" si="0"/>
        <v>KWSV0F4  BBIR Curncy</v>
      </c>
      <c r="G5" s="38" t="str">
        <f t="shared" si="0"/>
        <v>KWSV0F5  BBIR Curncy</v>
      </c>
      <c r="H5" s="38" t="str">
        <f t="shared" si="0"/>
        <v>KWSV0F6  BBIR Curncy</v>
      </c>
      <c r="I5" s="38" t="str">
        <f t="shared" si="0"/>
        <v>KWSV0F7  BBIR Curncy</v>
      </c>
      <c r="J5" s="38" t="str">
        <f t="shared" si="0"/>
        <v>KWSV0F8  BBIR Curncy</v>
      </c>
      <c r="K5" s="38" t="str">
        <f t="shared" si="0"/>
        <v>KWSV0F9  BBIR Curncy</v>
      </c>
      <c r="L5" s="38" t="str">
        <f t="shared" si="0"/>
        <v>KWSV0F10 BBIR Curncy</v>
      </c>
      <c r="M5" s="38" t="str">
        <f t="shared" si="0"/>
        <v>KWSV0F12 BBIR Curncy</v>
      </c>
      <c r="N5" s="38" t="str">
        <f t="shared" si="0"/>
        <v>KWSV0F15 BBIR Curncy</v>
      </c>
      <c r="O5" s="38" t="str">
        <f t="shared" si="0"/>
        <v>KWSV0F20 BBIR Curncy</v>
      </c>
      <c r="P5" s="38" t="str">
        <f t="shared" si="0"/>
        <v>KWSV0F25 BBIR Curncy</v>
      </c>
      <c r="Q5" s="38" t="str">
        <f t="shared" si="0"/>
        <v>KWSV0F30 BBIR Curncy</v>
      </c>
      <c r="S5" s="38" t="s">
        <v>316</v>
      </c>
      <c r="T5" s="38" t="s">
        <v>2829</v>
      </c>
      <c r="U5" s="38" t="s">
        <v>2830</v>
      </c>
      <c r="V5" s="38" t="s">
        <v>2831</v>
      </c>
      <c r="W5" s="38" t="s">
        <v>2832</v>
      </c>
      <c r="X5" s="38" t="s">
        <v>2833</v>
      </c>
      <c r="Y5" s="38" t="s">
        <v>2834</v>
      </c>
      <c r="Z5" s="38" t="s">
        <v>2835</v>
      </c>
      <c r="AA5" s="38" t="s">
        <v>2836</v>
      </c>
      <c r="AB5" s="38" t="s">
        <v>2837</v>
      </c>
      <c r="AC5" s="38" t="s">
        <v>2838</v>
      </c>
      <c r="AD5" s="38" t="s">
        <v>2839</v>
      </c>
      <c r="AE5" s="38" t="s">
        <v>2840</v>
      </c>
      <c r="AF5" s="38" t="s">
        <v>2841</v>
      </c>
      <c r="AG5" s="38" t="s">
        <v>2842</v>
      </c>
      <c r="AH5" s="38" t="s">
        <v>2843</v>
      </c>
    </row>
    <row r="6" spans="1:34" ht="16.5" x14ac:dyDescent="0.3">
      <c r="B6" s="38" t="s">
        <v>317</v>
      </c>
      <c r="C6" s="38" t="str">
        <f t="shared" si="1"/>
        <v>KWSV0I1  BBIR Curncy</v>
      </c>
      <c r="D6" s="38" t="str">
        <f t="shared" si="0"/>
        <v>KWSV0I2  BBIR Curncy</v>
      </c>
      <c r="E6" s="38" t="str">
        <f t="shared" si="0"/>
        <v>KWSV0I3  BBIR Curncy</v>
      </c>
      <c r="F6" s="38" t="str">
        <f t="shared" si="0"/>
        <v>KWSV0I4  BBIR Curncy</v>
      </c>
      <c r="G6" s="38" t="str">
        <f t="shared" si="0"/>
        <v>KWSV0I5  BBIR Curncy</v>
      </c>
      <c r="H6" s="38" t="str">
        <f t="shared" si="0"/>
        <v>KWSV0I6  BBIR Curncy</v>
      </c>
      <c r="I6" s="38" t="str">
        <f t="shared" si="0"/>
        <v>KWSV0I7  BBIR Curncy</v>
      </c>
      <c r="J6" s="38" t="str">
        <f t="shared" si="0"/>
        <v>KWSV0I8  BBIR Curncy</v>
      </c>
      <c r="K6" s="38" t="str">
        <f t="shared" si="0"/>
        <v>KWSV0I9  BBIR Curncy</v>
      </c>
      <c r="L6" s="38" t="str">
        <f t="shared" si="0"/>
        <v>KWSV0I10 BBIR Curncy</v>
      </c>
      <c r="M6" s="38" t="str">
        <f t="shared" si="0"/>
        <v>KWSV0I12 BBIR Curncy</v>
      </c>
      <c r="N6" s="38" t="str">
        <f t="shared" si="0"/>
        <v>KWSV0I15 BBIR Curncy</v>
      </c>
      <c r="O6" s="38" t="str">
        <f t="shared" si="0"/>
        <v>KWSV0I20 BBIR Curncy</v>
      </c>
      <c r="P6" s="38" t="str">
        <f t="shared" si="0"/>
        <v>KWSV0I25 BBIR Curncy</v>
      </c>
      <c r="Q6" s="38" t="str">
        <f t="shared" si="0"/>
        <v>KWSV0I30 BBIR Curncy</v>
      </c>
      <c r="S6" s="38" t="s">
        <v>317</v>
      </c>
      <c r="T6" s="38" t="s">
        <v>2844</v>
      </c>
      <c r="U6" s="38" t="s">
        <v>2845</v>
      </c>
      <c r="V6" s="38" t="s">
        <v>2846</v>
      </c>
      <c r="W6" s="38" t="s">
        <v>2847</v>
      </c>
      <c r="X6" s="38" t="s">
        <v>2848</v>
      </c>
      <c r="Y6" s="38" t="s">
        <v>2849</v>
      </c>
      <c r="Z6" s="38" t="s">
        <v>2850</v>
      </c>
      <c r="AA6" s="38" t="s">
        <v>2851</v>
      </c>
      <c r="AB6" s="38" t="s">
        <v>2852</v>
      </c>
      <c r="AC6" s="38" t="s">
        <v>2853</v>
      </c>
      <c r="AD6" s="38" t="s">
        <v>2854</v>
      </c>
      <c r="AE6" s="38" t="s">
        <v>2855</v>
      </c>
      <c r="AF6" s="38" t="s">
        <v>2856</v>
      </c>
      <c r="AG6" s="38" t="s">
        <v>2857</v>
      </c>
      <c r="AH6" s="38" t="s">
        <v>2858</v>
      </c>
    </row>
    <row r="7" spans="1:34" ht="16.5" x14ac:dyDescent="0.3">
      <c r="B7" s="38" t="s">
        <v>302</v>
      </c>
      <c r="C7" s="38" t="str">
        <f t="shared" si="1"/>
        <v>KWSV011  BBIR Curncy</v>
      </c>
      <c r="D7" s="38" t="str">
        <f t="shared" si="0"/>
        <v>KWSV012  BBIR Curncy</v>
      </c>
      <c r="E7" s="38" t="str">
        <f t="shared" si="0"/>
        <v>KWSV013  BBIR Curncy</v>
      </c>
      <c r="F7" s="38" t="str">
        <f t="shared" si="0"/>
        <v>KWSV014  BBIR Curncy</v>
      </c>
      <c r="G7" s="38" t="str">
        <f t="shared" si="0"/>
        <v>KWSV015  BBIR Curncy</v>
      </c>
      <c r="H7" s="38" t="str">
        <f t="shared" si="0"/>
        <v>KWSV016  BBIR Curncy</v>
      </c>
      <c r="I7" s="38" t="str">
        <f t="shared" si="0"/>
        <v>KWSV017  BBIR Curncy</v>
      </c>
      <c r="J7" s="38" t="str">
        <f t="shared" si="0"/>
        <v>KWSV018  BBIR Curncy</v>
      </c>
      <c r="K7" s="38" t="str">
        <f t="shared" si="0"/>
        <v>KWSV019  BBIR Curncy</v>
      </c>
      <c r="L7" s="38" t="str">
        <f t="shared" si="0"/>
        <v>KWSV0110 BBIR Curncy</v>
      </c>
      <c r="M7" s="38" t="str">
        <f t="shared" si="0"/>
        <v>KWSV0112 BBIR Curncy</v>
      </c>
      <c r="N7" s="38" t="str">
        <f t="shared" si="0"/>
        <v>KWSV0115 BBIR Curncy</v>
      </c>
      <c r="O7" s="38" t="str">
        <f t="shared" si="0"/>
        <v>KWSV0120 BBIR Curncy</v>
      </c>
      <c r="P7" s="38" t="str">
        <f t="shared" si="0"/>
        <v>KWSV0125 BBIR Curncy</v>
      </c>
      <c r="Q7" s="38" t="str">
        <f t="shared" si="0"/>
        <v>KWSV0130 BBIR Curncy</v>
      </c>
      <c r="S7" s="38" t="s">
        <v>302</v>
      </c>
      <c r="T7" s="38" t="s">
        <v>2859</v>
      </c>
      <c r="U7" s="38" t="s">
        <v>2860</v>
      </c>
      <c r="V7" s="38" t="s">
        <v>2861</v>
      </c>
      <c r="W7" s="38" t="s">
        <v>2862</v>
      </c>
      <c r="X7" s="38" t="s">
        <v>2863</v>
      </c>
      <c r="Y7" s="38" t="s">
        <v>2864</v>
      </c>
      <c r="Z7" s="38" t="s">
        <v>2865</v>
      </c>
      <c r="AA7" s="38" t="s">
        <v>2866</v>
      </c>
      <c r="AB7" s="38" t="s">
        <v>2867</v>
      </c>
      <c r="AC7" s="38" t="s">
        <v>2868</v>
      </c>
      <c r="AD7" s="38" t="s">
        <v>2869</v>
      </c>
      <c r="AE7" s="38" t="s">
        <v>2870</v>
      </c>
      <c r="AF7" s="38" t="s">
        <v>2871</v>
      </c>
      <c r="AG7" s="38" t="s">
        <v>2872</v>
      </c>
      <c r="AH7" s="38" t="s">
        <v>2873</v>
      </c>
    </row>
    <row r="8" spans="1:34" ht="16.5" x14ac:dyDescent="0.3">
      <c r="B8" s="38" t="s">
        <v>303</v>
      </c>
      <c r="C8" s="38" t="str">
        <f t="shared" si="1"/>
        <v>KWSV021  BBIR Curncy</v>
      </c>
      <c r="D8" s="38" t="str">
        <f t="shared" si="0"/>
        <v>KWSV022  BBIR Curncy</v>
      </c>
      <c r="E8" s="38" t="str">
        <f t="shared" si="0"/>
        <v>KWSV023  BBIR Curncy</v>
      </c>
      <c r="F8" s="38" t="str">
        <f t="shared" si="0"/>
        <v>KWSV024  BBIR Curncy</v>
      </c>
      <c r="G8" s="38" t="str">
        <f t="shared" si="0"/>
        <v>KWSV025  BBIR Curncy</v>
      </c>
      <c r="H8" s="38" t="str">
        <f t="shared" si="0"/>
        <v>KWSV026  BBIR Curncy</v>
      </c>
      <c r="I8" s="38" t="str">
        <f t="shared" si="0"/>
        <v>KWSV027  BBIR Curncy</v>
      </c>
      <c r="J8" s="38" t="str">
        <f t="shared" si="0"/>
        <v>KWSV028  BBIR Curncy</v>
      </c>
      <c r="K8" s="38" t="str">
        <f t="shared" si="0"/>
        <v>KWSV029  BBIR Curncy</v>
      </c>
      <c r="L8" s="38" t="str">
        <f t="shared" si="0"/>
        <v>KWSV0210 BBIR Curncy</v>
      </c>
      <c r="M8" s="38" t="str">
        <f t="shared" si="0"/>
        <v>KWSV0212 BBIR Curncy</v>
      </c>
      <c r="N8" s="38" t="str">
        <f t="shared" si="0"/>
        <v>KWSV0215 BBIR Curncy</v>
      </c>
      <c r="O8" s="38" t="str">
        <f t="shared" si="0"/>
        <v>KWSV0220 BBIR Curncy</v>
      </c>
      <c r="P8" s="38" t="str">
        <f t="shared" si="0"/>
        <v>KWSV0225 BBIR Curncy</v>
      </c>
      <c r="Q8" s="38" t="str">
        <f t="shared" si="0"/>
        <v>KWSV0230 BBIR Curncy</v>
      </c>
      <c r="S8" s="38" t="s">
        <v>303</v>
      </c>
      <c r="T8" s="38" t="s">
        <v>2874</v>
      </c>
      <c r="U8" s="38" t="s">
        <v>2875</v>
      </c>
      <c r="V8" s="38" t="s">
        <v>2876</v>
      </c>
      <c r="W8" s="38" t="s">
        <v>2877</v>
      </c>
      <c r="X8" s="38" t="s">
        <v>2878</v>
      </c>
      <c r="Y8" s="38" t="s">
        <v>2879</v>
      </c>
      <c r="Z8" s="38" t="s">
        <v>2880</v>
      </c>
      <c r="AA8" s="38" t="s">
        <v>2881</v>
      </c>
      <c r="AB8" s="38" t="s">
        <v>2882</v>
      </c>
      <c r="AC8" s="38" t="s">
        <v>2883</v>
      </c>
      <c r="AD8" s="38" t="s">
        <v>2884</v>
      </c>
      <c r="AE8" s="38" t="s">
        <v>2885</v>
      </c>
      <c r="AF8" s="38" t="s">
        <v>2886</v>
      </c>
      <c r="AG8" s="38" t="s">
        <v>2887</v>
      </c>
      <c r="AH8" s="38" t="s">
        <v>2888</v>
      </c>
    </row>
    <row r="9" spans="1:34" ht="16.5" x14ac:dyDescent="0.3">
      <c r="B9" s="38" t="s">
        <v>304</v>
      </c>
      <c r="C9" s="38" t="str">
        <f t="shared" si="1"/>
        <v>KWSV031  BBIR Curncy</v>
      </c>
      <c r="D9" s="38" t="str">
        <f t="shared" si="0"/>
        <v>KWSV032  BBIR Curncy</v>
      </c>
      <c r="E9" s="38" t="str">
        <f t="shared" si="0"/>
        <v>KWSV033  BBIR Curncy</v>
      </c>
      <c r="F9" s="38" t="str">
        <f t="shared" si="0"/>
        <v>KWSV034  BBIR Curncy</v>
      </c>
      <c r="G9" s="38" t="str">
        <f t="shared" si="0"/>
        <v>KWSV035  BBIR Curncy</v>
      </c>
      <c r="H9" s="38" t="str">
        <f t="shared" si="0"/>
        <v>KWSV036  BBIR Curncy</v>
      </c>
      <c r="I9" s="38" t="str">
        <f t="shared" si="0"/>
        <v>KWSV037  BBIR Curncy</v>
      </c>
      <c r="J9" s="38" t="str">
        <f t="shared" si="0"/>
        <v>KWSV038  BBIR Curncy</v>
      </c>
      <c r="K9" s="38" t="str">
        <f t="shared" si="0"/>
        <v>KWSV039  BBIR Curncy</v>
      </c>
      <c r="L9" s="38" t="str">
        <f t="shared" si="0"/>
        <v>KWSV0310 BBIR Curncy</v>
      </c>
      <c r="M9" s="38" t="str">
        <f t="shared" si="0"/>
        <v>KWSV0312 BBIR Curncy</v>
      </c>
      <c r="N9" s="38" t="str">
        <f t="shared" si="0"/>
        <v>KWSV0315 BBIR Curncy</v>
      </c>
      <c r="O9" s="38" t="str">
        <f t="shared" si="0"/>
        <v>KWSV0320 BBIR Curncy</v>
      </c>
      <c r="P9" s="38" t="str">
        <f t="shared" si="0"/>
        <v>KWSV0325 BBIR Curncy</v>
      </c>
      <c r="Q9" s="38" t="str">
        <f t="shared" si="0"/>
        <v>KWSV0330 BBIR Curncy</v>
      </c>
      <c r="S9" s="38" t="s">
        <v>304</v>
      </c>
      <c r="T9" s="38" t="s">
        <v>2889</v>
      </c>
      <c r="U9" s="38" t="s">
        <v>2890</v>
      </c>
      <c r="V9" s="38" t="s">
        <v>2891</v>
      </c>
      <c r="W9" s="38" t="s">
        <v>2892</v>
      </c>
      <c r="X9" s="38" t="s">
        <v>2893</v>
      </c>
      <c r="Y9" s="38" t="s">
        <v>2894</v>
      </c>
      <c r="Z9" s="38" t="s">
        <v>2895</v>
      </c>
      <c r="AA9" s="38" t="s">
        <v>2896</v>
      </c>
      <c r="AB9" s="38" t="s">
        <v>2897</v>
      </c>
      <c r="AC9" s="38" t="s">
        <v>2898</v>
      </c>
      <c r="AD9" s="38" t="s">
        <v>2899</v>
      </c>
      <c r="AE9" s="38" t="s">
        <v>2900</v>
      </c>
      <c r="AF9" s="38" t="s">
        <v>2901</v>
      </c>
      <c r="AG9" s="38" t="s">
        <v>2902</v>
      </c>
      <c r="AH9" s="38" t="s">
        <v>2903</v>
      </c>
    </row>
    <row r="10" spans="1:34" ht="16.5" x14ac:dyDescent="0.3">
      <c r="B10" s="38" t="s">
        <v>305</v>
      </c>
      <c r="C10" s="38" t="str">
        <f t="shared" si="1"/>
        <v>KWSV041  BBIR Curncy</v>
      </c>
      <c r="D10" s="38" t="str">
        <f t="shared" si="0"/>
        <v>KWSV042  BBIR Curncy</v>
      </c>
      <c r="E10" s="38" t="str">
        <f t="shared" si="0"/>
        <v>KWSV043  BBIR Curncy</v>
      </c>
      <c r="F10" s="38" t="str">
        <f t="shared" si="0"/>
        <v>KWSV044  BBIR Curncy</v>
      </c>
      <c r="G10" s="38" t="str">
        <f t="shared" si="0"/>
        <v>KWSV045  BBIR Curncy</v>
      </c>
      <c r="H10" s="38" t="str">
        <f t="shared" si="0"/>
        <v>KWSV046  BBIR Curncy</v>
      </c>
      <c r="I10" s="38" t="str">
        <f t="shared" si="0"/>
        <v>KWSV047  BBIR Curncy</v>
      </c>
      <c r="J10" s="38" t="str">
        <f t="shared" si="0"/>
        <v>KWSV048  BBIR Curncy</v>
      </c>
      <c r="K10" s="38" t="str">
        <f t="shared" si="0"/>
        <v>KWSV049  BBIR Curncy</v>
      </c>
      <c r="L10" s="38" t="str">
        <f t="shared" si="0"/>
        <v>KWSV0410 BBIR Curncy</v>
      </c>
      <c r="M10" s="38" t="str">
        <f t="shared" si="0"/>
        <v>KWSV0412 BBIR Curncy</v>
      </c>
      <c r="N10" s="38" t="str">
        <f t="shared" si="0"/>
        <v>KWSV0415 BBIR Curncy</v>
      </c>
      <c r="O10" s="38" t="str">
        <f t="shared" si="0"/>
        <v>KWSV0420 BBIR Curncy</v>
      </c>
      <c r="P10" s="38" t="str">
        <f t="shared" si="0"/>
        <v>KWSV0425 BBIR Curncy</v>
      </c>
      <c r="Q10" s="38" t="str">
        <f t="shared" si="0"/>
        <v>KWSV0430 BBIR Curncy</v>
      </c>
      <c r="S10" s="38" t="s">
        <v>305</v>
      </c>
      <c r="T10" s="38" t="s">
        <v>2904</v>
      </c>
      <c r="U10" s="38" t="s">
        <v>2905</v>
      </c>
      <c r="V10" s="38" t="s">
        <v>2906</v>
      </c>
      <c r="W10" s="38" t="s">
        <v>2907</v>
      </c>
      <c r="X10" s="38" t="s">
        <v>2908</v>
      </c>
      <c r="Y10" s="38" t="s">
        <v>2909</v>
      </c>
      <c r="Z10" s="38" t="s">
        <v>2910</v>
      </c>
      <c r="AA10" s="38" t="s">
        <v>2911</v>
      </c>
      <c r="AB10" s="38" t="s">
        <v>2912</v>
      </c>
      <c r="AC10" s="38" t="s">
        <v>2913</v>
      </c>
      <c r="AD10" s="38" t="s">
        <v>2914</v>
      </c>
      <c r="AE10" s="38" t="s">
        <v>2915</v>
      </c>
      <c r="AF10" s="38" t="s">
        <v>2916</v>
      </c>
      <c r="AG10" s="38" t="s">
        <v>2917</v>
      </c>
      <c r="AH10" s="38" t="s">
        <v>2918</v>
      </c>
    </row>
    <row r="11" spans="1:34" ht="16.5" x14ac:dyDescent="0.3">
      <c r="B11" s="38" t="s">
        <v>306</v>
      </c>
      <c r="C11" s="38" t="str">
        <f t="shared" si="1"/>
        <v>KWSV051  BBIR Curncy</v>
      </c>
      <c r="D11" s="38" t="str">
        <f t="shared" si="0"/>
        <v>KWSV052  BBIR Curncy</v>
      </c>
      <c r="E11" s="38" t="str">
        <f t="shared" si="0"/>
        <v>KWSV053  BBIR Curncy</v>
      </c>
      <c r="F11" s="38" t="str">
        <f t="shared" si="0"/>
        <v>KWSV054  BBIR Curncy</v>
      </c>
      <c r="G11" s="38" t="str">
        <f t="shared" si="0"/>
        <v>KWSV055  BBIR Curncy</v>
      </c>
      <c r="H11" s="38" t="str">
        <f t="shared" si="0"/>
        <v>KWSV056  BBIR Curncy</v>
      </c>
      <c r="I11" s="38" t="str">
        <f t="shared" si="0"/>
        <v>KWSV057  BBIR Curncy</v>
      </c>
      <c r="J11" s="38" t="str">
        <f t="shared" si="0"/>
        <v>KWSV058  BBIR Curncy</v>
      </c>
      <c r="K11" s="38" t="str">
        <f t="shared" si="0"/>
        <v>KWSV059  BBIR Curncy</v>
      </c>
      <c r="L11" s="38" t="str">
        <f t="shared" si="0"/>
        <v>KWSV0510 BBIR Curncy</v>
      </c>
      <c r="M11" s="38" t="str">
        <f t="shared" si="0"/>
        <v>KWSV0512 BBIR Curncy</v>
      </c>
      <c r="N11" s="38" t="str">
        <f t="shared" si="0"/>
        <v>KWSV0515 BBIR Curncy</v>
      </c>
      <c r="O11" s="38" t="str">
        <f t="shared" si="0"/>
        <v>KWSV0520 BBIR Curncy</v>
      </c>
      <c r="P11" s="38" t="str">
        <f t="shared" si="0"/>
        <v>KWSV0525 BBIR Curncy</v>
      </c>
      <c r="Q11" s="38" t="str">
        <f t="shared" si="0"/>
        <v>KWSV0530 BBIR Curncy</v>
      </c>
      <c r="S11" s="38" t="s">
        <v>306</v>
      </c>
      <c r="T11" s="38" t="s">
        <v>2919</v>
      </c>
      <c r="U11" s="38" t="s">
        <v>2920</v>
      </c>
      <c r="V11" s="38" t="s">
        <v>2921</v>
      </c>
      <c r="W11" s="38" t="s">
        <v>2922</v>
      </c>
      <c r="X11" s="38" t="s">
        <v>2923</v>
      </c>
      <c r="Y11" s="38" t="s">
        <v>2924</v>
      </c>
      <c r="Z11" s="38" t="s">
        <v>2925</v>
      </c>
      <c r="AA11" s="38" t="s">
        <v>2926</v>
      </c>
      <c r="AB11" s="38" t="s">
        <v>2927</v>
      </c>
      <c r="AC11" s="38" t="s">
        <v>2928</v>
      </c>
      <c r="AD11" s="38" t="s">
        <v>2929</v>
      </c>
      <c r="AE11" s="38" t="s">
        <v>2930</v>
      </c>
      <c r="AF11" s="38" t="s">
        <v>2931</v>
      </c>
      <c r="AG11" s="38" t="s">
        <v>2932</v>
      </c>
      <c r="AH11" s="38" t="s">
        <v>2933</v>
      </c>
    </row>
    <row r="12" spans="1:34" ht="16.5" x14ac:dyDescent="0.3">
      <c r="B12" s="38" t="s">
        <v>307</v>
      </c>
      <c r="C12" s="38" t="str">
        <f t="shared" si="1"/>
        <v>KWSV061  BBIR Curncy</v>
      </c>
      <c r="D12" s="38" t="str">
        <f t="shared" si="0"/>
        <v>KWSV062  BBIR Curncy</v>
      </c>
      <c r="E12" s="38" t="str">
        <f t="shared" si="0"/>
        <v>KWSV063  BBIR Curncy</v>
      </c>
      <c r="F12" s="38" t="str">
        <f t="shared" si="0"/>
        <v>KWSV064  BBIR Curncy</v>
      </c>
      <c r="G12" s="38" t="str">
        <f t="shared" si="0"/>
        <v>KWSV065  BBIR Curncy</v>
      </c>
      <c r="H12" s="38" t="str">
        <f t="shared" si="0"/>
        <v>KWSV066  BBIR Curncy</v>
      </c>
      <c r="I12" s="38" t="str">
        <f t="shared" si="0"/>
        <v>KWSV067  BBIR Curncy</v>
      </c>
      <c r="J12" s="38" t="str">
        <f t="shared" si="0"/>
        <v>KWSV068  BBIR Curncy</v>
      </c>
      <c r="K12" s="38" t="str">
        <f t="shared" si="0"/>
        <v>KWSV069  BBIR Curncy</v>
      </c>
      <c r="L12" s="38" t="str">
        <f t="shared" si="0"/>
        <v>KWSV0610 BBIR Curncy</v>
      </c>
      <c r="M12" s="38" t="str">
        <f t="shared" si="0"/>
        <v>KWSV0612 BBIR Curncy</v>
      </c>
      <c r="N12" s="38" t="str">
        <f t="shared" si="0"/>
        <v>KWSV0615 BBIR Curncy</v>
      </c>
      <c r="O12" s="38" t="str">
        <f t="shared" si="0"/>
        <v>KWSV0620 BBIR Curncy</v>
      </c>
      <c r="P12" s="38" t="str">
        <f t="shared" si="0"/>
        <v>KWSV0625 BBIR Curncy</v>
      </c>
      <c r="Q12" s="38" t="str">
        <f t="shared" si="0"/>
        <v>KWSV0630 BBIR Curncy</v>
      </c>
      <c r="S12" s="38" t="s">
        <v>307</v>
      </c>
      <c r="T12" s="38" t="s">
        <v>2934</v>
      </c>
      <c r="U12" s="38" t="s">
        <v>2935</v>
      </c>
      <c r="V12" s="38" t="s">
        <v>2936</v>
      </c>
      <c r="W12" s="38" t="s">
        <v>2937</v>
      </c>
      <c r="X12" s="38" t="s">
        <v>2938</v>
      </c>
      <c r="Y12" s="38" t="s">
        <v>2939</v>
      </c>
      <c r="Z12" s="38" t="s">
        <v>2940</v>
      </c>
      <c r="AA12" s="38" t="s">
        <v>2941</v>
      </c>
      <c r="AB12" s="38" t="s">
        <v>2942</v>
      </c>
      <c r="AC12" s="38" t="s">
        <v>2943</v>
      </c>
      <c r="AD12" s="38" t="s">
        <v>2944</v>
      </c>
      <c r="AE12" s="38" t="s">
        <v>2945</v>
      </c>
      <c r="AF12" s="38" t="s">
        <v>2946</v>
      </c>
      <c r="AG12" s="38" t="s">
        <v>2947</v>
      </c>
      <c r="AH12" s="38" t="s">
        <v>2948</v>
      </c>
    </row>
    <row r="13" spans="1:34" ht="16.5" x14ac:dyDescent="0.3">
      <c r="B13" s="38" t="s">
        <v>308</v>
      </c>
      <c r="C13" s="38" t="str">
        <f t="shared" si="1"/>
        <v>KWSV071  BBIR Curncy</v>
      </c>
      <c r="D13" s="38" t="str">
        <f t="shared" si="0"/>
        <v>KWSV072  BBIR Curncy</v>
      </c>
      <c r="E13" s="38" t="str">
        <f t="shared" si="0"/>
        <v>KWSV073  BBIR Curncy</v>
      </c>
      <c r="F13" s="38" t="str">
        <f t="shared" si="0"/>
        <v>KWSV074  BBIR Curncy</v>
      </c>
      <c r="G13" s="38" t="str">
        <f t="shared" si="0"/>
        <v>KWSV075  BBIR Curncy</v>
      </c>
      <c r="H13" s="38" t="str">
        <f t="shared" si="0"/>
        <v>KWSV076  BBIR Curncy</v>
      </c>
      <c r="I13" s="38" t="str">
        <f t="shared" si="0"/>
        <v>KWSV077  BBIR Curncy</v>
      </c>
      <c r="J13" s="38" t="str">
        <f t="shared" si="0"/>
        <v>KWSV078  BBIR Curncy</v>
      </c>
      <c r="K13" s="38" t="str">
        <f t="shared" si="0"/>
        <v>KWSV079  BBIR Curncy</v>
      </c>
      <c r="L13" s="38" t="str">
        <f t="shared" si="0"/>
        <v>KWSV0710 BBIR Curncy</v>
      </c>
      <c r="M13" s="38" t="str">
        <f t="shared" si="0"/>
        <v>KWSV0712 BBIR Curncy</v>
      </c>
      <c r="N13" s="38" t="str">
        <f t="shared" si="0"/>
        <v>KWSV0715 BBIR Curncy</v>
      </c>
      <c r="O13" s="38" t="str">
        <f t="shared" si="0"/>
        <v>KWSV0720 BBIR Curncy</v>
      </c>
      <c r="P13" s="38" t="str">
        <f t="shared" si="0"/>
        <v>KWSV0725 BBIR Curncy</v>
      </c>
      <c r="Q13" s="38" t="str">
        <f t="shared" si="0"/>
        <v>KWSV0730 BBIR Curncy</v>
      </c>
      <c r="S13" s="38" t="s">
        <v>308</v>
      </c>
      <c r="T13" s="38" t="s">
        <v>2949</v>
      </c>
      <c r="U13" s="38" t="s">
        <v>2950</v>
      </c>
      <c r="V13" s="38" t="s">
        <v>2951</v>
      </c>
      <c r="W13" s="38" t="s">
        <v>2952</v>
      </c>
      <c r="X13" s="38" t="s">
        <v>2953</v>
      </c>
      <c r="Y13" s="38" t="s">
        <v>2954</v>
      </c>
      <c r="Z13" s="38" t="s">
        <v>2955</v>
      </c>
      <c r="AA13" s="38" t="s">
        <v>2956</v>
      </c>
      <c r="AB13" s="38" t="s">
        <v>2957</v>
      </c>
      <c r="AC13" s="38" t="s">
        <v>2958</v>
      </c>
      <c r="AD13" s="38" t="s">
        <v>2959</v>
      </c>
      <c r="AE13" s="38" t="s">
        <v>2960</v>
      </c>
      <c r="AF13" s="38" t="s">
        <v>2961</v>
      </c>
      <c r="AG13" s="38" t="s">
        <v>2962</v>
      </c>
      <c r="AH13" s="38" t="s">
        <v>2963</v>
      </c>
    </row>
    <row r="14" spans="1:34" ht="16.5" x14ac:dyDescent="0.3">
      <c r="B14" s="38" t="s">
        <v>309</v>
      </c>
      <c r="C14" s="38" t="str">
        <f t="shared" si="1"/>
        <v>KWSV081  BBIR Curncy</v>
      </c>
      <c r="D14" s="38" t="str">
        <f t="shared" si="0"/>
        <v>KWSV082  BBIR Curncy</v>
      </c>
      <c r="E14" s="38" t="str">
        <f t="shared" si="0"/>
        <v>KWSV083  BBIR Curncy</v>
      </c>
      <c r="F14" s="38" t="str">
        <f t="shared" si="0"/>
        <v>KWSV084  BBIR Curncy</v>
      </c>
      <c r="G14" s="38" t="str">
        <f t="shared" si="0"/>
        <v>KWSV085  BBIR Curncy</v>
      </c>
      <c r="H14" s="38" t="str">
        <f t="shared" si="0"/>
        <v>KWSV086  BBIR Curncy</v>
      </c>
      <c r="I14" s="38" t="str">
        <f t="shared" si="0"/>
        <v>KWSV087  BBIR Curncy</v>
      </c>
      <c r="J14" s="38" t="str">
        <f t="shared" si="0"/>
        <v>KWSV088  BBIR Curncy</v>
      </c>
      <c r="K14" s="38" t="str">
        <f t="shared" si="0"/>
        <v>KWSV089  BBIR Curncy</v>
      </c>
      <c r="L14" s="38" t="str">
        <f t="shared" si="0"/>
        <v>KWSV0810 BBIR Curncy</v>
      </c>
      <c r="M14" s="38" t="str">
        <f t="shared" si="0"/>
        <v>KWSV0812 BBIR Curncy</v>
      </c>
      <c r="N14" s="38" t="str">
        <f t="shared" si="0"/>
        <v>KWSV0815 BBIR Curncy</v>
      </c>
      <c r="O14" s="38" t="str">
        <f t="shared" si="0"/>
        <v>KWSV0820 BBIR Curncy</v>
      </c>
      <c r="P14" s="38" t="str">
        <f t="shared" si="0"/>
        <v>KWSV0825 BBIR Curncy</v>
      </c>
      <c r="Q14" s="38" t="str">
        <f t="shared" si="0"/>
        <v>KWSV0830 BBIR Curncy</v>
      </c>
      <c r="S14" s="38" t="s">
        <v>309</v>
      </c>
      <c r="T14" s="38" t="s">
        <v>2964</v>
      </c>
      <c r="U14" s="38" t="s">
        <v>2965</v>
      </c>
      <c r="V14" s="38" t="s">
        <v>2966</v>
      </c>
      <c r="W14" s="38" t="s">
        <v>2967</v>
      </c>
      <c r="X14" s="38" t="s">
        <v>2968</v>
      </c>
      <c r="Y14" s="38" t="s">
        <v>2969</v>
      </c>
      <c r="Z14" s="38" t="s">
        <v>2970</v>
      </c>
      <c r="AA14" s="38" t="s">
        <v>2971</v>
      </c>
      <c r="AB14" s="38" t="s">
        <v>2972</v>
      </c>
      <c r="AC14" s="38" t="s">
        <v>2973</v>
      </c>
      <c r="AD14" s="38" t="s">
        <v>2974</v>
      </c>
      <c r="AE14" s="38" t="s">
        <v>2975</v>
      </c>
      <c r="AF14" s="38" t="s">
        <v>2976</v>
      </c>
      <c r="AG14" s="38" t="s">
        <v>2977</v>
      </c>
      <c r="AH14" s="38" t="s">
        <v>2978</v>
      </c>
    </row>
    <row r="15" spans="1:34" ht="16.5" x14ac:dyDescent="0.3">
      <c r="B15" s="38" t="s">
        <v>310</v>
      </c>
      <c r="C15" s="38" t="str">
        <f t="shared" si="1"/>
        <v>KWSV091  BBIR Curncy</v>
      </c>
      <c r="D15" s="38" t="str">
        <f t="shared" si="0"/>
        <v>KWSV092  BBIR Curncy</v>
      </c>
      <c r="E15" s="38" t="str">
        <f t="shared" si="0"/>
        <v>KWSV093  BBIR Curncy</v>
      </c>
      <c r="F15" s="38" t="str">
        <f t="shared" si="0"/>
        <v>KWSV094  BBIR Curncy</v>
      </c>
      <c r="G15" s="38" t="str">
        <f t="shared" si="0"/>
        <v>KWSV095  BBIR Curncy</v>
      </c>
      <c r="H15" s="38" t="str">
        <f t="shared" si="0"/>
        <v>KWSV096  BBIR Curncy</v>
      </c>
      <c r="I15" s="38" t="str">
        <f t="shared" si="0"/>
        <v>KWSV097  BBIR Curncy</v>
      </c>
      <c r="J15" s="38" t="str">
        <f t="shared" si="0"/>
        <v>KWSV098  BBIR Curncy</v>
      </c>
      <c r="K15" s="38" t="str">
        <f t="shared" si="0"/>
        <v>KWSV099  BBIR Curncy</v>
      </c>
      <c r="L15" s="38" t="str">
        <f t="shared" si="0"/>
        <v>KWSV0910 BBIR Curncy</v>
      </c>
      <c r="M15" s="38" t="str">
        <f t="shared" si="0"/>
        <v>KWSV0912 BBIR Curncy</v>
      </c>
      <c r="N15" s="38" t="str">
        <f t="shared" si="0"/>
        <v>KWSV0915 BBIR Curncy</v>
      </c>
      <c r="O15" s="38" t="str">
        <f t="shared" si="0"/>
        <v>KWSV0920 BBIR Curncy</v>
      </c>
      <c r="P15" s="38" t="str">
        <f t="shared" si="0"/>
        <v>KWSV0925 BBIR Curncy</v>
      </c>
      <c r="Q15" s="38" t="str">
        <f t="shared" si="0"/>
        <v>KWSV0930 BBIR Curncy</v>
      </c>
      <c r="S15" s="38" t="s">
        <v>310</v>
      </c>
      <c r="T15" s="38" t="s">
        <v>2979</v>
      </c>
      <c r="U15" s="38" t="s">
        <v>2980</v>
      </c>
      <c r="V15" s="38" t="s">
        <v>2981</v>
      </c>
      <c r="W15" s="38" t="s">
        <v>2982</v>
      </c>
      <c r="X15" s="38" t="s">
        <v>2983</v>
      </c>
      <c r="Y15" s="38" t="s">
        <v>2984</v>
      </c>
      <c r="Z15" s="38" t="s">
        <v>2985</v>
      </c>
      <c r="AA15" s="38" t="s">
        <v>2986</v>
      </c>
      <c r="AB15" s="38" t="s">
        <v>2987</v>
      </c>
      <c r="AC15" s="38" t="s">
        <v>2988</v>
      </c>
      <c r="AD15" s="38" t="s">
        <v>2989</v>
      </c>
      <c r="AE15" s="38" t="s">
        <v>2990</v>
      </c>
      <c r="AF15" s="38" t="s">
        <v>2991</v>
      </c>
      <c r="AG15" s="38" t="s">
        <v>2992</v>
      </c>
      <c r="AH15" s="38" t="s">
        <v>2993</v>
      </c>
    </row>
    <row r="16" spans="1:34" ht="16.5" x14ac:dyDescent="0.3">
      <c r="B16" s="38" t="s">
        <v>311</v>
      </c>
      <c r="C16" s="38" t="str">
        <f t="shared" si="1"/>
        <v>KWSV101  BBIR Curncy</v>
      </c>
      <c r="D16" s="38" t="str">
        <f t="shared" si="0"/>
        <v>KWSV102  BBIR Curncy</v>
      </c>
      <c r="E16" s="38" t="str">
        <f t="shared" si="0"/>
        <v>KWSV103  BBIR Curncy</v>
      </c>
      <c r="F16" s="38" t="str">
        <f t="shared" si="0"/>
        <v>KWSV104  BBIR Curncy</v>
      </c>
      <c r="G16" s="38" t="str">
        <f t="shared" si="0"/>
        <v>KWSV105  BBIR Curncy</v>
      </c>
      <c r="H16" s="38" t="str">
        <f t="shared" si="0"/>
        <v>KWSV106  BBIR Curncy</v>
      </c>
      <c r="I16" s="38" t="str">
        <f t="shared" si="0"/>
        <v>KWSV107  BBIR Curncy</v>
      </c>
      <c r="J16" s="38" t="str">
        <f t="shared" si="0"/>
        <v>KWSV108  BBIR Curncy</v>
      </c>
      <c r="K16" s="38" t="str">
        <f t="shared" si="0"/>
        <v>KWSV109  BBIR Curncy</v>
      </c>
      <c r="L16" s="38" t="str">
        <f t="shared" si="0"/>
        <v>KWSV1010 BBIR Curncy</v>
      </c>
      <c r="M16" s="38" t="str">
        <f t="shared" si="0"/>
        <v>KWSV1012 BBIR Curncy</v>
      </c>
      <c r="N16" s="38" t="str">
        <f t="shared" si="0"/>
        <v>KWSV1015 BBIR Curncy</v>
      </c>
      <c r="O16" s="38" t="str">
        <f t="shared" si="0"/>
        <v>KWSV1020 BBIR Curncy</v>
      </c>
      <c r="P16" s="38" t="str">
        <f t="shared" si="0"/>
        <v>KWSV1025 BBIR Curncy</v>
      </c>
      <c r="Q16" s="38" t="str">
        <f t="shared" si="0"/>
        <v>KWSV1030 BBIR Curncy</v>
      </c>
      <c r="S16" s="38" t="s">
        <v>311</v>
      </c>
      <c r="T16" s="38" t="s">
        <v>2994</v>
      </c>
      <c r="U16" s="38" t="s">
        <v>2995</v>
      </c>
      <c r="V16" s="38" t="s">
        <v>2996</v>
      </c>
      <c r="W16" s="38" t="s">
        <v>2997</v>
      </c>
      <c r="X16" s="38" t="s">
        <v>2998</v>
      </c>
      <c r="Y16" s="38" t="s">
        <v>2999</v>
      </c>
      <c r="Z16" s="38" t="s">
        <v>3000</v>
      </c>
      <c r="AA16" s="38" t="s">
        <v>3001</v>
      </c>
      <c r="AB16" s="38" t="s">
        <v>3002</v>
      </c>
      <c r="AC16" s="38" t="s">
        <v>3003</v>
      </c>
      <c r="AD16" s="38" t="s">
        <v>3004</v>
      </c>
      <c r="AE16" s="38" t="s">
        <v>3005</v>
      </c>
      <c r="AF16" s="38" t="s">
        <v>3006</v>
      </c>
      <c r="AG16" s="38" t="s">
        <v>3007</v>
      </c>
      <c r="AH16" s="38" t="s">
        <v>3008</v>
      </c>
    </row>
    <row r="17" spans="1:48" ht="16.5" x14ac:dyDescent="0.3">
      <c r="B17" s="38" t="s">
        <v>532</v>
      </c>
      <c r="C17" s="38" t="str">
        <f t="shared" si="1"/>
        <v>KWSV121  BBIR Curncy</v>
      </c>
      <c r="D17" s="38" t="str">
        <f t="shared" si="0"/>
        <v>KWSV122  BBIR Curncy</v>
      </c>
      <c r="E17" s="38" t="str">
        <f t="shared" si="0"/>
        <v>KWSV123  BBIR Curncy</v>
      </c>
      <c r="F17" s="38" t="str">
        <f t="shared" si="0"/>
        <v>KWSV124  BBIR Curncy</v>
      </c>
      <c r="G17" s="38" t="str">
        <f t="shared" si="0"/>
        <v>KWSV125  BBIR Curncy</v>
      </c>
      <c r="H17" s="38" t="str">
        <f t="shared" si="0"/>
        <v>KWSV126  BBIR Curncy</v>
      </c>
      <c r="I17" s="38" t="str">
        <f t="shared" si="0"/>
        <v>KWSV127  BBIR Curncy</v>
      </c>
      <c r="J17" s="38" t="str">
        <f t="shared" si="0"/>
        <v>KWSV128  BBIR Curncy</v>
      </c>
      <c r="K17" s="38" t="str">
        <f t="shared" si="0"/>
        <v>KWSV129  BBIR Curncy</v>
      </c>
      <c r="L17" s="38" t="str">
        <f t="shared" si="0"/>
        <v>KWSV1210 BBIR Curncy</v>
      </c>
      <c r="M17" s="38" t="str">
        <f t="shared" si="0"/>
        <v>KWSV1212 BBIR Curncy</v>
      </c>
      <c r="N17" s="38" t="str">
        <f t="shared" si="0"/>
        <v>KWSV1215 BBIR Curncy</v>
      </c>
      <c r="O17" s="38" t="str">
        <f t="shared" si="0"/>
        <v>KWSV1220 BBIR Curncy</v>
      </c>
      <c r="P17" s="38" t="str">
        <f t="shared" si="0"/>
        <v>KWSV1225 BBIR Curncy</v>
      </c>
      <c r="Q17" s="38" t="str">
        <f t="shared" si="0"/>
        <v>KWSV1230 BBIR Curncy</v>
      </c>
      <c r="S17" s="38" t="s">
        <v>532</v>
      </c>
      <c r="T17" s="38" t="s">
        <v>3009</v>
      </c>
      <c r="U17" s="38" t="s">
        <v>3010</v>
      </c>
      <c r="V17" s="38" t="s">
        <v>3011</v>
      </c>
      <c r="W17" s="38" t="s">
        <v>3012</v>
      </c>
      <c r="X17" s="38" t="s">
        <v>3013</v>
      </c>
      <c r="Y17" s="38" t="s">
        <v>3014</v>
      </c>
      <c r="Z17" s="38" t="s">
        <v>3015</v>
      </c>
      <c r="AA17" s="38" t="s">
        <v>3016</v>
      </c>
      <c r="AB17" s="38" t="s">
        <v>3017</v>
      </c>
      <c r="AC17" s="38" t="s">
        <v>3018</v>
      </c>
      <c r="AD17" s="38" t="s">
        <v>3019</v>
      </c>
      <c r="AE17" s="38" t="s">
        <v>3020</v>
      </c>
      <c r="AF17" s="38" t="s">
        <v>3021</v>
      </c>
      <c r="AG17" s="38" t="s">
        <v>3022</v>
      </c>
      <c r="AH17" s="38" t="s">
        <v>3023</v>
      </c>
    </row>
    <row r="18" spans="1:48" ht="16.5" x14ac:dyDescent="0.3">
      <c r="B18" s="38" t="s">
        <v>312</v>
      </c>
      <c r="C18" s="38" t="str">
        <f t="shared" si="1"/>
        <v>KWSV151  BBIR Curncy</v>
      </c>
      <c r="D18" s="38" t="str">
        <f t="shared" si="0"/>
        <v>KWSV152  BBIR Curncy</v>
      </c>
      <c r="E18" s="38" t="str">
        <f t="shared" si="0"/>
        <v>KWSV153  BBIR Curncy</v>
      </c>
      <c r="F18" s="38" t="str">
        <f t="shared" si="0"/>
        <v>KWSV154  BBIR Curncy</v>
      </c>
      <c r="G18" s="38" t="str">
        <f t="shared" si="0"/>
        <v>KWSV155  BBIR Curncy</v>
      </c>
      <c r="H18" s="38" t="str">
        <f t="shared" si="0"/>
        <v>KWSV156  BBIR Curncy</v>
      </c>
      <c r="I18" s="38" t="str">
        <f t="shared" si="0"/>
        <v>KWSV157  BBIR Curncy</v>
      </c>
      <c r="J18" s="38" t="str">
        <f t="shared" si="0"/>
        <v>KWSV158  BBIR Curncy</v>
      </c>
      <c r="K18" s="38" t="str">
        <f t="shared" si="0"/>
        <v>KWSV159  BBIR Curncy</v>
      </c>
      <c r="L18" s="38" t="str">
        <f t="shared" si="0"/>
        <v>KWSV1510 BBIR Curncy</v>
      </c>
      <c r="M18" s="38" t="str">
        <f t="shared" si="0"/>
        <v>KWSV1512 BBIR Curncy</v>
      </c>
      <c r="N18" s="38" t="str">
        <f t="shared" si="0"/>
        <v>KWSV1515 BBIR Curncy</v>
      </c>
      <c r="O18" s="38" t="str">
        <f t="shared" si="0"/>
        <v>KWSV1520 BBIR Curncy</v>
      </c>
      <c r="P18" s="38" t="str">
        <f t="shared" si="0"/>
        <v>KWSV1525 BBIR Curncy</v>
      </c>
      <c r="Q18" s="38" t="str">
        <f t="shared" si="0"/>
        <v>KWSV1530 BBIR Curncy</v>
      </c>
      <c r="S18" s="38" t="s">
        <v>312</v>
      </c>
      <c r="T18" s="38" t="s">
        <v>3024</v>
      </c>
      <c r="U18" s="38" t="s">
        <v>3025</v>
      </c>
      <c r="V18" s="38" t="s">
        <v>3026</v>
      </c>
      <c r="W18" s="38" t="s">
        <v>3027</v>
      </c>
      <c r="X18" s="38" t="s">
        <v>3028</v>
      </c>
      <c r="Y18" s="38" t="s">
        <v>3029</v>
      </c>
      <c r="Z18" s="38" t="s">
        <v>3030</v>
      </c>
      <c r="AA18" s="38" t="s">
        <v>3031</v>
      </c>
      <c r="AB18" s="38" t="s">
        <v>3032</v>
      </c>
      <c r="AC18" s="38" t="s">
        <v>3033</v>
      </c>
      <c r="AD18" s="38" t="s">
        <v>3034</v>
      </c>
      <c r="AE18" s="38" t="s">
        <v>3035</v>
      </c>
      <c r="AF18" s="38" t="s">
        <v>3036</v>
      </c>
      <c r="AG18" s="38" t="s">
        <v>3037</v>
      </c>
      <c r="AH18" s="38" t="s">
        <v>3038</v>
      </c>
    </row>
    <row r="19" spans="1:48" ht="16.5" x14ac:dyDescent="0.3">
      <c r="B19" s="38" t="s">
        <v>313</v>
      </c>
      <c r="C19" s="38" t="str">
        <f t="shared" si="1"/>
        <v>KWSV201  BBIR Curncy</v>
      </c>
      <c r="D19" s="38" t="str">
        <f t="shared" si="1"/>
        <v>KWSV202  BBIR Curncy</v>
      </c>
      <c r="E19" s="38" t="str">
        <f t="shared" si="1"/>
        <v>KWSV203  BBIR Curncy</v>
      </c>
      <c r="F19" s="38" t="str">
        <f t="shared" si="1"/>
        <v>KWSV204  BBIR Curncy</v>
      </c>
      <c r="G19" s="38" t="str">
        <f t="shared" si="1"/>
        <v>KWSV205  BBIR Curncy</v>
      </c>
      <c r="H19" s="38" t="str">
        <f t="shared" si="1"/>
        <v>KWSV206  BBIR Curncy</v>
      </c>
      <c r="I19" s="38" t="str">
        <f t="shared" si="1"/>
        <v>KWSV207  BBIR Curncy</v>
      </c>
      <c r="J19" s="38" t="str">
        <f t="shared" si="1"/>
        <v>KWSV208  BBIR Curncy</v>
      </c>
      <c r="K19" s="38" t="str">
        <f t="shared" si="1"/>
        <v>KWSV209  BBIR Curncy</v>
      </c>
      <c r="L19" s="38" t="str">
        <f t="shared" si="1"/>
        <v>KWSV2010 BBIR Curncy</v>
      </c>
      <c r="M19" s="38" t="str">
        <f t="shared" si="1"/>
        <v>KWSV2012 BBIR Curncy</v>
      </c>
      <c r="N19" s="38" t="str">
        <f t="shared" si="1"/>
        <v>KWSV2015 BBIR Curncy</v>
      </c>
      <c r="O19" s="38" t="str">
        <f t="shared" si="1"/>
        <v>KWSV2020 BBIR Curncy</v>
      </c>
      <c r="P19" s="38" t="str">
        <f t="shared" si="1"/>
        <v>KWSV2025 BBIR Curncy</v>
      </c>
      <c r="Q19" s="38" t="str">
        <f t="shared" si="1"/>
        <v>KWSV2030 BBIR Curncy</v>
      </c>
      <c r="S19" s="38" t="s">
        <v>313</v>
      </c>
      <c r="T19" s="38" t="s">
        <v>3039</v>
      </c>
      <c r="U19" s="38" t="s">
        <v>3040</v>
      </c>
      <c r="V19" s="38" t="s">
        <v>3041</v>
      </c>
      <c r="W19" s="38" t="s">
        <v>3042</v>
      </c>
      <c r="X19" s="38" t="s">
        <v>3043</v>
      </c>
      <c r="Y19" s="38" t="s">
        <v>3044</v>
      </c>
      <c r="Z19" s="38" t="s">
        <v>3045</v>
      </c>
      <c r="AA19" s="38" t="s">
        <v>3046</v>
      </c>
      <c r="AB19" s="38" t="s">
        <v>3047</v>
      </c>
      <c r="AC19" s="38" t="s">
        <v>3048</v>
      </c>
      <c r="AD19" s="38" t="s">
        <v>3049</v>
      </c>
      <c r="AE19" s="38" t="s">
        <v>3050</v>
      </c>
      <c r="AF19" s="38" t="s">
        <v>3051</v>
      </c>
      <c r="AG19" s="38" t="s">
        <v>3052</v>
      </c>
      <c r="AH19" s="38" t="s">
        <v>3053</v>
      </c>
    </row>
    <row r="20" spans="1:48" ht="16.5" x14ac:dyDescent="0.3">
      <c r="B20" s="38" t="s">
        <v>533</v>
      </c>
      <c r="C20" s="38" t="str">
        <f t="shared" si="1"/>
        <v>KWSV251  BBIR Curncy</v>
      </c>
      <c r="D20" s="38" t="str">
        <f t="shared" si="1"/>
        <v>KWSV252  BBIR Curncy</v>
      </c>
      <c r="E20" s="38" t="str">
        <f t="shared" si="1"/>
        <v>KWSV253  BBIR Curncy</v>
      </c>
      <c r="F20" s="38" t="str">
        <f t="shared" si="1"/>
        <v>KWSV254  BBIR Curncy</v>
      </c>
      <c r="G20" s="38" t="str">
        <f t="shared" si="1"/>
        <v>KWSV255  BBIR Curncy</v>
      </c>
      <c r="H20" s="38" t="str">
        <f t="shared" si="1"/>
        <v>KWSV256  BBIR Curncy</v>
      </c>
      <c r="I20" s="38" t="str">
        <f t="shared" si="1"/>
        <v>KWSV257  BBIR Curncy</v>
      </c>
      <c r="J20" s="38" t="str">
        <f t="shared" si="1"/>
        <v>KWSV258  BBIR Curncy</v>
      </c>
      <c r="K20" s="38" t="str">
        <f t="shared" si="1"/>
        <v>KWSV259  BBIR Curncy</v>
      </c>
      <c r="L20" s="38" t="str">
        <f t="shared" si="1"/>
        <v>KWSV2510 BBIR Curncy</v>
      </c>
      <c r="M20" s="38" t="str">
        <f t="shared" si="1"/>
        <v>KWSV2512 BBIR Curncy</v>
      </c>
      <c r="N20" s="38" t="str">
        <f t="shared" si="1"/>
        <v>KWSV2515 BBIR Curncy</v>
      </c>
      <c r="O20" s="38" t="str">
        <f t="shared" si="1"/>
        <v>KWSV2520 BBIR Curncy</v>
      </c>
      <c r="P20" s="38" t="str">
        <f t="shared" si="1"/>
        <v>KWSV2525 BBIR Curncy</v>
      </c>
      <c r="Q20" s="38" t="str">
        <f t="shared" si="1"/>
        <v>KWSV2530 BBIR Curncy</v>
      </c>
      <c r="S20" s="38" t="s">
        <v>533</v>
      </c>
      <c r="T20" s="38" t="s">
        <v>3054</v>
      </c>
      <c r="U20" s="38" t="s">
        <v>3055</v>
      </c>
      <c r="V20" s="38" t="s">
        <v>3056</v>
      </c>
      <c r="W20" s="38" t="s">
        <v>3057</v>
      </c>
      <c r="X20" s="38" t="s">
        <v>3058</v>
      </c>
      <c r="Y20" s="38" t="s">
        <v>3059</v>
      </c>
      <c r="Z20" s="38" t="s">
        <v>3060</v>
      </c>
      <c r="AA20" s="38" t="s">
        <v>3061</v>
      </c>
      <c r="AB20" s="38" t="s">
        <v>3062</v>
      </c>
      <c r="AC20" s="38" t="s">
        <v>3063</v>
      </c>
      <c r="AD20" s="38" t="s">
        <v>3064</v>
      </c>
      <c r="AE20" s="38" t="s">
        <v>3065</v>
      </c>
      <c r="AF20" s="38" t="s">
        <v>3066</v>
      </c>
      <c r="AG20" s="38" t="s">
        <v>3067</v>
      </c>
      <c r="AH20" s="38" t="s">
        <v>3068</v>
      </c>
    </row>
    <row r="21" spans="1:48" ht="16.5" x14ac:dyDescent="0.3">
      <c r="B21" s="38" t="s">
        <v>534</v>
      </c>
      <c r="C21" s="38" t="str">
        <f t="shared" si="1"/>
        <v>KWSV301  BBIR Curncy</v>
      </c>
      <c r="D21" s="38" t="str">
        <f t="shared" si="1"/>
        <v>KWSV302  BBIR Curncy</v>
      </c>
      <c r="E21" s="38" t="str">
        <f t="shared" si="1"/>
        <v>KWSV303  BBIR Curncy</v>
      </c>
      <c r="F21" s="38" t="str">
        <f t="shared" si="1"/>
        <v>KWSV304  BBIR Curncy</v>
      </c>
      <c r="G21" s="38" t="str">
        <f t="shared" si="1"/>
        <v>KWSV305  BBIR Curncy</v>
      </c>
      <c r="H21" s="38" t="str">
        <f t="shared" si="1"/>
        <v>KWSV306  BBIR Curncy</v>
      </c>
      <c r="I21" s="38" t="str">
        <f t="shared" si="1"/>
        <v>KWSV307  BBIR Curncy</v>
      </c>
      <c r="J21" s="38" t="str">
        <f t="shared" si="1"/>
        <v>KWSV308  BBIR Curncy</v>
      </c>
      <c r="K21" s="38" t="str">
        <f t="shared" si="1"/>
        <v>KWSV309  BBIR Curncy</v>
      </c>
      <c r="L21" s="38" t="str">
        <f t="shared" si="1"/>
        <v>KWSV3010 BBIR Curncy</v>
      </c>
      <c r="M21" s="38" t="str">
        <f t="shared" si="1"/>
        <v>KWSV3012 BBIR Curncy</v>
      </c>
      <c r="N21" s="38" t="str">
        <f t="shared" si="1"/>
        <v>KWSV3015 BBIR Curncy</v>
      </c>
      <c r="O21" s="38" t="str">
        <f t="shared" si="1"/>
        <v>KWSV3020 BBIR Curncy</v>
      </c>
      <c r="P21" s="38" t="str">
        <f t="shared" si="1"/>
        <v>KWSV3025 BBIR Curncy</v>
      </c>
      <c r="Q21" s="38" t="str">
        <f t="shared" si="1"/>
        <v>KWSV3030 BBIR Curncy</v>
      </c>
      <c r="S21" s="38" t="s">
        <v>534</v>
      </c>
      <c r="T21" s="38" t="s">
        <v>3069</v>
      </c>
      <c r="U21" s="38" t="s">
        <v>3070</v>
      </c>
      <c r="V21" s="38" t="s">
        <v>3071</v>
      </c>
      <c r="W21" s="38" t="s">
        <v>3072</v>
      </c>
      <c r="X21" s="38" t="s">
        <v>3073</v>
      </c>
      <c r="Y21" s="38" t="s">
        <v>3074</v>
      </c>
      <c r="Z21" s="38" t="s">
        <v>3075</v>
      </c>
      <c r="AA21" s="38" t="s">
        <v>3076</v>
      </c>
      <c r="AB21" s="38" t="s">
        <v>3077</v>
      </c>
      <c r="AC21" s="38" t="s">
        <v>3078</v>
      </c>
      <c r="AD21" s="38" t="s">
        <v>3079</v>
      </c>
      <c r="AE21" s="38" t="s">
        <v>3080</v>
      </c>
      <c r="AF21" s="38" t="s">
        <v>3081</v>
      </c>
      <c r="AG21" s="38" t="s">
        <v>3082</v>
      </c>
      <c r="AH21" s="38" t="s">
        <v>3083</v>
      </c>
    </row>
    <row r="22" spans="1:48" ht="16.5" x14ac:dyDescent="0.3"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</row>
    <row r="23" spans="1:48" x14ac:dyDescent="0.3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P23" s="3"/>
    </row>
    <row r="24" spans="1:48" x14ac:dyDescent="0.3">
      <c r="B24" s="1" t="s">
        <v>498</v>
      </c>
      <c r="C24" s="66" t="s">
        <v>172</v>
      </c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</row>
    <row r="25" spans="1:48" x14ac:dyDescent="0.3">
      <c r="A25" s="5" t="s">
        <v>318</v>
      </c>
      <c r="B25" s="4">
        <v>44600</v>
      </c>
      <c r="C25" s="1" t="s">
        <v>155</v>
      </c>
      <c r="D25" s="1" t="s">
        <v>156</v>
      </c>
      <c r="E25" s="1" t="s">
        <v>157</v>
      </c>
      <c r="F25" s="1" t="s">
        <v>158</v>
      </c>
      <c r="G25" s="1" t="s">
        <v>159</v>
      </c>
      <c r="H25" s="1" t="s">
        <v>160</v>
      </c>
      <c r="I25" s="1" t="s">
        <v>161</v>
      </c>
      <c r="J25" s="1" t="s">
        <v>162</v>
      </c>
      <c r="K25" s="1" t="s">
        <v>163</v>
      </c>
      <c r="L25" s="1" t="s">
        <v>164</v>
      </c>
      <c r="M25" s="1" t="s">
        <v>165</v>
      </c>
      <c r="N25" s="1" t="s">
        <v>166</v>
      </c>
      <c r="P25" s="5"/>
      <c r="AD25" s="5" t="s">
        <v>300</v>
      </c>
      <c r="AE25" s="5" t="s">
        <v>155</v>
      </c>
      <c r="AF25" s="5" t="s">
        <v>156</v>
      </c>
      <c r="AG25" s="5" t="s">
        <v>157</v>
      </c>
      <c r="AH25" s="5" t="s">
        <v>158</v>
      </c>
      <c r="AI25" s="5" t="s">
        <v>159</v>
      </c>
      <c r="AJ25" s="5" t="s">
        <v>161</v>
      </c>
      <c r="AK25" s="5" t="s">
        <v>164</v>
      </c>
      <c r="AL25" s="5" t="s">
        <v>165</v>
      </c>
      <c r="AM25" s="5" t="s">
        <v>166</v>
      </c>
      <c r="AO25" s="1" t="s">
        <v>590</v>
      </c>
    </row>
    <row r="26" spans="1:48" x14ac:dyDescent="0.3">
      <c r="A26" s="66" t="s">
        <v>173</v>
      </c>
      <c r="B26" s="1" t="s">
        <v>494</v>
      </c>
      <c r="C26" s="9">
        <f>_xll.BDH(C3,$B$2,$B$25,$B$25)</f>
        <v>28.57</v>
      </c>
      <c r="D26" s="9">
        <f>_xll.BDH(D3,$B$2,$B$25,$B$25)</f>
        <v>27.08</v>
      </c>
      <c r="E26" s="9">
        <f>_xll.BDH(E3,$B$2,$B$25,$B$25)</f>
        <v>27.99</v>
      </c>
      <c r="F26" s="9">
        <f>_xll.BDH(F3,$B$2,$B$25,$B$25)</f>
        <v>29.5</v>
      </c>
      <c r="G26" s="9">
        <f>_xll.BDH(G3,$B$2,$B$25,$B$25)</f>
        <v>31.28</v>
      </c>
      <c r="H26" s="9">
        <f>_xll.BDH(H3,$B$2,$B$25,$B$25)</f>
        <v>31.775600000000001</v>
      </c>
      <c r="I26" s="9">
        <f>_xll.BDH(I3,$B$2,$B$25,$B$25)</f>
        <v>32.270000000000003</v>
      </c>
      <c r="J26" s="9">
        <f>_xll.BDH(J3,$B$2,$B$25,$B$25)</f>
        <v>32.703499999999998</v>
      </c>
      <c r="K26" s="9">
        <f>_xll.BDH(K3,$B$2,$B$25,$B$25)</f>
        <v>33.140599999999999</v>
      </c>
      <c r="L26" s="9">
        <f>_xll.BDH(L3,$B$2,$B$25,$B$25)</f>
        <v>33.58</v>
      </c>
      <c r="M26" s="9">
        <f>_xll.BDH(M3,$B$2,$B$25,$B$25)</f>
        <v>34.19</v>
      </c>
      <c r="N26" s="9">
        <f>_xll.BDH(N3,$B$2,$B$25,$B$25)</f>
        <v>35.53</v>
      </c>
      <c r="O26" s="67" t="s">
        <v>173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D26" s="5" t="s">
        <v>155</v>
      </c>
      <c r="AE26" s="5">
        <f t="shared" ref="AE26:AM34" si="2">Q30/100</f>
        <v>0</v>
      </c>
      <c r="AF26" s="5">
        <f t="shared" si="2"/>
        <v>0</v>
      </c>
      <c r="AG26" s="5">
        <f t="shared" si="2"/>
        <v>0</v>
      </c>
      <c r="AH26" s="5">
        <f t="shared" si="2"/>
        <v>0</v>
      </c>
      <c r="AI26" s="5">
        <f t="shared" si="2"/>
        <v>0</v>
      </c>
      <c r="AJ26" s="5">
        <f t="shared" si="2"/>
        <v>0</v>
      </c>
      <c r="AK26" s="5">
        <f t="shared" si="2"/>
        <v>0</v>
      </c>
      <c r="AL26" s="5">
        <f t="shared" si="2"/>
        <v>0</v>
      </c>
      <c r="AM26" s="5">
        <f t="shared" si="2"/>
        <v>0</v>
      </c>
      <c r="AO26" s="5" t="str">
        <f>AE26&amp;", "&amp;AF26&amp;", "&amp;AG26&amp;", "&amp;AH26&amp;", "&amp;AI26&amp;", "&amp;AJ26&amp;", "&amp;AK26&amp;", "&amp;AL26&amp;", "&amp;AM26&amp;","</f>
        <v>0, 0, 0, 0, 0, 0, 0, 0, 0,</v>
      </c>
      <c r="AP26" s="5"/>
      <c r="AQ26" s="5"/>
      <c r="AR26" s="5"/>
      <c r="AS26" s="5"/>
      <c r="AT26" s="5"/>
      <c r="AU26" s="5"/>
      <c r="AV26" s="5"/>
    </row>
    <row r="27" spans="1:48" x14ac:dyDescent="0.3">
      <c r="A27" s="66"/>
      <c r="B27" s="1" t="s">
        <v>168</v>
      </c>
      <c r="C27" s="9">
        <f>_xll.BDH(C4,$B$2,$B$25,$B$25)</f>
        <v>26.847000000000001</v>
      </c>
      <c r="D27" s="9">
        <f>_xll.BDH(D4,$B$2,$B$25,$B$25)</f>
        <v>28.808</v>
      </c>
      <c r="E27" s="9">
        <f>_xll.BDH(E4,$B$2,$B$25,$B$25)</f>
        <v>27.238</v>
      </c>
      <c r="F27" s="9">
        <f>_xll.BDH(F4,$B$2,$B$25,$B$25)</f>
        <v>28.72</v>
      </c>
      <c r="G27" s="9">
        <f>_xll.BDH(G4,$B$2,$B$25,$B$25)</f>
        <v>30.417000000000002</v>
      </c>
      <c r="H27" s="9">
        <f>_xll.BDH(H4,$B$2,$B$25,$B$25)</f>
        <v>31.1373</v>
      </c>
      <c r="I27" s="9">
        <f>_xll.BDH(I4,$B$2,$B$25,$B$25)</f>
        <v>31.838999999999999</v>
      </c>
      <c r="J27" s="9">
        <f>_xll.BDH(J4,$B$2,$B$25,$B$25)</f>
        <v>32.461199999999998</v>
      </c>
      <c r="K27" s="9">
        <f>_xll.BDH(K4,$B$2,$B$25,$B$25)</f>
        <v>33.079099999999997</v>
      </c>
      <c r="L27" s="9">
        <f>_xll.BDH(L4,$B$2,$B$25,$B$25)</f>
        <v>33.692</v>
      </c>
      <c r="M27" s="9">
        <f>_xll.BDH(M4,$B$2,$B$25,$B$25)</f>
        <v>34.4908</v>
      </c>
      <c r="N27" s="9">
        <f>_xll.BDH(N4,$B$2,$B$25,$B$25)</f>
        <v>36.082000000000001</v>
      </c>
      <c r="O27" s="6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D27" s="5" t="s">
        <v>156</v>
      </c>
      <c r="AE27" s="5">
        <f t="shared" si="2"/>
        <v>0</v>
      </c>
      <c r="AF27" s="5">
        <f t="shared" si="2"/>
        <v>0</v>
      </c>
      <c r="AG27" s="5">
        <f t="shared" si="2"/>
        <v>0</v>
      </c>
      <c r="AH27" s="5">
        <f t="shared" si="2"/>
        <v>0</v>
      </c>
      <c r="AI27" s="5">
        <f t="shared" si="2"/>
        <v>0</v>
      </c>
      <c r="AJ27" s="5">
        <f t="shared" si="2"/>
        <v>0</v>
      </c>
      <c r="AK27" s="5">
        <f t="shared" si="2"/>
        <v>0</v>
      </c>
      <c r="AL27" s="5">
        <f t="shared" si="2"/>
        <v>0</v>
      </c>
      <c r="AM27" s="5">
        <f t="shared" si="2"/>
        <v>0</v>
      </c>
      <c r="AO27" s="5" t="str">
        <f t="shared" ref="AO27:AO33" si="3">AE27&amp;", "&amp;AF27&amp;", "&amp;AG27&amp;", "&amp;AH27&amp;", "&amp;AI27&amp;", "&amp;AJ27&amp;", "&amp;AK27&amp;", "&amp;AL27&amp;", "&amp;AM27&amp;","</f>
        <v>0, 0, 0, 0, 0, 0, 0, 0, 0,</v>
      </c>
      <c r="AP27" s="5"/>
      <c r="AQ27" s="5"/>
      <c r="AR27" s="5"/>
      <c r="AS27" s="5"/>
      <c r="AT27" s="5"/>
      <c r="AU27" s="5"/>
      <c r="AV27" s="5"/>
    </row>
    <row r="28" spans="1:48" x14ac:dyDescent="0.3">
      <c r="A28" s="66"/>
      <c r="B28" s="1" t="s">
        <v>169</v>
      </c>
      <c r="C28" s="9">
        <f>_xll.BDH(C5,$B$2,$B$25,$B$25)</f>
        <v>25.050999999999998</v>
      </c>
      <c r="D28" s="9">
        <f>_xll.BDH(D5,$B$2,$B$25,$B$25)</f>
        <v>25.120999999999999</v>
      </c>
      <c r="E28" s="9">
        <f>_xll.BDH(E5,$B$2,$B$25,$B$25)</f>
        <v>26.209</v>
      </c>
      <c r="F28" s="9">
        <f>_xll.BDH(F5,$B$2,$B$25,$B$25)</f>
        <v>27.53</v>
      </c>
      <c r="G28" s="9">
        <f>_xll.BDH(G5,$B$2,$B$25,$B$25)</f>
        <v>28.995000000000001</v>
      </c>
      <c r="H28" s="9">
        <f>_xll.BDH(H5,$B$2,$B$25,$B$25)</f>
        <v>29.649799999999999</v>
      </c>
      <c r="I28" s="9">
        <f>_xll.BDH(I5,$B$2,$B$25,$B$25)</f>
        <v>30.277999999999999</v>
      </c>
      <c r="J28" s="9">
        <f>_xll.BDH(J5,$B$2,$B$25,$B$25)</f>
        <v>30.779599999999999</v>
      </c>
      <c r="K28" s="9">
        <f>_xll.BDH(K5,$B$2,$B$25,$B$25)</f>
        <v>31.2746</v>
      </c>
      <c r="L28" s="9">
        <f>_xll.BDH(L5,$B$2,$B$25,$B$25)</f>
        <v>31.760999999999999</v>
      </c>
      <c r="M28" s="9">
        <f>_xll.BDH(M5,$B$2,$B$25,$B$25)</f>
        <v>32.661200000000001</v>
      </c>
      <c r="N28" s="9">
        <f>_xll.BDH(N5,$B$2,$B$25,$B$25)</f>
        <v>34.332000000000001</v>
      </c>
      <c r="O28" s="67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D28" s="5" t="s">
        <v>157</v>
      </c>
      <c r="AE28" s="5">
        <f t="shared" si="2"/>
        <v>0</v>
      </c>
      <c r="AF28" s="5">
        <f t="shared" si="2"/>
        <v>0</v>
      </c>
      <c r="AG28" s="5">
        <f t="shared" si="2"/>
        <v>0</v>
      </c>
      <c r="AH28" s="5">
        <f t="shared" si="2"/>
        <v>0</v>
      </c>
      <c r="AI28" s="5">
        <f t="shared" si="2"/>
        <v>0</v>
      </c>
      <c r="AJ28" s="5">
        <f t="shared" si="2"/>
        <v>0</v>
      </c>
      <c r="AK28" s="5">
        <f t="shared" si="2"/>
        <v>0</v>
      </c>
      <c r="AL28" s="5">
        <f t="shared" si="2"/>
        <v>0</v>
      </c>
      <c r="AM28" s="5">
        <f t="shared" si="2"/>
        <v>0</v>
      </c>
      <c r="AO28" s="5" t="str">
        <f t="shared" si="3"/>
        <v>0, 0, 0, 0, 0, 0, 0, 0, 0,</v>
      </c>
      <c r="AP28" s="5"/>
      <c r="AQ28" s="5"/>
      <c r="AR28" s="5"/>
      <c r="AS28" s="5"/>
      <c r="AT28" s="5"/>
      <c r="AU28" s="5"/>
      <c r="AV28" s="5"/>
    </row>
    <row r="29" spans="1:48" x14ac:dyDescent="0.3">
      <c r="A29" s="66"/>
      <c r="B29" s="1" t="s">
        <v>170</v>
      </c>
      <c r="C29" s="9">
        <f>_xll.BDH(C6,$B$2,$B$25,$B$25)</f>
        <v>24.003</v>
      </c>
      <c r="D29" s="9">
        <f>_xll.BDH(D6,$B$2,$B$25,$B$25)</f>
        <v>24.510999999999999</v>
      </c>
      <c r="E29" s="9">
        <f>_xll.BDH(E6,$B$2,$B$25,$B$25)</f>
        <v>25.488</v>
      </c>
      <c r="F29" s="9">
        <f>_xll.BDH(F6,$B$2,$B$25,$B$25)</f>
        <v>26.585000000000001</v>
      </c>
      <c r="G29" s="9">
        <f>_xll.BDH(G6,$B$2,$B$25,$B$25)</f>
        <v>27.783999999999999</v>
      </c>
      <c r="H29" s="9">
        <f>_xll.BDH(H6,$B$2,$B$25,$B$25)</f>
        <v>28.343299999999999</v>
      </c>
      <c r="I29" s="9">
        <f>_xll.BDH(I6,$B$2,$B$25,$B$25)</f>
        <v>28.870999999999999</v>
      </c>
      <c r="J29" s="9">
        <f>_xll.BDH(J6,$B$2,$B$25,$B$25)</f>
        <v>29.241299999999999</v>
      </c>
      <c r="K29" s="9">
        <f>_xll.BDH(K6,$B$2,$B$25,$B$25)</f>
        <v>29.6035</v>
      </c>
      <c r="L29" s="9">
        <f>_xll.BDH(L6,$B$2,$B$25,$B$25)</f>
        <v>29.954999999999998</v>
      </c>
      <c r="M29" s="9">
        <f>_xll.BDH(M6,$B$2,$B$25,$B$25)</f>
        <v>30.935600000000001</v>
      </c>
      <c r="N29" s="9">
        <f>_xll.BDH(N6,$B$2,$B$25,$B$25)</f>
        <v>32.662999999999997</v>
      </c>
      <c r="O29" s="67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D29" s="5" t="s">
        <v>158</v>
      </c>
      <c r="AE29" s="5">
        <f t="shared" si="2"/>
        <v>0</v>
      </c>
      <c r="AF29" s="5">
        <f t="shared" si="2"/>
        <v>0</v>
      </c>
      <c r="AG29" s="5">
        <f t="shared" si="2"/>
        <v>0</v>
      </c>
      <c r="AH29" s="5">
        <f t="shared" si="2"/>
        <v>0</v>
      </c>
      <c r="AI29" s="5">
        <f t="shared" si="2"/>
        <v>0</v>
      </c>
      <c r="AJ29" s="5">
        <f t="shared" si="2"/>
        <v>0</v>
      </c>
      <c r="AK29" s="5">
        <f t="shared" si="2"/>
        <v>0</v>
      </c>
      <c r="AL29" s="5">
        <f t="shared" si="2"/>
        <v>0</v>
      </c>
      <c r="AM29" s="5">
        <f t="shared" si="2"/>
        <v>0</v>
      </c>
      <c r="AO29" s="5" t="str">
        <f t="shared" si="3"/>
        <v>0, 0, 0, 0, 0, 0, 0, 0, 0,</v>
      </c>
      <c r="AP29" s="5"/>
      <c r="AQ29" s="5"/>
      <c r="AR29" s="5"/>
      <c r="AS29" s="5"/>
      <c r="AT29" s="5"/>
      <c r="AU29" s="5"/>
      <c r="AV29" s="5"/>
    </row>
    <row r="30" spans="1:48" x14ac:dyDescent="0.3">
      <c r="A30" s="66"/>
      <c r="B30" s="1" t="s">
        <v>155</v>
      </c>
      <c r="C30" s="34">
        <f>_xll.BDH(C7,$B$2,$B$25,$B$25)</f>
        <v>23.715</v>
      </c>
      <c r="D30" s="34">
        <f>_xll.BDH(D7,$B$2,$B$25,$B$25)</f>
        <v>24.786000000000001</v>
      </c>
      <c r="E30" s="34">
        <f>_xll.BDH(E7,$B$2,$B$25,$B$25)</f>
        <v>25.285</v>
      </c>
      <c r="F30" s="34">
        <f>_xll.BDH(F7,$B$2,$B$25,$B$25)</f>
        <v>25.83</v>
      </c>
      <c r="G30" s="34">
        <f>_xll.BDH(G7,$B$2,$B$25,$B$25)</f>
        <v>26.707999999999998</v>
      </c>
      <c r="H30" s="9">
        <f>_xll.BDH(H7,$B$2,$B$25,$B$25)</f>
        <v>27.137599999999999</v>
      </c>
      <c r="I30" s="34">
        <f>_xll.BDH(I7,$B$2,$B$25,$B$25)</f>
        <v>27.533999999999999</v>
      </c>
      <c r="J30" s="9">
        <f>_xll.BDH(J7,$B$2,$B$25,$B$25)</f>
        <v>27.752400000000002</v>
      </c>
      <c r="K30" s="9">
        <f>_xll.BDH(K7,$B$2,$B$25,$B$25)</f>
        <v>27.963100000000001</v>
      </c>
      <c r="L30" s="34">
        <f>_xll.BDH(L7,$B$2,$B$25,$B$25)</f>
        <v>28.161999999999999</v>
      </c>
      <c r="M30" s="34">
        <f>_xll.BDH(M7,$B$2,$B$25,$B$25)</f>
        <v>29.207000000000001</v>
      </c>
      <c r="N30" s="34">
        <f>_xll.BDH(N7,$B$2,$B$25,$B$25)</f>
        <v>30.972999999999999</v>
      </c>
      <c r="O30" s="67"/>
      <c r="P30" s="9"/>
      <c r="Q30" s="34"/>
      <c r="R30" s="34"/>
      <c r="S30" s="34"/>
      <c r="T30" s="34"/>
      <c r="U30" s="34"/>
      <c r="V30" s="9"/>
      <c r="W30" s="34"/>
      <c r="X30" s="9"/>
      <c r="Y30" s="9"/>
      <c r="Z30" s="34"/>
      <c r="AA30" s="34"/>
      <c r="AB30" s="34"/>
      <c r="AD30" s="5" t="s">
        <v>159</v>
      </c>
      <c r="AE30" s="5">
        <f t="shared" si="2"/>
        <v>0</v>
      </c>
      <c r="AF30" s="5">
        <f t="shared" si="2"/>
        <v>0</v>
      </c>
      <c r="AG30" s="5">
        <f t="shared" si="2"/>
        <v>0</v>
      </c>
      <c r="AH30" s="5">
        <f t="shared" si="2"/>
        <v>0</v>
      </c>
      <c r="AI30" s="5">
        <f t="shared" si="2"/>
        <v>0</v>
      </c>
      <c r="AJ30" s="5">
        <f t="shared" si="2"/>
        <v>0</v>
      </c>
      <c r="AK30" s="5">
        <f t="shared" si="2"/>
        <v>0</v>
      </c>
      <c r="AL30" s="5">
        <f t="shared" si="2"/>
        <v>0</v>
      </c>
      <c r="AM30" s="5">
        <f t="shared" si="2"/>
        <v>0</v>
      </c>
      <c r="AO30" s="5" t="str">
        <f t="shared" si="3"/>
        <v>0, 0, 0, 0, 0, 0, 0, 0, 0,</v>
      </c>
      <c r="AP30" s="5"/>
      <c r="AQ30" s="5"/>
      <c r="AR30" s="5"/>
      <c r="AS30" s="5"/>
      <c r="AT30" s="5"/>
      <c r="AU30" s="5"/>
      <c r="AV30" s="5"/>
    </row>
    <row r="31" spans="1:48" x14ac:dyDescent="0.3">
      <c r="A31" s="66"/>
      <c r="B31" s="1" t="s">
        <v>156</v>
      </c>
      <c r="C31" s="34">
        <f>_xll.BDH(C8,$B$2,$B$25,$B$25)</f>
        <v>23.966000000000001</v>
      </c>
      <c r="D31" s="34">
        <f>_xll.BDH(D8,$B$2,$B$25,$B$25)</f>
        <v>23.919</v>
      </c>
      <c r="E31" s="34">
        <f>_xll.BDH(E8,$B$2,$B$25,$B$25)</f>
        <v>23.88</v>
      </c>
      <c r="F31" s="34">
        <f>_xll.BDH(F8,$B$2,$B$25,$B$25)</f>
        <v>23.9</v>
      </c>
      <c r="G31" s="34">
        <f>_xll.BDH(G8,$B$2,$B$25,$B$25)</f>
        <v>25.3443</v>
      </c>
      <c r="H31" s="9">
        <f>_xll.BDH(H8,$B$2,$B$25,$B$25)</f>
        <v>24.9499</v>
      </c>
      <c r="I31" s="34">
        <f>_xll.BDH(I8,$B$2,$B$25,$B$25)</f>
        <v>24.545000000000002</v>
      </c>
      <c r="J31" s="9">
        <f>_xll.BDH(J8,$B$2,$B$25,$B$25)</f>
        <v>24.8203</v>
      </c>
      <c r="K31" s="9">
        <f>_xll.BDH(K8,$B$2,$B$25,$B$25)</f>
        <v>25.084800000000001</v>
      </c>
      <c r="L31" s="34">
        <f>_xll.BDH(L8,$B$2,$B$25,$B$25)</f>
        <v>25.349</v>
      </c>
      <c r="M31" s="34">
        <f>_xll.BDH(M8,$B$2,$B$25,$B$25)</f>
        <v>26.621200000000002</v>
      </c>
      <c r="N31" s="34">
        <f>_xll.BDH(N8,$B$2,$B$25,$B$25)</f>
        <v>28.571999999999999</v>
      </c>
      <c r="O31" s="67"/>
      <c r="P31" s="9"/>
      <c r="Q31" s="34"/>
      <c r="R31" s="34"/>
      <c r="S31" s="34"/>
      <c r="T31" s="34"/>
      <c r="U31" s="34"/>
      <c r="V31" s="9"/>
      <c r="W31" s="34"/>
      <c r="X31" s="9"/>
      <c r="Y31" s="9"/>
      <c r="Z31" s="34"/>
      <c r="AA31" s="34"/>
      <c r="AB31" s="34"/>
      <c r="AD31" s="5" t="s">
        <v>161</v>
      </c>
      <c r="AE31" s="5">
        <f t="shared" si="2"/>
        <v>0</v>
      </c>
      <c r="AF31" s="5">
        <f t="shared" si="2"/>
        <v>0</v>
      </c>
      <c r="AG31" s="5">
        <f t="shared" si="2"/>
        <v>0</v>
      </c>
      <c r="AH31" s="5">
        <f t="shared" si="2"/>
        <v>0</v>
      </c>
      <c r="AI31" s="5">
        <f t="shared" si="2"/>
        <v>0</v>
      </c>
      <c r="AJ31" s="5">
        <f t="shared" si="2"/>
        <v>0</v>
      </c>
      <c r="AK31" s="5">
        <f t="shared" si="2"/>
        <v>0</v>
      </c>
      <c r="AL31" s="5">
        <f t="shared" si="2"/>
        <v>0</v>
      </c>
      <c r="AM31" s="5">
        <f t="shared" si="2"/>
        <v>0</v>
      </c>
      <c r="AO31" s="5" t="str">
        <f t="shared" si="3"/>
        <v>0, 0, 0, 0, 0, 0, 0, 0, 0,</v>
      </c>
      <c r="AP31" s="5"/>
      <c r="AQ31" s="5"/>
      <c r="AR31" s="5"/>
      <c r="AS31" s="5"/>
      <c r="AT31" s="5"/>
      <c r="AU31" s="5"/>
      <c r="AV31" s="5"/>
    </row>
    <row r="32" spans="1:48" x14ac:dyDescent="0.3">
      <c r="A32" s="66"/>
      <c r="B32" s="1" t="s">
        <v>157</v>
      </c>
      <c r="C32" s="34">
        <f>_xll.BDH(C9,$B$2,$B$25,$B$25)</f>
        <v>23.637</v>
      </c>
      <c r="D32" s="34">
        <f>_xll.BDH(D9,$B$2,$B$25,$B$25)</f>
        <v>23.691099999999999</v>
      </c>
      <c r="E32" s="34">
        <f>_xll.BDH(E9,$B$2,$B$25,$B$25)</f>
        <v>23.609000000000002</v>
      </c>
      <c r="F32" s="34">
        <f>_xll.BDH(F9,$B$2,$B$25,$B$25)</f>
        <v>23.58</v>
      </c>
      <c r="G32" s="34">
        <f>_xll.BDH(G9,$B$2,$B$25,$B$25)</f>
        <v>23.416499999999999</v>
      </c>
      <c r="H32" s="9">
        <f>_xll.BDH(H9,$B$2,$B$25,$B$25)</f>
        <v>23.581800000000001</v>
      </c>
      <c r="I32" s="34">
        <f>_xll.BDH(I9,$B$2,$B$25,$B$25)</f>
        <v>23.742000000000001</v>
      </c>
      <c r="J32" s="9">
        <f>_xll.BDH(J9,$B$2,$B$25,$B$25)</f>
        <v>23.9925</v>
      </c>
      <c r="K32" s="9">
        <f>_xll.BDH(K9,$B$2,$B$25,$B$25)</f>
        <v>24.242699999999999</v>
      </c>
      <c r="L32" s="34">
        <f>_xll.BDH(L9,$B$2,$B$25,$B$25)</f>
        <v>24.652999999999999</v>
      </c>
      <c r="M32" s="34">
        <f>_xll.BDH(M9,$B$2,$B$25,$B$25)</f>
        <v>25.898</v>
      </c>
      <c r="N32" s="34">
        <f>_xll.BDH(N9,$B$2,$B$25,$B$25)</f>
        <v>27.925999999999998</v>
      </c>
      <c r="O32" s="67"/>
      <c r="P32" s="9"/>
      <c r="Q32" s="34"/>
      <c r="R32" s="34"/>
      <c r="S32" s="34"/>
      <c r="T32" s="34"/>
      <c r="U32" s="34"/>
      <c r="V32" s="9"/>
      <c r="W32" s="34"/>
      <c r="X32" s="9"/>
      <c r="Y32" s="9"/>
      <c r="Z32" s="34"/>
      <c r="AA32" s="34"/>
      <c r="AB32" s="34"/>
      <c r="AD32" s="5" t="s">
        <v>164</v>
      </c>
      <c r="AE32" s="5">
        <f t="shared" si="2"/>
        <v>0</v>
      </c>
      <c r="AF32" s="5">
        <f t="shared" si="2"/>
        <v>0</v>
      </c>
      <c r="AG32" s="5">
        <f t="shared" si="2"/>
        <v>0</v>
      </c>
      <c r="AH32" s="5">
        <f t="shared" si="2"/>
        <v>0</v>
      </c>
      <c r="AI32" s="5">
        <f t="shared" si="2"/>
        <v>0</v>
      </c>
      <c r="AJ32" s="5">
        <f t="shared" si="2"/>
        <v>0</v>
      </c>
      <c r="AK32" s="5">
        <f t="shared" si="2"/>
        <v>0</v>
      </c>
      <c r="AL32" s="5">
        <f t="shared" si="2"/>
        <v>0</v>
      </c>
      <c r="AM32" s="5">
        <f t="shared" si="2"/>
        <v>0</v>
      </c>
      <c r="AO32" s="5" t="str">
        <f t="shared" si="3"/>
        <v>0, 0, 0, 0, 0, 0, 0, 0, 0,</v>
      </c>
      <c r="AP32" s="5"/>
      <c r="AQ32" s="5"/>
      <c r="AR32" s="5"/>
      <c r="AS32" s="5"/>
      <c r="AT32" s="5"/>
      <c r="AU32" s="5"/>
      <c r="AV32" s="5"/>
    </row>
    <row r="33" spans="1:48" x14ac:dyDescent="0.3">
      <c r="A33" s="66"/>
      <c r="B33" s="1" t="s">
        <v>158</v>
      </c>
      <c r="C33" s="34">
        <f>_xll.BDH(C10,$B$2,$B$25,$B$25)</f>
        <v>23.41</v>
      </c>
      <c r="D33" s="34">
        <f>_xll.BDH(D10,$B$2,$B$25,$B$25)</f>
        <v>22.94</v>
      </c>
      <c r="E33" s="34">
        <f>_xll.BDH(E10,$B$2,$B$25,$B$25)</f>
        <v>23.32</v>
      </c>
      <c r="F33" s="34">
        <f>_xll.BDH(F10,$B$2,$B$25,$B$25)</f>
        <v>22.76</v>
      </c>
      <c r="G33" s="34">
        <f>_xll.BDH(G10,$B$2,$B$25,$B$25)</f>
        <v>22.79</v>
      </c>
      <c r="H33" s="9">
        <f>_xll.BDH(H10,$B$2,$B$25,$B$25)</f>
        <v>22.860299999999999</v>
      </c>
      <c r="I33" s="34">
        <f>_xll.BDH(I10,$B$2,$B$25,$B$25)</f>
        <v>22.92</v>
      </c>
      <c r="J33" s="9">
        <f>_xll.BDH(J10,$B$2,$B$25,$B$25)</f>
        <v>23.1769</v>
      </c>
      <c r="K33" s="9">
        <f>_xll.BDH(K10,$B$2,$B$25,$B$25)</f>
        <v>23.608899999999998</v>
      </c>
      <c r="L33" s="34">
        <f>_xll.BDH(L10,$B$2,$B$25,$B$25)</f>
        <v>24.01</v>
      </c>
      <c r="M33" s="34">
        <f>_xll.BDH(M10,$B$2,$B$25,$B$25)</f>
        <v>25.28</v>
      </c>
      <c r="N33" s="34">
        <f>_xll.BDH(N10,$B$2,$B$25,$B$25)</f>
        <v>27.16</v>
      </c>
      <c r="O33" s="67"/>
      <c r="P33" s="9"/>
      <c r="Q33" s="34"/>
      <c r="R33" s="34"/>
      <c r="S33" s="34"/>
      <c r="T33" s="34"/>
      <c r="U33" s="34"/>
      <c r="V33" s="9"/>
      <c r="W33" s="34"/>
      <c r="X33" s="9"/>
      <c r="Y33" s="9"/>
      <c r="Z33" s="34"/>
      <c r="AA33" s="34"/>
      <c r="AB33" s="34"/>
      <c r="AD33" s="5" t="s">
        <v>165</v>
      </c>
      <c r="AE33" s="5">
        <f t="shared" si="2"/>
        <v>0</v>
      </c>
      <c r="AF33" s="5">
        <f t="shared" si="2"/>
        <v>0</v>
      </c>
      <c r="AG33" s="5">
        <f t="shared" si="2"/>
        <v>0</v>
      </c>
      <c r="AH33" s="5">
        <f t="shared" si="2"/>
        <v>0</v>
      </c>
      <c r="AI33" s="5">
        <f t="shared" si="2"/>
        <v>0</v>
      </c>
      <c r="AJ33" s="5">
        <f t="shared" si="2"/>
        <v>0</v>
      </c>
      <c r="AK33" s="5">
        <f t="shared" si="2"/>
        <v>0</v>
      </c>
      <c r="AL33" s="5">
        <f t="shared" si="2"/>
        <v>0</v>
      </c>
      <c r="AM33" s="5">
        <f t="shared" si="2"/>
        <v>0</v>
      </c>
      <c r="AO33" s="5" t="str">
        <f t="shared" si="3"/>
        <v>0, 0, 0, 0, 0, 0, 0, 0, 0,</v>
      </c>
      <c r="AP33" s="5"/>
      <c r="AQ33" s="5"/>
      <c r="AR33" s="5"/>
      <c r="AS33" s="5"/>
      <c r="AT33" s="5"/>
      <c r="AU33" s="5"/>
      <c r="AV33" s="5"/>
    </row>
    <row r="34" spans="1:48" x14ac:dyDescent="0.3">
      <c r="A34" s="66"/>
      <c r="B34" s="1" t="s">
        <v>159</v>
      </c>
      <c r="C34" s="34">
        <f>_xll.BDH(C11,$B$2,$B$25,$B$25)</f>
        <v>22.277000000000001</v>
      </c>
      <c r="D34" s="34">
        <f>_xll.BDH(D11,$B$2,$B$25,$B$25)</f>
        <v>21.960999999999999</v>
      </c>
      <c r="E34" s="34">
        <f>_xll.BDH(E11,$B$2,$B$25,$B$25)</f>
        <v>22.452000000000002</v>
      </c>
      <c r="F34" s="34">
        <f>_xll.BDH(F11,$B$2,$B$25,$B$25)</f>
        <v>22.2</v>
      </c>
      <c r="G34" s="34">
        <f>_xll.BDH(G11,$B$2,$B$25,$B$25)</f>
        <v>22.06</v>
      </c>
      <c r="H34" s="9">
        <f>_xll.BDH(H11,$B$2,$B$25,$B$25)</f>
        <v>22.058399999999999</v>
      </c>
      <c r="I34" s="34">
        <f>_xll.BDH(I11,$B$2,$B$25,$B$25)</f>
        <v>22.062999999999999</v>
      </c>
      <c r="J34" s="9">
        <f>_xll.BDH(J11,$B$2,$B$25,$B$25)</f>
        <v>22.526499999999999</v>
      </c>
      <c r="K34" s="9">
        <f>_xll.BDH(K11,$B$2,$B$25,$B$25)</f>
        <v>22.9497</v>
      </c>
      <c r="L34" s="34">
        <f>_xll.BDH(L11,$B$2,$B$25,$B$25)</f>
        <v>23.341999999999999</v>
      </c>
      <c r="M34" s="34">
        <f>_xll.BDH(M11,$B$2,$B$25,$B$25)</f>
        <v>24.566199999999998</v>
      </c>
      <c r="N34" s="34">
        <f>_xll.BDH(N11,$B$2,$B$25,$B$25)</f>
        <v>26.17</v>
      </c>
      <c r="O34" s="67"/>
      <c r="P34" s="9"/>
      <c r="Q34" s="34"/>
      <c r="R34" s="34"/>
      <c r="S34" s="34"/>
      <c r="T34" s="34"/>
      <c r="U34" s="34"/>
      <c r="V34" s="9"/>
      <c r="W34" s="34"/>
      <c r="X34" s="9"/>
      <c r="Y34" s="9"/>
      <c r="Z34" s="34"/>
      <c r="AA34" s="34"/>
      <c r="AB34" s="34"/>
      <c r="AD34" s="5" t="s">
        <v>166</v>
      </c>
      <c r="AE34" s="5">
        <f t="shared" si="2"/>
        <v>0</v>
      </c>
      <c r="AF34" s="5">
        <f t="shared" si="2"/>
        <v>0</v>
      </c>
      <c r="AG34" s="5">
        <f t="shared" si="2"/>
        <v>0</v>
      </c>
      <c r="AH34" s="5">
        <f t="shared" si="2"/>
        <v>0</v>
      </c>
      <c r="AI34" s="5">
        <f t="shared" si="2"/>
        <v>0</v>
      </c>
      <c r="AJ34" s="5">
        <f t="shared" si="2"/>
        <v>0</v>
      </c>
      <c r="AK34" s="5">
        <f t="shared" si="2"/>
        <v>0</v>
      </c>
      <c r="AL34" s="5">
        <f t="shared" si="2"/>
        <v>0</v>
      </c>
      <c r="AM34" s="5">
        <f t="shared" si="2"/>
        <v>0</v>
      </c>
      <c r="AO34" s="5" t="str">
        <f>AE34&amp;", "&amp;AF34&amp;", "&amp;AG34&amp;", "&amp;AH34&amp;", "&amp;AI34&amp;", "&amp;AJ34&amp;", "&amp;AK34&amp;", "&amp;AL34&amp;", "&amp;AM34</f>
        <v>0, 0, 0, 0, 0, 0, 0, 0, 0</v>
      </c>
      <c r="AP34" s="5"/>
      <c r="AQ34" s="5"/>
      <c r="AR34" s="5"/>
      <c r="AS34" s="5"/>
      <c r="AT34" s="5"/>
      <c r="AU34" s="5"/>
      <c r="AV34" s="5"/>
    </row>
    <row r="35" spans="1:48" x14ac:dyDescent="0.3">
      <c r="A35" s="66"/>
      <c r="B35" s="1" t="s">
        <v>161</v>
      </c>
      <c r="C35" s="34">
        <f>_xll.BDH(C12,$B$2,$B$25,$B$25)</f>
        <v>21.973099999999999</v>
      </c>
      <c r="D35" s="34">
        <f>_xll.BDH(D12,$B$2,$B$25,$B$25)</f>
        <v>21.432600000000001</v>
      </c>
      <c r="E35" s="34">
        <f>_xll.BDH(E12,$B$2,$B$25,$B$25)</f>
        <v>21.866</v>
      </c>
      <c r="F35" s="34">
        <f>_xll.BDH(F12,$B$2,$B$25,$B$25)</f>
        <v>21.811800000000002</v>
      </c>
      <c r="G35" s="34">
        <f>_xll.BDH(G12,$B$2,$B$25,$B$25)</f>
        <v>21.850999999999999</v>
      </c>
      <c r="H35" s="9">
        <f>_xll.BDH(H12,$B$2,$B$25,$B$25)</f>
        <v>22.001100000000001</v>
      </c>
      <c r="I35" s="34">
        <f>_xll.BDH(I12,$B$2,$B$25,$B$25)</f>
        <v>22.3781</v>
      </c>
      <c r="J35" s="9">
        <f>_xll.BDH(J12,$B$2,$B$25,$B$25)</f>
        <v>22.898199999999999</v>
      </c>
      <c r="K35" s="9">
        <f>_xll.BDH(K12,$B$2,$B$25,$B$25)</f>
        <v>23.3767</v>
      </c>
      <c r="L35" s="34">
        <f>_xll.BDH(L12,$B$2,$B$25,$B$25)</f>
        <v>23.9711</v>
      </c>
      <c r="M35" s="34">
        <f>_xll.BDH(M12,$B$2,$B$25,$B$25)</f>
        <v>25.075700000000001</v>
      </c>
      <c r="N35" s="34">
        <f>_xll.BDH(N12,$B$2,$B$25,$B$25)</f>
        <v>26.51</v>
      </c>
      <c r="O35" s="67"/>
      <c r="P35" s="9"/>
      <c r="Q35" s="34"/>
      <c r="R35" s="34"/>
      <c r="S35" s="34"/>
      <c r="T35" s="34"/>
      <c r="U35" s="34"/>
      <c r="V35" s="9"/>
      <c r="W35" s="34"/>
      <c r="X35" s="9"/>
      <c r="Y35" s="9"/>
      <c r="Z35" s="34"/>
      <c r="AA35" s="34"/>
      <c r="AB35" s="34"/>
    </row>
    <row r="36" spans="1:48" x14ac:dyDescent="0.3">
      <c r="A36" s="66"/>
      <c r="B36" s="1" t="s">
        <v>164</v>
      </c>
      <c r="C36" s="34">
        <f>_xll.BDH(C13,$B$2,$B$25,$B$25)</f>
        <v>21.6</v>
      </c>
      <c r="D36" s="34">
        <f>_xll.BDH(D13,$B$2,$B$25,$B$25)</f>
        <v>20.9</v>
      </c>
      <c r="E36" s="34">
        <f>_xll.BDH(E13,$B$2,$B$25,$B$25)</f>
        <v>21.28</v>
      </c>
      <c r="F36" s="34">
        <f>_xll.BDH(F13,$B$2,$B$25,$B$25)</f>
        <v>21.4</v>
      </c>
      <c r="G36" s="34">
        <f>_xll.BDH(G13,$B$2,$B$25,$B$25)</f>
        <v>21.64</v>
      </c>
      <c r="H36" s="9">
        <f>_xll.BDH(H13,$B$2,$B$25,$B$25)</f>
        <v>22.209099999999999</v>
      </c>
      <c r="I36" s="34">
        <f>_xll.BDH(I13,$B$2,$B$25,$B$25)</f>
        <v>22.7</v>
      </c>
      <c r="J36" s="9">
        <f>_xll.BDH(J13,$B$2,$B$25,$B$25)</f>
        <v>23.271000000000001</v>
      </c>
      <c r="K36" s="9">
        <f>_xll.BDH(K13,$B$2,$B$25,$B$25)</f>
        <v>23.969899999999999</v>
      </c>
      <c r="L36" s="34">
        <f>_xll.BDH(L13,$B$2,$B$25,$B$25)</f>
        <v>24.61</v>
      </c>
      <c r="M36" s="34">
        <f>_xll.BDH(M13,$B$2,$B$25,$B$25)</f>
        <v>25.6</v>
      </c>
      <c r="N36" s="34">
        <f>_xll.BDH(N13,$B$2,$B$25,$B$25)</f>
        <v>26.86</v>
      </c>
      <c r="O36" s="67"/>
      <c r="P36" s="9"/>
      <c r="Q36" s="34"/>
      <c r="R36" s="34"/>
      <c r="S36" s="34"/>
      <c r="T36" s="34"/>
      <c r="U36" s="34"/>
      <c r="V36" s="9"/>
      <c r="W36" s="34"/>
      <c r="X36" s="9"/>
      <c r="Y36" s="9"/>
      <c r="Z36" s="34"/>
      <c r="AA36" s="34"/>
      <c r="AB36" s="34"/>
      <c r="AD36" s="5" t="s">
        <v>592</v>
      </c>
      <c r="AE36" s="5" t="s">
        <v>155</v>
      </c>
      <c r="AF36" s="5" t="s">
        <v>156</v>
      </c>
      <c r="AG36" s="5" t="s">
        <v>157</v>
      </c>
      <c r="AH36" s="5" t="s">
        <v>158</v>
      </c>
      <c r="AI36" s="5" t="s">
        <v>159</v>
      </c>
      <c r="AJ36" s="5" t="s">
        <v>161</v>
      </c>
      <c r="AK36" s="5" t="s">
        <v>164</v>
      </c>
      <c r="AL36" s="5" t="s">
        <v>165</v>
      </c>
      <c r="AM36" s="5" t="s">
        <v>166</v>
      </c>
      <c r="AO36" s="1" t="s">
        <v>593</v>
      </c>
    </row>
    <row r="37" spans="1:48" x14ac:dyDescent="0.3">
      <c r="A37" s="66"/>
      <c r="B37" s="1" t="s">
        <v>165</v>
      </c>
      <c r="C37" s="34">
        <f>_xll.BDH(C14,$B$2,$B$25,$B$25)</f>
        <v>20.6005</v>
      </c>
      <c r="D37" s="34">
        <f>_xll.BDH(D14,$B$2,$B$25,$B$25)</f>
        <v>20.386700000000001</v>
      </c>
      <c r="E37" s="34">
        <f>_xll.BDH(E14,$B$2,$B$25,$B$25)</f>
        <v>20.967199999999998</v>
      </c>
      <c r="F37" s="34">
        <f>_xll.BDH(F14,$B$2,$B$25,$B$25)</f>
        <v>21.470199999999998</v>
      </c>
      <c r="G37" s="34">
        <f>_xll.BDH(G14,$B$2,$B$25,$B$25)</f>
        <v>22.36</v>
      </c>
      <c r="H37" s="9">
        <f>_xll.BDH(H14,$B$2,$B$25,$B$25)</f>
        <v>22.984300000000001</v>
      </c>
      <c r="I37" s="34">
        <f>_xll.BDH(I14,$B$2,$B$25,$B$25)</f>
        <v>23.535</v>
      </c>
      <c r="J37" s="9">
        <f>_xll.BDH(J14,$B$2,$B$25,$B$25)</f>
        <v>24.043500000000002</v>
      </c>
      <c r="K37" s="9">
        <f>_xll.BDH(K14,$B$2,$B$25,$B$25)</f>
        <v>24.484999999999999</v>
      </c>
      <c r="L37" s="34">
        <f>_xll.BDH(L14,$B$2,$B$25,$B$25)</f>
        <v>24.874600000000001</v>
      </c>
      <c r="M37" s="34">
        <f>_xll.BDH(M14,$B$2,$B$25,$B$25)</f>
        <v>25.840699999999998</v>
      </c>
      <c r="N37" s="34">
        <f>_xll.BDH(N14,$B$2,$B$25,$B$25)</f>
        <v>27.1004</v>
      </c>
      <c r="O37" s="67"/>
      <c r="P37" s="9"/>
      <c r="Q37" s="34"/>
      <c r="R37" s="34"/>
      <c r="S37" s="34"/>
      <c r="T37" s="34"/>
      <c r="U37" s="34"/>
      <c r="V37" s="9"/>
      <c r="W37" s="34"/>
      <c r="X37" s="9"/>
      <c r="Y37" s="9"/>
      <c r="Z37" s="34"/>
      <c r="AA37" s="34"/>
      <c r="AB37" s="34"/>
      <c r="AD37" s="5" t="s">
        <v>155</v>
      </c>
      <c r="AE37" s="5">
        <f t="shared" ref="AE37:AI45" si="4">C30</f>
        <v>23.715</v>
      </c>
      <c r="AF37" s="5">
        <f t="shared" si="4"/>
        <v>24.786000000000001</v>
      </c>
      <c r="AG37" s="5">
        <f t="shared" si="4"/>
        <v>25.285</v>
      </c>
      <c r="AH37" s="5">
        <f t="shared" si="4"/>
        <v>25.83</v>
      </c>
      <c r="AI37" s="5">
        <f t="shared" si="4"/>
        <v>26.707999999999998</v>
      </c>
      <c r="AJ37" s="5">
        <f>I30</f>
        <v>27.533999999999999</v>
      </c>
      <c r="AK37" s="5">
        <f t="shared" ref="AK37:AM45" si="5">L30</f>
        <v>28.161999999999999</v>
      </c>
      <c r="AL37" s="5">
        <f t="shared" si="5"/>
        <v>29.207000000000001</v>
      </c>
      <c r="AM37" s="5">
        <f t="shared" si="5"/>
        <v>30.972999999999999</v>
      </c>
      <c r="AO37" s="5" t="str">
        <f>AE37&amp;", "&amp;AF37&amp;", "&amp;AG37&amp;", "&amp;AH37&amp;", "&amp;AI37&amp;", "&amp;AJ37&amp;", "&amp;AK37&amp;", "&amp;AL37&amp;", "&amp;AM37&amp;","</f>
        <v>23.715, 24.786, 25.285, 25.83, 26.708, 27.534, 28.162, 29.207, 30.973,</v>
      </c>
      <c r="AP37" s="5"/>
      <c r="AQ37" s="5"/>
      <c r="AR37" s="5"/>
      <c r="AS37" s="5"/>
      <c r="AT37" s="5"/>
      <c r="AU37" s="5"/>
      <c r="AV37" s="5"/>
    </row>
    <row r="38" spans="1:48" x14ac:dyDescent="0.3">
      <c r="A38" s="66"/>
      <c r="B38" s="1" t="s">
        <v>166</v>
      </c>
      <c r="C38" s="34">
        <f>_xll.BDH(C15,$B$2,$B$25,$B$25)</f>
        <v>19.594899999999999</v>
      </c>
      <c r="D38" s="34">
        <f>_xll.BDH(D15,$B$2,$B$25,$B$25)</f>
        <v>19.844799999999999</v>
      </c>
      <c r="E38" s="34">
        <f>_xll.BDH(E15,$B$2,$B$25,$B$25)</f>
        <v>20.6602</v>
      </c>
      <c r="F38" s="34">
        <f>_xll.BDH(F15,$B$2,$B$25,$B$25)</f>
        <v>21.924800000000001</v>
      </c>
      <c r="G38" s="34">
        <f>_xll.BDH(G15,$B$2,$B$25,$B$25)</f>
        <v>23.086500000000001</v>
      </c>
      <c r="H38" s="9">
        <f>_xll.BDH(H15,$B$2,$B$25,$B$25)</f>
        <v>23.7559</v>
      </c>
      <c r="I38" s="34">
        <f>_xll.BDH(I15,$B$2,$B$25,$B$25)</f>
        <v>24.590399999999999</v>
      </c>
      <c r="J38" s="9">
        <f>_xll.BDH(J15,$B$2,$B$25,$B$25)</f>
        <v>24.832599999999999</v>
      </c>
      <c r="K38" s="9">
        <f>_xll.BDH(K15,$B$2,$B$25,$B$25)</f>
        <v>25.0124</v>
      </c>
      <c r="L38" s="34">
        <f>_xll.BDH(L15,$B$2,$B$25,$B$25)</f>
        <v>25.1373</v>
      </c>
      <c r="M38" s="34">
        <f>_xll.BDH(M15,$B$2,$B$25,$B$25)</f>
        <v>26.089099999999998</v>
      </c>
      <c r="N38" s="34">
        <f>_xll.BDH(N15,$B$2,$B$25,$B$25)</f>
        <v>27.3462</v>
      </c>
      <c r="O38" s="67"/>
      <c r="P38" s="9"/>
      <c r="Q38" s="34"/>
      <c r="R38" s="34"/>
      <c r="S38" s="34"/>
      <c r="T38" s="34"/>
      <c r="U38" s="34"/>
      <c r="V38" s="9"/>
      <c r="W38" s="34"/>
      <c r="X38" s="9"/>
      <c r="Y38" s="9"/>
      <c r="Z38" s="34"/>
      <c r="AA38" s="34"/>
      <c r="AB38" s="34"/>
      <c r="AD38" s="5" t="s">
        <v>156</v>
      </c>
      <c r="AE38" s="5">
        <f t="shared" si="4"/>
        <v>23.966000000000001</v>
      </c>
      <c r="AF38" s="5">
        <f t="shared" si="4"/>
        <v>23.919</v>
      </c>
      <c r="AG38" s="5">
        <f t="shared" si="4"/>
        <v>23.88</v>
      </c>
      <c r="AH38" s="5">
        <f t="shared" si="4"/>
        <v>23.9</v>
      </c>
      <c r="AI38" s="5">
        <f t="shared" si="4"/>
        <v>25.3443</v>
      </c>
      <c r="AJ38" s="5">
        <f t="shared" ref="AJ38:AJ45" si="6">I31</f>
        <v>24.545000000000002</v>
      </c>
      <c r="AK38" s="5">
        <f t="shared" si="5"/>
        <v>25.349</v>
      </c>
      <c r="AL38" s="5">
        <f t="shared" si="5"/>
        <v>26.621200000000002</v>
      </c>
      <c r="AM38" s="5">
        <f t="shared" si="5"/>
        <v>28.571999999999999</v>
      </c>
      <c r="AO38" s="5" t="str">
        <f t="shared" ref="AO38:AO45" si="7">AE38&amp;", "&amp;AF38&amp;", "&amp;AG38&amp;", "&amp;AH38&amp;", "&amp;AI38&amp;", "&amp;AJ38&amp;", "&amp;AK38&amp;", "&amp;AL38&amp;", "&amp;AM38&amp;","</f>
        <v>23.966, 23.919, 23.88, 23.9, 25.3443, 24.545, 25.349, 26.6212, 28.572,</v>
      </c>
      <c r="AP38" s="5"/>
      <c r="AQ38" s="5"/>
      <c r="AR38" s="5"/>
      <c r="AS38" s="5"/>
      <c r="AT38" s="5"/>
      <c r="AU38" s="5"/>
      <c r="AV38" s="5"/>
    </row>
    <row r="39" spans="1:48" ht="14.25" thickBot="1" x14ac:dyDescent="0.35">
      <c r="A39" s="1" t="s">
        <v>501</v>
      </c>
      <c r="AD39" s="5" t="s">
        <v>157</v>
      </c>
      <c r="AE39" s="5">
        <f t="shared" si="4"/>
        <v>23.637</v>
      </c>
      <c r="AF39" s="5">
        <f t="shared" si="4"/>
        <v>23.691099999999999</v>
      </c>
      <c r="AG39" s="5">
        <f t="shared" si="4"/>
        <v>23.609000000000002</v>
      </c>
      <c r="AH39" s="5">
        <f t="shared" si="4"/>
        <v>23.58</v>
      </c>
      <c r="AI39" s="5">
        <f t="shared" si="4"/>
        <v>23.416499999999999</v>
      </c>
      <c r="AJ39" s="5">
        <f t="shared" si="6"/>
        <v>23.742000000000001</v>
      </c>
      <c r="AK39" s="5">
        <f t="shared" si="5"/>
        <v>24.652999999999999</v>
      </c>
      <c r="AL39" s="5">
        <f t="shared" si="5"/>
        <v>25.898</v>
      </c>
      <c r="AM39" s="5">
        <f t="shared" si="5"/>
        <v>27.925999999999998</v>
      </c>
      <c r="AO39" s="5" t="str">
        <f t="shared" si="7"/>
        <v>23.637, 23.6911, 23.609, 23.58, 23.4165, 23.742, 24.653, 25.898, 27.926,</v>
      </c>
      <c r="AP39" s="5"/>
      <c r="AQ39" s="5"/>
      <c r="AR39" s="5"/>
      <c r="AS39" s="5"/>
      <c r="AT39" s="5"/>
      <c r="AU39" s="5"/>
      <c r="AV39" s="5"/>
    </row>
    <row r="40" spans="1:48" ht="16.5" customHeight="1" thickBot="1" x14ac:dyDescent="0.35">
      <c r="A40" s="15" t="s">
        <v>298</v>
      </c>
      <c r="B40" s="22" t="s">
        <v>299</v>
      </c>
      <c r="C40" s="23"/>
      <c r="AD40" s="5" t="s">
        <v>158</v>
      </c>
      <c r="AE40" s="5">
        <f t="shared" si="4"/>
        <v>23.41</v>
      </c>
      <c r="AF40" s="5">
        <f t="shared" si="4"/>
        <v>22.94</v>
      </c>
      <c r="AG40" s="5">
        <f t="shared" si="4"/>
        <v>23.32</v>
      </c>
      <c r="AH40" s="5">
        <f t="shared" si="4"/>
        <v>22.76</v>
      </c>
      <c r="AI40" s="5">
        <f t="shared" si="4"/>
        <v>22.79</v>
      </c>
      <c r="AJ40" s="5">
        <f t="shared" si="6"/>
        <v>22.92</v>
      </c>
      <c r="AK40" s="5">
        <f t="shared" si="5"/>
        <v>24.01</v>
      </c>
      <c r="AL40" s="5">
        <f t="shared" si="5"/>
        <v>25.28</v>
      </c>
      <c r="AM40" s="5">
        <f t="shared" si="5"/>
        <v>27.16</v>
      </c>
      <c r="AO40" s="5" t="str">
        <f t="shared" si="7"/>
        <v>23.41, 22.94, 23.32, 22.76, 22.79, 22.92, 24.01, 25.28, 27.16,</v>
      </c>
      <c r="AP40" s="5"/>
      <c r="AQ40" s="5"/>
      <c r="AR40" s="5"/>
      <c r="AS40" s="5"/>
      <c r="AT40" s="5"/>
      <c r="AU40" s="5"/>
      <c r="AV40" s="5"/>
    </row>
    <row r="41" spans="1:48" x14ac:dyDescent="0.3">
      <c r="A41" s="16" t="s">
        <v>479</v>
      </c>
      <c r="B41" s="17">
        <f>C38</f>
        <v>19.594899999999999</v>
      </c>
      <c r="C41" s="31"/>
      <c r="T41" s="30" t="s">
        <v>500</v>
      </c>
      <c r="U41" s="24"/>
      <c r="V41" s="24"/>
      <c r="W41" s="25"/>
      <c r="Y41" s="35" t="s">
        <v>296</v>
      </c>
      <c r="Z41" s="35"/>
      <c r="AA41" s="36">
        <v>44376</v>
      </c>
      <c r="AD41" s="5" t="s">
        <v>159</v>
      </c>
      <c r="AE41" s="5">
        <f t="shared" si="4"/>
        <v>22.277000000000001</v>
      </c>
      <c r="AF41" s="5">
        <f t="shared" si="4"/>
        <v>21.960999999999999</v>
      </c>
      <c r="AG41" s="5">
        <f t="shared" si="4"/>
        <v>22.452000000000002</v>
      </c>
      <c r="AH41" s="5">
        <f t="shared" si="4"/>
        <v>22.2</v>
      </c>
      <c r="AI41" s="5">
        <f t="shared" si="4"/>
        <v>22.06</v>
      </c>
      <c r="AJ41" s="5">
        <f t="shared" si="6"/>
        <v>22.062999999999999</v>
      </c>
      <c r="AK41" s="5">
        <f t="shared" si="5"/>
        <v>23.341999999999999</v>
      </c>
      <c r="AL41" s="5">
        <f t="shared" si="5"/>
        <v>24.566199999999998</v>
      </c>
      <c r="AM41" s="5">
        <f t="shared" si="5"/>
        <v>26.17</v>
      </c>
      <c r="AO41" s="5" t="str">
        <f t="shared" si="7"/>
        <v>22.277, 21.961, 22.452, 22.2, 22.06, 22.063, 23.342, 24.5662, 26.17,</v>
      </c>
      <c r="AP41" s="5"/>
      <c r="AQ41" s="5"/>
      <c r="AR41" s="5"/>
      <c r="AS41" s="5"/>
      <c r="AT41" s="5"/>
      <c r="AU41" s="5"/>
      <c r="AV41" s="5"/>
    </row>
    <row r="42" spans="1:48" ht="16.5" x14ac:dyDescent="0.3">
      <c r="A42" s="16" t="s">
        <v>481</v>
      </c>
      <c r="B42" s="17">
        <f>D37</f>
        <v>20.386700000000001</v>
      </c>
      <c r="C42" s="31"/>
      <c r="T42" s="26">
        <f>$B$25</f>
        <v>44600</v>
      </c>
      <c r="U42" s="27">
        <f>$C$40</f>
        <v>0</v>
      </c>
      <c r="V42" s="27" t="str">
        <f>A41</f>
        <v>20Y1Y</v>
      </c>
      <c r="W42" s="18">
        <f>B41</f>
        <v>19.594899999999999</v>
      </c>
      <c r="Y42" t="s">
        <v>502</v>
      </c>
      <c r="Z42" t="s">
        <v>516</v>
      </c>
      <c r="AA42" t="str">
        <f>_xll.BDH(Y42,$A$1,$C$1,$C$1)</f>
        <v>#N/A Mandatory parameter [FIELDS] cannot be empty</v>
      </c>
      <c r="AD42" s="5" t="s">
        <v>161</v>
      </c>
      <c r="AE42" s="5">
        <f t="shared" si="4"/>
        <v>21.973099999999999</v>
      </c>
      <c r="AF42" s="5">
        <f t="shared" si="4"/>
        <v>21.432600000000001</v>
      </c>
      <c r="AG42" s="5">
        <f t="shared" si="4"/>
        <v>21.866</v>
      </c>
      <c r="AH42" s="5">
        <f t="shared" si="4"/>
        <v>21.811800000000002</v>
      </c>
      <c r="AI42" s="5">
        <f t="shared" si="4"/>
        <v>21.850999999999999</v>
      </c>
      <c r="AJ42" s="5">
        <f t="shared" si="6"/>
        <v>22.3781</v>
      </c>
      <c r="AK42" s="5">
        <f t="shared" si="5"/>
        <v>23.9711</v>
      </c>
      <c r="AL42" s="5">
        <f t="shared" si="5"/>
        <v>25.075700000000001</v>
      </c>
      <c r="AM42" s="5">
        <f t="shared" si="5"/>
        <v>26.51</v>
      </c>
      <c r="AO42" s="5" t="str">
        <f t="shared" si="7"/>
        <v>21.9731, 21.4326, 21.866, 21.8118, 21.851, 22.3781, 23.9711, 25.0757, 26.51,</v>
      </c>
      <c r="AP42" s="5"/>
      <c r="AQ42" s="5"/>
      <c r="AR42" s="5"/>
      <c r="AS42" s="5"/>
      <c r="AT42" s="5"/>
      <c r="AU42" s="5"/>
      <c r="AV42" s="5"/>
    </row>
    <row r="43" spans="1:48" ht="16.5" x14ac:dyDescent="0.3">
      <c r="A43" s="16" t="s">
        <v>483</v>
      </c>
      <c r="B43" s="17">
        <f>E36</f>
        <v>21.28</v>
      </c>
      <c r="C43" s="31"/>
      <c r="T43" s="26">
        <f t="shared" ref="T43:T59" si="8">$B$25</f>
        <v>44600</v>
      </c>
      <c r="U43" s="27">
        <f t="shared" ref="U43:U50" si="9">$C$40</f>
        <v>0</v>
      </c>
      <c r="V43" s="27" t="str">
        <f t="shared" ref="V43:W50" si="10">A42</f>
        <v>15Y2Y</v>
      </c>
      <c r="W43" s="18">
        <f t="shared" si="10"/>
        <v>20.386700000000001</v>
      </c>
      <c r="Y43" t="s">
        <v>503</v>
      </c>
      <c r="Z43" t="s">
        <v>517</v>
      </c>
      <c r="AA43" t="str">
        <f>_xll.BDH(Y43,$A$1,$C$1,$C$1)</f>
        <v>#N/A Mandatory parameter [FIELDS] cannot be empty</v>
      </c>
      <c r="AD43" s="5" t="s">
        <v>164</v>
      </c>
      <c r="AE43" s="5">
        <f t="shared" si="4"/>
        <v>21.6</v>
      </c>
      <c r="AF43" s="5">
        <f t="shared" si="4"/>
        <v>20.9</v>
      </c>
      <c r="AG43" s="5">
        <f t="shared" si="4"/>
        <v>21.28</v>
      </c>
      <c r="AH43" s="5">
        <f t="shared" si="4"/>
        <v>21.4</v>
      </c>
      <c r="AI43" s="5">
        <f t="shared" si="4"/>
        <v>21.64</v>
      </c>
      <c r="AJ43" s="5">
        <f t="shared" si="6"/>
        <v>22.7</v>
      </c>
      <c r="AK43" s="5">
        <f t="shared" si="5"/>
        <v>24.61</v>
      </c>
      <c r="AL43" s="5">
        <f t="shared" si="5"/>
        <v>25.6</v>
      </c>
      <c r="AM43" s="5">
        <f t="shared" si="5"/>
        <v>26.86</v>
      </c>
      <c r="AO43" s="5" t="str">
        <f t="shared" si="7"/>
        <v>21.6, 20.9, 21.28, 21.4, 21.64, 22.7, 24.61, 25.6, 26.86,</v>
      </c>
      <c r="AP43" s="5"/>
      <c r="AQ43" s="5"/>
      <c r="AR43" s="5"/>
      <c r="AS43" s="5"/>
      <c r="AT43" s="5"/>
      <c r="AU43" s="5"/>
      <c r="AV43" s="5"/>
    </row>
    <row r="44" spans="1:48" ht="16.5" x14ac:dyDescent="0.3">
      <c r="A44" s="16" t="s">
        <v>485</v>
      </c>
      <c r="B44" s="17">
        <f>F35</f>
        <v>21.811800000000002</v>
      </c>
      <c r="C44" s="31"/>
      <c r="T44" s="26">
        <f t="shared" si="8"/>
        <v>44600</v>
      </c>
      <c r="U44" s="27">
        <f t="shared" si="9"/>
        <v>0</v>
      </c>
      <c r="V44" s="27" t="str">
        <f t="shared" si="10"/>
        <v>10Y3Y</v>
      </c>
      <c r="W44" s="18">
        <f t="shared" si="10"/>
        <v>21.28</v>
      </c>
      <c r="Y44" t="s">
        <v>504</v>
      </c>
      <c r="Z44" t="s">
        <v>518</v>
      </c>
      <c r="AA44" t="str">
        <f>_xll.BDH(Y44,$A$1,$C$1,$C$1)</f>
        <v>#N/A Mandatory parameter [FIELDS] cannot be empty</v>
      </c>
      <c r="AD44" s="5" t="s">
        <v>165</v>
      </c>
      <c r="AE44" s="5">
        <f t="shared" si="4"/>
        <v>20.6005</v>
      </c>
      <c r="AF44" s="5">
        <f t="shared" si="4"/>
        <v>20.386700000000001</v>
      </c>
      <c r="AG44" s="5">
        <f t="shared" si="4"/>
        <v>20.967199999999998</v>
      </c>
      <c r="AH44" s="5">
        <f t="shared" si="4"/>
        <v>21.470199999999998</v>
      </c>
      <c r="AI44" s="5">
        <f t="shared" si="4"/>
        <v>22.36</v>
      </c>
      <c r="AJ44" s="5">
        <f t="shared" si="6"/>
        <v>23.535</v>
      </c>
      <c r="AK44" s="5">
        <f t="shared" si="5"/>
        <v>24.874600000000001</v>
      </c>
      <c r="AL44" s="5">
        <f t="shared" si="5"/>
        <v>25.840699999999998</v>
      </c>
      <c r="AM44" s="5">
        <f t="shared" si="5"/>
        <v>27.1004</v>
      </c>
      <c r="AO44" s="5" t="str">
        <f t="shared" si="7"/>
        <v>20.6005, 20.3867, 20.9672, 21.4702, 22.36, 23.535, 24.8746, 25.8407, 27.1004,</v>
      </c>
      <c r="AP44" s="5"/>
      <c r="AQ44" s="5"/>
      <c r="AR44" s="5"/>
      <c r="AS44" s="5"/>
      <c r="AT44" s="5"/>
      <c r="AU44" s="5"/>
      <c r="AV44" s="5"/>
    </row>
    <row r="45" spans="1:48" ht="16.5" x14ac:dyDescent="0.3">
      <c r="A45" s="16" t="s">
        <v>297</v>
      </c>
      <c r="B45" s="17">
        <f>G34</f>
        <v>22.06</v>
      </c>
      <c r="C45" s="31"/>
      <c r="T45" s="26">
        <f t="shared" si="8"/>
        <v>44600</v>
      </c>
      <c r="U45" s="27">
        <f t="shared" si="9"/>
        <v>0</v>
      </c>
      <c r="V45" s="27" t="str">
        <f t="shared" si="10"/>
        <v>7Y4Y</v>
      </c>
      <c r="W45" s="18">
        <f t="shared" si="10"/>
        <v>21.811800000000002</v>
      </c>
      <c r="Y45" t="s">
        <v>505</v>
      </c>
      <c r="Z45" t="s">
        <v>519</v>
      </c>
      <c r="AA45" t="str">
        <f>_xll.BDH(Y45,$A$1,$C$1,$C$1)</f>
        <v>#N/A Mandatory parameter [FIELDS] cannot be empty</v>
      </c>
      <c r="AD45" s="5" t="s">
        <v>166</v>
      </c>
      <c r="AE45" s="5">
        <f t="shared" si="4"/>
        <v>19.594899999999999</v>
      </c>
      <c r="AF45" s="5">
        <f t="shared" si="4"/>
        <v>19.844799999999999</v>
      </c>
      <c r="AG45" s="5">
        <f t="shared" si="4"/>
        <v>20.6602</v>
      </c>
      <c r="AH45" s="5">
        <f t="shared" si="4"/>
        <v>21.924800000000001</v>
      </c>
      <c r="AI45" s="5">
        <f t="shared" si="4"/>
        <v>23.086500000000001</v>
      </c>
      <c r="AJ45" s="5">
        <f t="shared" si="6"/>
        <v>24.590399999999999</v>
      </c>
      <c r="AK45" s="5">
        <f t="shared" si="5"/>
        <v>25.1373</v>
      </c>
      <c r="AL45" s="5">
        <f t="shared" si="5"/>
        <v>26.089099999999998</v>
      </c>
      <c r="AM45" s="5">
        <f t="shared" si="5"/>
        <v>27.3462</v>
      </c>
      <c r="AO45" s="5" t="str">
        <f t="shared" si="7"/>
        <v>19.5949, 19.8448, 20.6602, 21.9248, 23.0865, 24.5904, 25.1373, 26.0891, 27.3462,</v>
      </c>
      <c r="AP45" s="5"/>
      <c r="AQ45" s="5"/>
      <c r="AR45" s="5"/>
      <c r="AS45" s="5"/>
      <c r="AT45" s="5"/>
      <c r="AU45" s="5"/>
      <c r="AV45" s="5"/>
    </row>
    <row r="46" spans="1:48" ht="16.5" x14ac:dyDescent="0.3">
      <c r="A46" s="16" t="s">
        <v>487</v>
      </c>
      <c r="B46" s="17">
        <f>I33</f>
        <v>22.92</v>
      </c>
      <c r="C46" s="31"/>
      <c r="T46" s="26">
        <f t="shared" si="8"/>
        <v>44600</v>
      </c>
      <c r="U46" s="27">
        <f t="shared" si="9"/>
        <v>0</v>
      </c>
      <c r="V46" s="27" t="str">
        <f t="shared" si="10"/>
        <v>5Y5Y</v>
      </c>
      <c r="W46" s="18">
        <f t="shared" si="10"/>
        <v>22.06</v>
      </c>
      <c r="Y46" t="s">
        <v>506</v>
      </c>
      <c r="Z46" t="s">
        <v>520</v>
      </c>
      <c r="AA46" t="str">
        <f>_xll.BDH(Y46,$A$1,$C$1,$C$1)</f>
        <v>#N/A Mandatory parameter [FIELDS] cannot be empty</v>
      </c>
    </row>
    <row r="47" spans="1:48" ht="16.5" x14ac:dyDescent="0.3">
      <c r="A47" s="16" t="s">
        <v>489</v>
      </c>
      <c r="B47" s="17">
        <f>L32</f>
        <v>24.652999999999999</v>
      </c>
      <c r="C47" s="31"/>
      <c r="T47" s="26">
        <f t="shared" si="8"/>
        <v>44600</v>
      </c>
      <c r="U47" s="27">
        <f t="shared" si="9"/>
        <v>0</v>
      </c>
      <c r="V47" s="27" t="str">
        <f t="shared" si="10"/>
        <v>4Y7Y</v>
      </c>
      <c r="W47" s="18">
        <f t="shared" si="10"/>
        <v>22.92</v>
      </c>
      <c r="Y47" t="s">
        <v>507</v>
      </c>
      <c r="Z47" t="s">
        <v>521</v>
      </c>
      <c r="AA47" t="str">
        <f>_xll.BDH(Y47,$A$1,$C$1,$C$1)</f>
        <v>#N/A Mandatory parameter [FIELDS] cannot be empty</v>
      </c>
    </row>
    <row r="48" spans="1:48" ht="16.5" x14ac:dyDescent="0.3">
      <c r="A48" s="16" t="s">
        <v>491</v>
      </c>
      <c r="B48" s="17">
        <f>M31</f>
        <v>26.621200000000002</v>
      </c>
      <c r="C48" s="31"/>
      <c r="T48" s="26">
        <f t="shared" si="8"/>
        <v>44600</v>
      </c>
      <c r="U48" s="27">
        <f t="shared" si="9"/>
        <v>0</v>
      </c>
      <c r="V48" s="27" t="str">
        <f t="shared" si="10"/>
        <v>3Y10Y</v>
      </c>
      <c r="W48" s="18">
        <f t="shared" si="10"/>
        <v>24.652999999999999</v>
      </c>
      <c r="Y48" t="s">
        <v>508</v>
      </c>
      <c r="Z48" t="s">
        <v>522</v>
      </c>
      <c r="AA48" t="str">
        <f>_xll.BDH(Y48,$A$1,$C$1,$C$1)</f>
        <v>#N/A Mandatory parameter [FIELDS] cannot be empty</v>
      </c>
    </row>
    <row r="49" spans="1:27" ht="17.25" thickBot="1" x14ac:dyDescent="0.35">
      <c r="A49" s="19" t="s">
        <v>493</v>
      </c>
      <c r="B49" s="20">
        <f>N30</f>
        <v>30.972999999999999</v>
      </c>
      <c r="C49" s="32"/>
      <c r="T49" s="26">
        <f t="shared" si="8"/>
        <v>44600</v>
      </c>
      <c r="U49" s="27">
        <f t="shared" si="9"/>
        <v>0</v>
      </c>
      <c r="V49" s="27" t="str">
        <f t="shared" si="10"/>
        <v>2Y15Y</v>
      </c>
      <c r="W49" s="18">
        <f t="shared" si="10"/>
        <v>26.621200000000002</v>
      </c>
      <c r="Y49" t="s">
        <v>509</v>
      </c>
      <c r="Z49" t="s">
        <v>523</v>
      </c>
      <c r="AA49" t="str">
        <f>_xll.BDH(Y49,$A$1,$C$1,$C$1)</f>
        <v>#N/A Mandatory parameter [FIELDS] cannot be empty</v>
      </c>
    </row>
    <row r="50" spans="1:27" ht="17.25" thickBot="1" x14ac:dyDescent="0.35">
      <c r="T50" s="26">
        <f t="shared" si="8"/>
        <v>44600</v>
      </c>
      <c r="U50" s="29">
        <f t="shared" si="9"/>
        <v>0</v>
      </c>
      <c r="V50" s="27" t="str">
        <f t="shared" si="10"/>
        <v>1Y20Y</v>
      </c>
      <c r="W50" s="18">
        <f t="shared" si="10"/>
        <v>30.972999999999999</v>
      </c>
      <c r="Y50" t="s">
        <v>510</v>
      </c>
      <c r="Z50" t="s">
        <v>524</v>
      </c>
      <c r="AA50" t="str">
        <f>_xll.BDH(Y50,$A$1,$C$1,$C$1)</f>
        <v>#N/A Mandatory parameter [FIELDS] cannot be empty</v>
      </c>
    </row>
    <row r="51" spans="1:27" ht="16.5" x14ac:dyDescent="0.3">
      <c r="T51" s="26">
        <f t="shared" si="8"/>
        <v>44600</v>
      </c>
      <c r="U51" s="27">
        <f>$C$40</f>
        <v>0</v>
      </c>
      <c r="V51" s="27" t="s">
        <v>478</v>
      </c>
      <c r="W51" s="18">
        <f>C41</f>
        <v>0</v>
      </c>
      <c r="Y51" t="s">
        <v>511</v>
      </c>
      <c r="Z51" t="s">
        <v>525</v>
      </c>
      <c r="AA51" t="str">
        <f>_xll.BDH(Y51,$A$1,$C$1,$C$1)</f>
        <v>#N/A Mandatory parameter [FIELDS] cannot be empty</v>
      </c>
    </row>
    <row r="52" spans="1:27" ht="16.5" x14ac:dyDescent="0.3">
      <c r="B52" s="66"/>
      <c r="C52" s="66"/>
      <c r="T52" s="26">
        <f t="shared" si="8"/>
        <v>44600</v>
      </c>
      <c r="U52" s="27">
        <f t="shared" ref="U52:U59" si="11">$C$40</f>
        <v>0</v>
      </c>
      <c r="V52" s="27" t="s">
        <v>480</v>
      </c>
      <c r="W52" s="18">
        <f t="shared" ref="W52:W59" si="12">C42</f>
        <v>0</v>
      </c>
      <c r="Y52" t="s">
        <v>512</v>
      </c>
      <c r="Z52" t="s">
        <v>526</v>
      </c>
      <c r="AA52" t="str">
        <f>_xll.BDH(Y52,$A$1,$C$1,$C$1)</f>
        <v>#N/A Mandatory parameter [FIELDS] cannot be empty</v>
      </c>
    </row>
    <row r="53" spans="1:27" ht="16.5" x14ac:dyDescent="0.3">
      <c r="T53" s="26">
        <f t="shared" si="8"/>
        <v>44600</v>
      </c>
      <c r="U53" s="27">
        <f t="shared" si="11"/>
        <v>0</v>
      </c>
      <c r="V53" s="27" t="s">
        <v>482</v>
      </c>
      <c r="W53" s="18">
        <f t="shared" si="12"/>
        <v>0</v>
      </c>
      <c r="Y53" t="s">
        <v>513</v>
      </c>
      <c r="Z53" t="s">
        <v>527</v>
      </c>
      <c r="AA53" t="str">
        <f>_xll.BDH(Y53,$A$1,$C$1,$C$1)</f>
        <v>#N/A Mandatory parameter [FIELDS] cannot be empty</v>
      </c>
    </row>
    <row r="54" spans="1:27" ht="16.5" x14ac:dyDescent="0.3">
      <c r="T54" s="26">
        <f t="shared" si="8"/>
        <v>44600</v>
      </c>
      <c r="U54" s="27">
        <f t="shared" si="11"/>
        <v>0</v>
      </c>
      <c r="V54" s="27" t="s">
        <v>484</v>
      </c>
      <c r="W54" s="18">
        <f t="shared" si="12"/>
        <v>0</v>
      </c>
      <c r="Y54" t="s">
        <v>514</v>
      </c>
      <c r="Z54" t="s">
        <v>528</v>
      </c>
      <c r="AA54" t="str">
        <f>_xll.BDH(Y54,$A$1,$C$1,$C$1)</f>
        <v>#N/A Mandatory parameter [FIELDS] cannot be empty</v>
      </c>
    </row>
    <row r="55" spans="1:27" ht="16.5" x14ac:dyDescent="0.3">
      <c r="B55" s="60"/>
      <c r="T55" s="26">
        <f t="shared" si="8"/>
        <v>44600</v>
      </c>
      <c r="U55" s="27">
        <f t="shared" si="11"/>
        <v>0</v>
      </c>
      <c r="V55" s="27" t="s">
        <v>477</v>
      </c>
      <c r="W55" s="18">
        <f t="shared" si="12"/>
        <v>0</v>
      </c>
      <c r="Y55" t="s">
        <v>515</v>
      </c>
      <c r="Z55" t="s">
        <v>529</v>
      </c>
      <c r="AA55" t="str">
        <f>_xll.BDH(Y55,$A$1,$C$1,$C$1)</f>
        <v>#N/A Mandatory parameter [FIELDS] cannot be empty</v>
      </c>
    </row>
    <row r="56" spans="1:27" x14ac:dyDescent="0.3">
      <c r="B56" s="11"/>
      <c r="T56" s="26">
        <f t="shared" si="8"/>
        <v>44600</v>
      </c>
      <c r="U56" s="27">
        <f t="shared" si="11"/>
        <v>0</v>
      </c>
      <c r="V56" s="27" t="s">
        <v>486</v>
      </c>
      <c r="W56" s="18">
        <f t="shared" si="12"/>
        <v>0</v>
      </c>
    </row>
    <row r="57" spans="1:27" x14ac:dyDescent="0.3">
      <c r="B57" s="11"/>
      <c r="T57" s="26">
        <f t="shared" si="8"/>
        <v>44600</v>
      </c>
      <c r="U57" s="27">
        <f t="shared" si="11"/>
        <v>0</v>
      </c>
      <c r="V57" s="27" t="s">
        <v>488</v>
      </c>
      <c r="W57" s="18">
        <f t="shared" si="12"/>
        <v>0</v>
      </c>
    </row>
    <row r="58" spans="1:27" x14ac:dyDescent="0.3">
      <c r="B58" s="11"/>
      <c r="T58" s="26">
        <f t="shared" si="8"/>
        <v>44600</v>
      </c>
      <c r="U58" s="27">
        <f t="shared" si="11"/>
        <v>0</v>
      </c>
      <c r="V58" s="27" t="s">
        <v>490</v>
      </c>
      <c r="W58" s="18">
        <f t="shared" si="12"/>
        <v>0</v>
      </c>
    </row>
    <row r="59" spans="1:27" ht="14.25" thickBot="1" x14ac:dyDescent="0.35">
      <c r="B59" s="11"/>
      <c r="T59" s="28">
        <f t="shared" si="8"/>
        <v>44600</v>
      </c>
      <c r="U59" s="29">
        <f t="shared" si="11"/>
        <v>0</v>
      </c>
      <c r="V59" s="29" t="s">
        <v>492</v>
      </c>
      <c r="W59" s="21">
        <f t="shared" si="12"/>
        <v>0</v>
      </c>
    </row>
    <row r="60" spans="1:27" x14ac:dyDescent="0.3">
      <c r="B60" s="11"/>
      <c r="T60" s="2"/>
    </row>
    <row r="61" spans="1:27" x14ac:dyDescent="0.3">
      <c r="B61" s="11"/>
      <c r="T61" s="2"/>
    </row>
    <row r="62" spans="1:27" x14ac:dyDescent="0.3">
      <c r="B62" s="11"/>
      <c r="T62" s="2"/>
    </row>
    <row r="63" spans="1:27" x14ac:dyDescent="0.3">
      <c r="B63" s="11"/>
      <c r="T63" s="2"/>
    </row>
    <row r="64" spans="1:27" ht="16.5" customHeight="1" x14ac:dyDescent="0.3">
      <c r="A64" s="68" t="s">
        <v>536</v>
      </c>
      <c r="B64" s="69"/>
      <c r="C64" s="69"/>
      <c r="D64" s="69"/>
      <c r="E64" s="69"/>
      <c r="F64" s="69"/>
      <c r="G64" s="69"/>
      <c r="H64" s="69"/>
      <c r="T64" s="2"/>
    </row>
    <row r="65" spans="1:20" ht="16.5" customHeight="1" x14ac:dyDescent="0.3">
      <c r="A65" s="68"/>
      <c r="B65" s="69"/>
      <c r="C65" s="69"/>
      <c r="D65" s="69"/>
      <c r="E65" s="69"/>
      <c r="F65" s="69"/>
      <c r="G65" s="69"/>
      <c r="H65" s="69"/>
      <c r="T65" s="2"/>
    </row>
    <row r="66" spans="1:20" x14ac:dyDescent="0.3">
      <c r="T66" s="2"/>
    </row>
    <row r="67" spans="1:20" x14ac:dyDescent="0.3">
      <c r="T67" s="2"/>
    </row>
    <row r="68" spans="1:20" x14ac:dyDescent="0.3">
      <c r="T68" s="2"/>
    </row>
    <row r="69" spans="1:20" x14ac:dyDescent="0.3">
      <c r="T69" s="2"/>
    </row>
    <row r="70" spans="1:20" x14ac:dyDescent="0.3">
      <c r="T70" s="2"/>
    </row>
    <row r="96" spans="20:20" x14ac:dyDescent="0.3">
      <c r="T96" s="1" t="s">
        <v>535</v>
      </c>
    </row>
  </sheetData>
  <mergeCells count="5">
    <mergeCell ref="C24:N24"/>
    <mergeCell ref="A26:A38"/>
    <mergeCell ref="O26:O38"/>
    <mergeCell ref="B52:C52"/>
    <mergeCell ref="A64:H6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LACKCSVSave">
                <anchor moveWithCells="1" sizeWithCells="1">
                  <from>
                    <xdr:col>0</xdr:col>
                    <xdr:colOff>771525</xdr:colOff>
                    <xdr:row>50</xdr:row>
                    <xdr:rowOff>47625</xdr:rowOff>
                  </from>
                  <to>
                    <xdr:col>2</xdr:col>
                    <xdr:colOff>0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ormalCSVSave">
                <anchor moveWithCells="1" sizeWithCells="1">
                  <from>
                    <xdr:col>0</xdr:col>
                    <xdr:colOff>809625</xdr:colOff>
                    <xdr:row>53</xdr:row>
                    <xdr:rowOff>123825</xdr:rowOff>
                  </from>
                  <to>
                    <xdr:col>2</xdr:col>
                    <xdr:colOff>38100</xdr:colOff>
                    <xdr:row>56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AC81"/>
  <sheetViews>
    <sheetView zoomScale="85" zoomScaleNormal="85" workbookViewId="0">
      <selection activeCell="M41" activeCellId="1" sqref="H31 M41"/>
    </sheetView>
  </sheetViews>
  <sheetFormatPr defaultRowHeight="16.5" x14ac:dyDescent="0.3"/>
  <cols>
    <col min="1" max="1" width="12" customWidth="1"/>
    <col min="2" max="2" width="12.5" bestFit="1" customWidth="1"/>
    <col min="4" max="4" width="11.625" bestFit="1" customWidth="1"/>
    <col min="13" max="13" width="11.125" style="13" bestFit="1" customWidth="1"/>
    <col min="15" max="15" width="6" customWidth="1"/>
    <col min="16" max="16" width="16.5" bestFit="1" customWidth="1"/>
    <col min="17" max="17" width="11.625" bestFit="1" customWidth="1"/>
  </cols>
  <sheetData>
    <row r="1" spans="2:28" x14ac:dyDescent="0.3">
      <c r="B1" s="39" t="s">
        <v>318</v>
      </c>
      <c r="P1" s="39" t="s">
        <v>2208</v>
      </c>
    </row>
    <row r="2" spans="2:28" ht="17.25" thickBot="1" x14ac:dyDescent="0.35">
      <c r="B2" s="13">
        <f>B19</f>
        <v>44645</v>
      </c>
      <c r="C2" s="47" t="s">
        <v>2207</v>
      </c>
      <c r="D2" s="13">
        <f>Q19</f>
        <v>44676</v>
      </c>
      <c r="E2" s="33"/>
      <c r="F2" s="33"/>
      <c r="G2" s="33"/>
      <c r="H2" s="33"/>
      <c r="I2" s="33"/>
      <c r="J2" s="33"/>
      <c r="K2" s="33"/>
      <c r="P2" s="13"/>
      <c r="Q2" s="47"/>
      <c r="R2" s="13"/>
      <c r="S2" s="33"/>
      <c r="T2" s="33"/>
      <c r="U2" s="33"/>
      <c r="V2" s="33"/>
      <c r="W2" s="33"/>
      <c r="X2" s="33"/>
      <c r="Y2" s="33"/>
      <c r="AA2" s="13"/>
    </row>
    <row r="3" spans="2:28" x14ac:dyDescent="0.3">
      <c r="B3" s="42" t="s">
        <v>2206</v>
      </c>
      <c r="C3" s="50" t="s">
        <v>155</v>
      </c>
      <c r="D3" s="50" t="s">
        <v>156</v>
      </c>
      <c r="E3" s="50" t="s">
        <v>157</v>
      </c>
      <c r="F3" s="50" t="s">
        <v>158</v>
      </c>
      <c r="G3" s="50" t="s">
        <v>159</v>
      </c>
      <c r="H3" s="50" t="s">
        <v>160</v>
      </c>
      <c r="I3" s="50" t="s">
        <v>161</v>
      </c>
      <c r="J3" s="50" t="s">
        <v>162</v>
      </c>
      <c r="K3" s="50" t="s">
        <v>163</v>
      </c>
      <c r="L3" s="50" t="s">
        <v>164</v>
      </c>
      <c r="M3" s="51" t="s">
        <v>165</v>
      </c>
      <c r="N3" s="52" t="s">
        <v>166</v>
      </c>
      <c r="P3" s="42" t="s">
        <v>2206</v>
      </c>
      <c r="Q3" s="50" t="s">
        <v>155</v>
      </c>
      <c r="R3" s="50" t="s">
        <v>156</v>
      </c>
      <c r="S3" s="50" t="s">
        <v>157</v>
      </c>
      <c r="T3" s="50" t="s">
        <v>158</v>
      </c>
      <c r="U3" s="50" t="s">
        <v>159</v>
      </c>
      <c r="V3" s="50" t="s">
        <v>160</v>
      </c>
      <c r="W3" s="50" t="s">
        <v>161</v>
      </c>
      <c r="X3" s="50" t="s">
        <v>162</v>
      </c>
      <c r="Y3" s="50" t="s">
        <v>163</v>
      </c>
      <c r="Z3" s="50" t="s">
        <v>164</v>
      </c>
      <c r="AA3" s="51" t="s">
        <v>165</v>
      </c>
      <c r="AB3" s="52" t="s">
        <v>166</v>
      </c>
    </row>
    <row r="4" spans="2:28" x14ac:dyDescent="0.3">
      <c r="B4" s="48" t="s">
        <v>167</v>
      </c>
      <c r="C4" s="43">
        <f t="shared" ref="C4:C16" si="0">C20-R20</f>
        <v>-29.511499999999998</v>
      </c>
      <c r="D4" s="43" t="s">
        <v>3259</v>
      </c>
      <c r="E4" s="43">
        <f t="shared" ref="E4:E16" si="1">E20-T20</f>
        <v>-5.1814999999999998</v>
      </c>
      <c r="F4" s="43">
        <f t="shared" ref="F4:F16" si="2">F20-U20</f>
        <v>-6.3055999999999983</v>
      </c>
      <c r="G4" s="43">
        <f t="shared" ref="G4:G16" si="3">G20-V20</f>
        <v>-7.5328999999999979</v>
      </c>
      <c r="H4" s="43">
        <f t="shared" ref="H4:H16" si="4">H20-W20</f>
        <v>-7.5579000000000036</v>
      </c>
      <c r="I4" s="43">
        <f t="shared" ref="I4:I16" si="5">I20-X20</f>
        <v>-7.5905999999999949</v>
      </c>
      <c r="J4" s="43">
        <f t="shared" ref="J4:J16" si="6">J20-Y20</f>
        <v>-7.6323999999999899</v>
      </c>
      <c r="K4" s="43">
        <f t="shared" ref="K4:K16" si="7">K20-Z20</f>
        <v>-7.7175000000000011</v>
      </c>
      <c r="L4" s="43">
        <f t="shared" ref="L4:L16" si="8">L20-AA20</f>
        <v>-7.7937000000000012</v>
      </c>
      <c r="M4" s="43">
        <f t="shared" ref="M4:M16" si="9">M20-AB20</f>
        <v>-5.3434000000000026</v>
      </c>
      <c r="N4" s="44">
        <f t="shared" ref="N4:N16" si="10">N20-AC20</f>
        <v>-3.345799999999997</v>
      </c>
      <c r="P4" s="48" t="s">
        <v>167</v>
      </c>
      <c r="Q4" s="43">
        <f>C35-R35</f>
        <v>-7.5900000000000034</v>
      </c>
      <c r="R4" s="43">
        <f t="shared" ref="R4:AB16" si="11">D35-S35</f>
        <v>-4.5399999999999991</v>
      </c>
      <c r="S4" s="43">
        <f t="shared" si="11"/>
        <v>-4.1000000000000014</v>
      </c>
      <c r="T4" s="43">
        <f t="shared" si="11"/>
        <v>-3.870000000000001</v>
      </c>
      <c r="U4" s="43">
        <f t="shared" si="11"/>
        <v>-3.6800000000000033</v>
      </c>
      <c r="V4" s="43">
        <f t="shared" si="11"/>
        <v>-3.7740000000000009</v>
      </c>
      <c r="W4" s="43">
        <f t="shared" si="11"/>
        <v>-3.769999999999996</v>
      </c>
      <c r="X4" s="43">
        <f t="shared" si="11"/>
        <v>-3.7659999999999982</v>
      </c>
      <c r="Y4" s="43">
        <f t="shared" si="11"/>
        <v>-3.7880000000000003</v>
      </c>
      <c r="Z4" s="43">
        <f t="shared" si="11"/>
        <v>-3.8900000000000006</v>
      </c>
      <c r="AA4" s="43">
        <f t="shared" si="11"/>
        <v>-4.990000000000002</v>
      </c>
      <c r="AB4" s="44">
        <f t="shared" si="11"/>
        <v>-6.9510000000000005</v>
      </c>
    </row>
    <row r="5" spans="2:28" x14ac:dyDescent="0.3">
      <c r="B5" s="48" t="s">
        <v>168</v>
      </c>
      <c r="C5" s="43">
        <f t="shared" si="0"/>
        <v>-23.718899999999991</v>
      </c>
      <c r="D5" s="43">
        <f t="shared" ref="D5:D16" si="12">D21-S21</f>
        <v>-4.9039000000000073</v>
      </c>
      <c r="E5" s="43">
        <f t="shared" si="1"/>
        <v>-5.4722000000000008</v>
      </c>
      <c r="F5" s="43">
        <f t="shared" si="2"/>
        <v>-6.8615000000000066</v>
      </c>
      <c r="G5" s="43">
        <f t="shared" si="3"/>
        <v>-8.3400999999999925</v>
      </c>
      <c r="H5" s="43">
        <f t="shared" si="4"/>
        <v>-8.3387000000000029</v>
      </c>
      <c r="I5" s="43">
        <f t="shared" si="5"/>
        <v>-8.3134999999999906</v>
      </c>
      <c r="J5" s="43">
        <f t="shared" si="6"/>
        <v>-8.3456999999999937</v>
      </c>
      <c r="K5" s="43">
        <f t="shared" si="7"/>
        <v>-8.4202999999999975</v>
      </c>
      <c r="L5" s="43">
        <f t="shared" si="8"/>
        <v>-8.4098999999999933</v>
      </c>
      <c r="M5" s="43">
        <f t="shared" si="9"/>
        <v>-5.8901000000000039</v>
      </c>
      <c r="N5" s="44">
        <f t="shared" si="10"/>
        <v>-3.7608000000000033</v>
      </c>
      <c r="P5" s="48" t="s">
        <v>168</v>
      </c>
      <c r="Q5" s="43">
        <f t="shared" ref="Q5:Q16" si="13">C36-R36</f>
        <v>-5.6479999999999997</v>
      </c>
      <c r="R5" s="43">
        <f t="shared" si="11"/>
        <v>-4.6310000000000002</v>
      </c>
      <c r="S5" s="43">
        <f t="shared" si="11"/>
        <v>-3.7209999999999965</v>
      </c>
      <c r="T5" s="43">
        <f t="shared" si="11"/>
        <v>-3.0500000000000007</v>
      </c>
      <c r="U5" s="43">
        <f t="shared" si="11"/>
        <v>-2.7809999999999988</v>
      </c>
      <c r="V5" s="43">
        <f t="shared" si="11"/>
        <v>-3.1199999999999974</v>
      </c>
      <c r="W5" s="43">
        <f t="shared" si="11"/>
        <v>-3.5420000000000016</v>
      </c>
      <c r="X5" s="43">
        <f t="shared" si="11"/>
        <v>-3.8950000000000031</v>
      </c>
      <c r="Y5" s="43">
        <f t="shared" si="11"/>
        <v>-4.1730000000000018</v>
      </c>
      <c r="Z5" s="43">
        <f t="shared" si="11"/>
        <v>-4.43</v>
      </c>
      <c r="AA5" s="43">
        <f t="shared" si="11"/>
        <v>-5.6540000000000035</v>
      </c>
      <c r="AB5" s="44">
        <f t="shared" si="11"/>
        <v>-7.7000000000000028</v>
      </c>
    </row>
    <row r="6" spans="2:28" x14ac:dyDescent="0.3">
      <c r="B6" s="48" t="s">
        <v>169</v>
      </c>
      <c r="C6" s="43">
        <f t="shared" si="0"/>
        <v>-7.1040999999999883</v>
      </c>
      <c r="D6" s="43">
        <f t="shared" si="12"/>
        <v>-16.796400000000006</v>
      </c>
      <c r="E6" s="43">
        <f t="shared" si="1"/>
        <v>-16.666200000000003</v>
      </c>
      <c r="F6" s="43">
        <f t="shared" si="2"/>
        <v>-16.717600000000004</v>
      </c>
      <c r="G6" s="43">
        <f t="shared" si="3"/>
        <v>-16.824099999999987</v>
      </c>
      <c r="H6" s="43">
        <f t="shared" si="4"/>
        <v>-16.642899999999997</v>
      </c>
      <c r="I6" s="43">
        <f t="shared" si="5"/>
        <v>-16.396600000000007</v>
      </c>
      <c r="J6" s="43">
        <f t="shared" si="6"/>
        <v>-16.221299999999999</v>
      </c>
      <c r="K6" s="43">
        <f t="shared" si="7"/>
        <v>-16.097500000000011</v>
      </c>
      <c r="L6" s="43">
        <f t="shared" si="8"/>
        <v>-15.767899999999997</v>
      </c>
      <c r="M6" s="43">
        <f t="shared" si="9"/>
        <v>-16.431899999999999</v>
      </c>
      <c r="N6" s="44">
        <f t="shared" si="10"/>
        <v>-2.0574000000000012</v>
      </c>
      <c r="P6" s="48" t="s">
        <v>169</v>
      </c>
      <c r="Q6" s="43">
        <f t="shared" si="13"/>
        <v>-3.5369999999999955</v>
      </c>
      <c r="R6" s="43">
        <f t="shared" si="11"/>
        <v>-2.6640000000000015</v>
      </c>
      <c r="S6" s="43">
        <f t="shared" si="11"/>
        <v>-2.5599999999999987</v>
      </c>
      <c r="T6" s="43">
        <f t="shared" si="11"/>
        <v>-2.66</v>
      </c>
      <c r="U6" s="43">
        <f t="shared" si="11"/>
        <v>-2.7160000000000011</v>
      </c>
      <c r="V6" s="43">
        <f t="shared" si="11"/>
        <v>-2.7519999999999989</v>
      </c>
      <c r="W6" s="43">
        <f t="shared" si="11"/>
        <v>-2.6849999999999987</v>
      </c>
      <c r="X6" s="43">
        <f t="shared" si="11"/>
        <v>-2.7059999999999995</v>
      </c>
      <c r="Y6" s="43">
        <f t="shared" si="11"/>
        <v>-2.7029999999999994</v>
      </c>
      <c r="Z6" s="43">
        <f t="shared" si="11"/>
        <v>-2.8319999999999972</v>
      </c>
      <c r="AA6" s="43">
        <f t="shared" si="11"/>
        <v>-4.0009999999999977</v>
      </c>
      <c r="AB6" s="44">
        <f t="shared" si="11"/>
        <v>-6.1099999999999994</v>
      </c>
    </row>
    <row r="7" spans="2:28" x14ac:dyDescent="0.3">
      <c r="B7" s="48" t="s">
        <v>170</v>
      </c>
      <c r="C7" s="43">
        <f t="shared" si="0"/>
        <v>-10.476900000000001</v>
      </c>
      <c r="D7" s="43">
        <f t="shared" si="12"/>
        <v>-8.3854999999999933</v>
      </c>
      <c r="E7" s="43">
        <f t="shared" si="1"/>
        <v>-6.6711999999999989</v>
      </c>
      <c r="F7" s="43">
        <f t="shared" si="2"/>
        <v>-5.0396999999999963</v>
      </c>
      <c r="G7" s="43">
        <f t="shared" si="3"/>
        <v>-3.4518999999999949</v>
      </c>
      <c r="H7" s="43">
        <f t="shared" si="4"/>
        <v>-3.3004999999999995</v>
      </c>
      <c r="I7" s="43">
        <f t="shared" si="5"/>
        <v>-3.0290999999999997</v>
      </c>
      <c r="J7" s="43">
        <f t="shared" si="6"/>
        <v>-2.9420999999999964</v>
      </c>
      <c r="K7" s="43">
        <f t="shared" si="7"/>
        <v>-2.8856999999999999</v>
      </c>
      <c r="L7" s="43">
        <f t="shared" si="8"/>
        <v>-2.5237999999999943</v>
      </c>
      <c r="M7" s="43">
        <f t="shared" si="9"/>
        <v>-1.2723000000000013</v>
      </c>
      <c r="N7" s="44">
        <f t="shared" si="10"/>
        <v>-0.35360000000000014</v>
      </c>
      <c r="P7" s="48" t="s">
        <v>170</v>
      </c>
      <c r="Q7" s="43">
        <f t="shared" si="13"/>
        <v>-1.764999999999997</v>
      </c>
      <c r="R7" s="43">
        <f t="shared" si="11"/>
        <v>-1.2040000000000006</v>
      </c>
      <c r="S7" s="43">
        <f t="shared" si="11"/>
        <v>-1.2390000000000008</v>
      </c>
      <c r="T7" s="43">
        <f t="shared" si="11"/>
        <v>-1.4840000000000018</v>
      </c>
      <c r="U7" s="43">
        <f t="shared" si="11"/>
        <v>-1.6990000000000016</v>
      </c>
      <c r="V7" s="43">
        <f t="shared" si="11"/>
        <v>-1.8960000000000008</v>
      </c>
      <c r="W7" s="43">
        <f t="shared" si="11"/>
        <v>-2.1189999999999998</v>
      </c>
      <c r="X7" s="43">
        <f t="shared" si="11"/>
        <v>-2.2480000000000011</v>
      </c>
      <c r="Y7" s="43">
        <f t="shared" si="11"/>
        <v>-2.4110000000000014</v>
      </c>
      <c r="Z7" s="43">
        <f t="shared" si="11"/>
        <v>-2.6260000000000012</v>
      </c>
      <c r="AA7" s="43">
        <f t="shared" si="11"/>
        <v>-3.6589999999999989</v>
      </c>
      <c r="AB7" s="44">
        <f t="shared" si="11"/>
        <v>-5.5010000000000048</v>
      </c>
    </row>
    <row r="8" spans="2:28" x14ac:dyDescent="0.3">
      <c r="B8" s="48" t="s">
        <v>155</v>
      </c>
      <c r="C8" s="43">
        <f t="shared" si="0"/>
        <v>-12.263000000000005</v>
      </c>
      <c r="D8" s="43">
        <f t="shared" si="12"/>
        <v>-10.324200000000005</v>
      </c>
      <c r="E8" s="43">
        <f t="shared" si="1"/>
        <v>-7.343199999999996</v>
      </c>
      <c r="F8" s="43">
        <f t="shared" si="2"/>
        <v>-9.2012</v>
      </c>
      <c r="G8" s="43">
        <f t="shared" si="3"/>
        <v>-14.156599999999997</v>
      </c>
      <c r="H8" s="43">
        <f t="shared" si="4"/>
        <v>-12.981499999999997</v>
      </c>
      <c r="I8" s="43">
        <f t="shared" si="5"/>
        <v>-11.677899999999994</v>
      </c>
      <c r="J8" s="43">
        <f t="shared" si="6"/>
        <v>-12.421599999999998</v>
      </c>
      <c r="K8" s="43">
        <f t="shared" si="7"/>
        <v>-13.196099999999987</v>
      </c>
      <c r="L8" s="43">
        <f t="shared" si="8"/>
        <v>-13.549599999999998</v>
      </c>
      <c r="M8" s="43">
        <f t="shared" si="9"/>
        <v>-13.975399999999993</v>
      </c>
      <c r="N8" s="44">
        <f t="shared" si="10"/>
        <v>-1.0805000000000007</v>
      </c>
      <c r="P8" s="48" t="s">
        <v>155</v>
      </c>
      <c r="Q8" s="43">
        <f t="shared" si="13"/>
        <v>-0.91600000000000037</v>
      </c>
      <c r="R8" s="43">
        <f t="shared" si="11"/>
        <v>-0.38599999999999923</v>
      </c>
      <c r="S8" s="43">
        <f t="shared" si="11"/>
        <v>0.48700000000000188</v>
      </c>
      <c r="T8" s="43">
        <f t="shared" si="11"/>
        <v>-0.32999999999999829</v>
      </c>
      <c r="U8" s="43">
        <f t="shared" si="11"/>
        <v>-2.0890000000000022</v>
      </c>
      <c r="V8" s="43">
        <f t="shared" si="11"/>
        <v>-0.92899999999999849</v>
      </c>
      <c r="W8" s="43">
        <f t="shared" si="11"/>
        <v>-1.4190000000000005</v>
      </c>
      <c r="X8" s="43">
        <f t="shared" si="11"/>
        <v>-1.8149999999999977</v>
      </c>
      <c r="Y8" s="43">
        <f t="shared" si="11"/>
        <v>-2.1720000000000006</v>
      </c>
      <c r="Z8" s="43">
        <f t="shared" si="11"/>
        <v>-2.4770000000000003</v>
      </c>
      <c r="AA8" s="43">
        <f t="shared" si="11"/>
        <v>-3.4989999999999988</v>
      </c>
      <c r="AB8" s="44">
        <f t="shared" si="11"/>
        <v>-5.1539999999999999</v>
      </c>
    </row>
    <row r="9" spans="2:28" x14ac:dyDescent="0.3">
      <c r="B9" s="48" t="s">
        <v>156</v>
      </c>
      <c r="C9" s="43">
        <f t="shared" si="0"/>
        <v>-7.9254000000000104</v>
      </c>
      <c r="D9" s="43">
        <f t="shared" si="12"/>
        <v>-7.0588999999999942</v>
      </c>
      <c r="E9" s="43">
        <f t="shared" si="1"/>
        <v>-10.480599999999995</v>
      </c>
      <c r="F9" s="43">
        <f t="shared" si="2"/>
        <v>-13.807300000000005</v>
      </c>
      <c r="G9" s="43">
        <f t="shared" si="3"/>
        <v>-13.495699999999999</v>
      </c>
      <c r="H9" s="43">
        <f t="shared" si="4"/>
        <v>-14.808700000000009</v>
      </c>
      <c r="I9" s="43">
        <f t="shared" si="5"/>
        <v>-16.197500000000005</v>
      </c>
      <c r="J9" s="43">
        <f t="shared" si="6"/>
        <v>-16.055699999999995</v>
      </c>
      <c r="K9" s="43">
        <f t="shared" si="7"/>
        <v>-15.504100000000001</v>
      </c>
      <c r="L9" s="43">
        <f t="shared" si="8"/>
        <v>-15.049500000000002</v>
      </c>
      <c r="M9" s="43">
        <f t="shared" si="9"/>
        <v>-13.602799999999995</v>
      </c>
      <c r="N9" s="44">
        <f t="shared" si="10"/>
        <v>-10.855900000000005</v>
      </c>
      <c r="P9" s="48" t="s">
        <v>156</v>
      </c>
      <c r="Q9" s="43">
        <f t="shared" si="13"/>
        <v>0.12199999999999989</v>
      </c>
      <c r="R9" s="43">
        <f t="shared" si="11"/>
        <v>0.37800000000000011</v>
      </c>
      <c r="S9" s="43">
        <f t="shared" si="11"/>
        <v>-0.78899999999999793</v>
      </c>
      <c r="T9" s="43">
        <f t="shared" si="11"/>
        <v>-2.25</v>
      </c>
      <c r="U9" s="43">
        <f t="shared" si="11"/>
        <v>-3.147000000000002</v>
      </c>
      <c r="V9" s="43">
        <f t="shared" si="11"/>
        <v>-3.41</v>
      </c>
      <c r="W9" s="43">
        <f t="shared" si="11"/>
        <v>-3.477999999999998</v>
      </c>
      <c r="X9" s="43">
        <f t="shared" si="11"/>
        <v>-3.5139999999999993</v>
      </c>
      <c r="Y9" s="43">
        <f t="shared" si="11"/>
        <v>-3.5779999999999994</v>
      </c>
      <c r="Z9" s="43">
        <f t="shared" si="11"/>
        <v>-3.6700000000000017</v>
      </c>
      <c r="AA9" s="43">
        <f t="shared" si="11"/>
        <v>-4.0009999999999977</v>
      </c>
      <c r="AB9" s="44">
        <f t="shared" si="11"/>
        <v>-4.7479999999999976</v>
      </c>
    </row>
    <row r="10" spans="2:28" x14ac:dyDescent="0.3">
      <c r="B10" s="48" t="s">
        <v>157</v>
      </c>
      <c r="C10" s="43">
        <f t="shared" si="0"/>
        <v>-7.3432000000000102</v>
      </c>
      <c r="D10" s="43">
        <f t="shared" si="12"/>
        <v>-9.2786000000000115</v>
      </c>
      <c r="E10" s="43">
        <f t="shared" si="1"/>
        <v>-11.608400000000003</v>
      </c>
      <c r="F10" s="43">
        <f t="shared" si="2"/>
        <v>-12.054400000000001</v>
      </c>
      <c r="G10" s="43">
        <f t="shared" si="3"/>
        <v>-13.832900000000002</v>
      </c>
      <c r="H10" s="43">
        <f t="shared" si="4"/>
        <v>-14.408199999999994</v>
      </c>
      <c r="I10" s="43">
        <f t="shared" si="5"/>
        <v>-15.0411</v>
      </c>
      <c r="J10" s="43">
        <f t="shared" si="6"/>
        <v>-14.382100000000001</v>
      </c>
      <c r="K10" s="43">
        <f t="shared" si="7"/>
        <v>-13.8431</v>
      </c>
      <c r="L10" s="43">
        <f t="shared" si="8"/>
        <v>-13.470800000000004</v>
      </c>
      <c r="M10" s="43">
        <f t="shared" si="9"/>
        <v>-12.423499999999997</v>
      </c>
      <c r="N10" s="44">
        <f t="shared" si="10"/>
        <v>-9.5842999999999989</v>
      </c>
      <c r="P10" s="48" t="s">
        <v>157</v>
      </c>
      <c r="Q10" s="43">
        <f t="shared" si="13"/>
        <v>0.18999999999999773</v>
      </c>
      <c r="R10" s="43">
        <f t="shared" si="11"/>
        <v>-0.69099999999999895</v>
      </c>
      <c r="S10" s="43">
        <f t="shared" si="11"/>
        <v>-1.4780000000000015</v>
      </c>
      <c r="T10" s="43">
        <f t="shared" si="11"/>
        <v>-2.6400000000000006</v>
      </c>
      <c r="U10" s="43">
        <f t="shared" si="11"/>
        <v>-3.1759999999999984</v>
      </c>
      <c r="V10" s="43">
        <f t="shared" si="11"/>
        <v>-3.3590000000000018</v>
      </c>
      <c r="W10" s="43">
        <f t="shared" si="11"/>
        <v>-3.3709999999999987</v>
      </c>
      <c r="X10" s="43">
        <f t="shared" si="11"/>
        <v>-3.4039999999999999</v>
      </c>
      <c r="Y10" s="43">
        <f t="shared" si="11"/>
        <v>-3.472999999999999</v>
      </c>
      <c r="Z10" s="43">
        <f t="shared" si="11"/>
        <v>-3.536999999999999</v>
      </c>
      <c r="AA10" s="43">
        <f t="shared" si="11"/>
        <v>-4.0960000000000001</v>
      </c>
      <c r="AB10" s="44">
        <f t="shared" si="11"/>
        <v>-4.718</v>
      </c>
    </row>
    <row r="11" spans="2:28" x14ac:dyDescent="0.3">
      <c r="B11" s="48" t="s">
        <v>158</v>
      </c>
      <c r="C11" s="43">
        <f t="shared" si="0"/>
        <v>-8.5865999999999971</v>
      </c>
      <c r="D11" s="43">
        <f t="shared" si="12"/>
        <v>-10.809099999999994</v>
      </c>
      <c r="E11" s="43">
        <f t="shared" si="1"/>
        <v>-11.531000000000006</v>
      </c>
      <c r="F11" s="43">
        <f t="shared" si="2"/>
        <v>-11.968699999999998</v>
      </c>
      <c r="G11" s="43">
        <f t="shared" si="3"/>
        <v>-12.344799999999999</v>
      </c>
      <c r="H11" s="43">
        <f t="shared" si="4"/>
        <v>-11.783200000000008</v>
      </c>
      <c r="I11" s="43">
        <f t="shared" si="5"/>
        <v>-10.73510000000001</v>
      </c>
      <c r="J11" s="43">
        <f t="shared" si="6"/>
        <v>-10.109999999999992</v>
      </c>
      <c r="K11" s="43">
        <f t="shared" si="7"/>
        <v>-9.6873999999999967</v>
      </c>
      <c r="L11" s="43">
        <f t="shared" si="8"/>
        <v>-9.3128000000000029</v>
      </c>
      <c r="M11" s="43">
        <f t="shared" si="9"/>
        <v>-9.2158000000000015</v>
      </c>
      <c r="N11" s="44">
        <f t="shared" si="10"/>
        <v>-8.2950999999999979</v>
      </c>
      <c r="P11" s="48" t="s">
        <v>158</v>
      </c>
      <c r="Q11" s="43">
        <f t="shared" si="13"/>
        <v>-0.32000000000000028</v>
      </c>
      <c r="R11" s="43">
        <f t="shared" si="11"/>
        <v>-1</v>
      </c>
      <c r="S11" s="43">
        <f t="shared" si="11"/>
        <v>-1.7699999999999996</v>
      </c>
      <c r="T11" s="43">
        <f t="shared" si="11"/>
        <v>-2.2399999999999984</v>
      </c>
      <c r="U11" s="43">
        <f t="shared" si="11"/>
        <v>-2.5199999999999996</v>
      </c>
      <c r="V11" s="43">
        <f t="shared" si="11"/>
        <v>-2.4750000000000014</v>
      </c>
      <c r="W11" s="43">
        <f t="shared" si="11"/>
        <v>-2.3599999999999994</v>
      </c>
      <c r="X11" s="43">
        <f t="shared" si="11"/>
        <v>-2.3059999999999974</v>
      </c>
      <c r="Y11" s="43">
        <f t="shared" si="11"/>
        <v>-2.3069999999999986</v>
      </c>
      <c r="Z11" s="43">
        <f t="shared" si="11"/>
        <v>-2.3499999999999979</v>
      </c>
      <c r="AA11" s="43">
        <f t="shared" si="11"/>
        <v>-3.2899999999999991</v>
      </c>
      <c r="AB11" s="44">
        <f t="shared" si="11"/>
        <v>-4.09</v>
      </c>
    </row>
    <row r="12" spans="2:28" x14ac:dyDescent="0.3">
      <c r="B12" s="48" t="s">
        <v>159</v>
      </c>
      <c r="C12" s="43">
        <f t="shared" si="0"/>
        <v>-10.073499999999996</v>
      </c>
      <c r="D12" s="43">
        <f t="shared" si="12"/>
        <v>-12.228699999999996</v>
      </c>
      <c r="E12" s="43">
        <f t="shared" si="1"/>
        <v>-12.174000000000007</v>
      </c>
      <c r="F12" s="43">
        <f t="shared" si="2"/>
        <v>-11.459800000000001</v>
      </c>
      <c r="G12" s="43">
        <f t="shared" si="3"/>
        <v>-11.447400000000002</v>
      </c>
      <c r="H12" s="43">
        <f t="shared" si="4"/>
        <v>-10.368900000000004</v>
      </c>
      <c r="I12" s="43">
        <f t="shared" si="5"/>
        <v>-9.4780000000000015</v>
      </c>
      <c r="J12" s="43">
        <f t="shared" si="6"/>
        <v>-9.1619000000000028</v>
      </c>
      <c r="K12" s="43">
        <f t="shared" si="7"/>
        <v>-8.8963999999999999</v>
      </c>
      <c r="L12" s="43">
        <f t="shared" si="8"/>
        <v>-8.6699000000000055</v>
      </c>
      <c r="M12" s="43">
        <f t="shared" si="9"/>
        <v>-9.0805000000000007</v>
      </c>
      <c r="N12" s="44">
        <f t="shared" si="10"/>
        <v>-8.3245000000000005</v>
      </c>
      <c r="P12" s="48" t="s">
        <v>159</v>
      </c>
      <c r="Q12" s="43">
        <f t="shared" si="13"/>
        <v>-2.0399999999999991</v>
      </c>
      <c r="R12" s="43">
        <f t="shared" si="11"/>
        <v>-2.3070000000000022</v>
      </c>
      <c r="S12" s="43">
        <f t="shared" si="11"/>
        <v>-2.4849999999999994</v>
      </c>
      <c r="T12" s="43">
        <f t="shared" si="11"/>
        <v>-2.4299999999999997</v>
      </c>
      <c r="U12" s="43">
        <f t="shared" si="11"/>
        <v>-2.4920000000000009</v>
      </c>
      <c r="V12" s="43">
        <f t="shared" si="11"/>
        <v>-2.4619999999999997</v>
      </c>
      <c r="W12" s="43">
        <f t="shared" si="11"/>
        <v>-2.4259999999999984</v>
      </c>
      <c r="X12" s="43">
        <f t="shared" si="11"/>
        <v>-2.4110000000000014</v>
      </c>
      <c r="Y12" s="43">
        <f t="shared" si="11"/>
        <v>-2.4200000000000017</v>
      </c>
      <c r="Z12" s="43">
        <f t="shared" si="11"/>
        <v>-2.4589999999999996</v>
      </c>
      <c r="AA12" s="43">
        <f t="shared" si="11"/>
        <v>-3.7719999999999985</v>
      </c>
      <c r="AB12" s="44">
        <f t="shared" si="11"/>
        <v>-4.1810000000000009</v>
      </c>
    </row>
    <row r="13" spans="2:28" x14ac:dyDescent="0.3">
      <c r="B13" s="48" t="s">
        <v>161</v>
      </c>
      <c r="C13" s="43">
        <f t="shared" si="0"/>
        <v>-9.3196999999999974</v>
      </c>
      <c r="D13" s="43">
        <f t="shared" si="12"/>
        <v>-9.3182000000000045</v>
      </c>
      <c r="E13" s="43">
        <f t="shared" si="1"/>
        <v>-10.390299999999996</v>
      </c>
      <c r="F13" s="43">
        <f t="shared" si="2"/>
        <v>-9.0835000000000008</v>
      </c>
      <c r="G13" s="43">
        <f t="shared" si="3"/>
        <v>-9.320999999999998</v>
      </c>
      <c r="H13" s="43">
        <f t="shared" si="4"/>
        <v>-9.3896000000000015</v>
      </c>
      <c r="I13" s="43">
        <f t="shared" si="5"/>
        <v>-9.5108000000000033</v>
      </c>
      <c r="J13" s="43">
        <f t="shared" si="6"/>
        <v>-9.7149000000000001</v>
      </c>
      <c r="K13" s="43">
        <f t="shared" si="7"/>
        <v>-9.4782000000000011</v>
      </c>
      <c r="L13" s="43">
        <f t="shared" si="8"/>
        <v>-9.2924999999999969</v>
      </c>
      <c r="M13" s="43">
        <f t="shared" si="9"/>
        <v>-10.947900000000004</v>
      </c>
      <c r="N13" s="44">
        <f t="shared" si="10"/>
        <v>-9.2514000000000038</v>
      </c>
      <c r="P13" s="48" t="s">
        <v>161</v>
      </c>
      <c r="Q13" s="43">
        <f t="shared" si="13"/>
        <v>-1.8200000000000003</v>
      </c>
      <c r="R13" s="43">
        <f t="shared" si="11"/>
        <v>-2.0300000000000011</v>
      </c>
      <c r="S13" s="43">
        <f t="shared" si="11"/>
        <v>-2.379999999999999</v>
      </c>
      <c r="T13" s="43">
        <f t="shared" si="11"/>
        <v>-2.509999999999998</v>
      </c>
      <c r="U13" s="43">
        <f t="shared" si="11"/>
        <v>-2.9000000000000021</v>
      </c>
      <c r="V13" s="43">
        <f t="shared" si="11"/>
        <v>-3.1630000000000003</v>
      </c>
      <c r="W13" s="43">
        <f t="shared" si="11"/>
        <v>-3.2199999999999989</v>
      </c>
      <c r="X13" s="43">
        <f t="shared" si="11"/>
        <v>-3.402000000000001</v>
      </c>
      <c r="Y13" s="43">
        <f t="shared" si="11"/>
        <v>-3.5380000000000003</v>
      </c>
      <c r="Z13" s="43">
        <f t="shared" si="11"/>
        <v>-3.84</v>
      </c>
      <c r="AA13" s="43">
        <f t="shared" si="11"/>
        <v>-5.84</v>
      </c>
      <c r="AB13" s="44">
        <f t="shared" si="11"/>
        <v>-4.629999999999999</v>
      </c>
    </row>
    <row r="14" spans="2:28" x14ac:dyDescent="0.3">
      <c r="B14" s="48" t="s">
        <v>164</v>
      </c>
      <c r="C14" s="43">
        <f t="shared" si="0"/>
        <v>-7.5315000000000012</v>
      </c>
      <c r="D14" s="43">
        <f t="shared" si="12"/>
        <v>-6.5775000000000006</v>
      </c>
      <c r="E14" s="43">
        <f t="shared" si="1"/>
        <v>-9.7227999999999994</v>
      </c>
      <c r="F14" s="43">
        <f t="shared" si="2"/>
        <v>-8.3999999999999986</v>
      </c>
      <c r="G14" s="43">
        <f t="shared" si="3"/>
        <v>-10.089300000000009</v>
      </c>
      <c r="H14" s="43">
        <f t="shared" si="4"/>
        <v>-9.4378999999999991</v>
      </c>
      <c r="I14" s="43">
        <f t="shared" si="5"/>
        <v>-8.9515999999999991</v>
      </c>
      <c r="J14" s="43">
        <f t="shared" si="6"/>
        <v>-8.3506999999999962</v>
      </c>
      <c r="K14" s="43">
        <f t="shared" si="7"/>
        <v>-7.8367000000000004</v>
      </c>
      <c r="L14" s="43">
        <f t="shared" si="8"/>
        <v>-7.3806999999999974</v>
      </c>
      <c r="M14" s="43">
        <f t="shared" si="9"/>
        <v>-10.4831</v>
      </c>
      <c r="N14" s="44">
        <f t="shared" si="10"/>
        <v>-6.1708999999999961</v>
      </c>
      <c r="P14" s="48" t="s">
        <v>164</v>
      </c>
      <c r="Q14" s="43">
        <f t="shared" si="13"/>
        <v>-2.3100000000000023</v>
      </c>
      <c r="R14" s="43">
        <f t="shared" si="11"/>
        <v>-3.2299999999999969</v>
      </c>
      <c r="S14" s="43">
        <f t="shared" si="11"/>
        <v>-4.4199999999999982</v>
      </c>
      <c r="T14" s="43">
        <f t="shared" si="11"/>
        <v>-3.8129999999999988</v>
      </c>
      <c r="U14" s="43">
        <f t="shared" si="11"/>
        <v>-4.1500000000000021</v>
      </c>
      <c r="V14" s="43">
        <f t="shared" si="11"/>
        <v>-4.4730000000000025</v>
      </c>
      <c r="W14" s="43">
        <f t="shared" si="11"/>
        <v>-4.93</v>
      </c>
      <c r="X14" s="43">
        <f t="shared" si="11"/>
        <v>-5.5410000000000004</v>
      </c>
      <c r="Y14" s="43">
        <f t="shared" si="11"/>
        <v>-6.2459999999999987</v>
      </c>
      <c r="Z14" s="43">
        <f t="shared" si="11"/>
        <v>-6.93</v>
      </c>
      <c r="AA14" s="43">
        <f t="shared" si="11"/>
        <v>-7.66</v>
      </c>
      <c r="AB14" s="44">
        <f t="shared" si="11"/>
        <v>-6</v>
      </c>
    </row>
    <row r="15" spans="2:28" x14ac:dyDescent="0.3">
      <c r="B15" s="48" t="s">
        <v>165</v>
      </c>
      <c r="C15" s="43">
        <f t="shared" si="0"/>
        <v>-3.3947999999999965</v>
      </c>
      <c r="D15" s="43">
        <f t="shared" si="12"/>
        <v>-2.8083999999999989</v>
      </c>
      <c r="E15" s="43">
        <f t="shared" si="1"/>
        <v>-4.6638000000000019</v>
      </c>
      <c r="F15" s="43">
        <f t="shared" si="2"/>
        <v>-3.6313000000000031</v>
      </c>
      <c r="G15" s="43">
        <f t="shared" si="3"/>
        <v>-4.4735999999999976</v>
      </c>
      <c r="H15" s="43">
        <f t="shared" si="4"/>
        <v>-4.6373000000000033</v>
      </c>
      <c r="I15" s="43">
        <f t="shared" si="5"/>
        <v>-4.7712000000000003</v>
      </c>
      <c r="J15" s="43">
        <f t="shared" si="6"/>
        <v>-4.6533000000000015</v>
      </c>
      <c r="K15" s="43">
        <f t="shared" si="7"/>
        <v>-4.5287999999999968</v>
      </c>
      <c r="L15" s="43">
        <f t="shared" si="8"/>
        <v>-4.3974000000000046</v>
      </c>
      <c r="M15" s="43">
        <f t="shared" si="9"/>
        <v>-7.5105999999999966</v>
      </c>
      <c r="N15" s="44">
        <f t="shared" si="10"/>
        <v>-4.3802999999999983</v>
      </c>
      <c r="P15" s="48" t="s">
        <v>165</v>
      </c>
      <c r="Q15" s="43">
        <f t="shared" si="13"/>
        <v>-5.2459999999999987</v>
      </c>
      <c r="R15" s="43">
        <f t="shared" si="11"/>
        <v>-7.1209999999999987</v>
      </c>
      <c r="S15" s="43">
        <f t="shared" si="11"/>
        <v>-9.8859999999999992</v>
      </c>
      <c r="T15" s="43">
        <f t="shared" si="11"/>
        <v>-12.751000000000005</v>
      </c>
      <c r="U15" s="43">
        <f t="shared" si="11"/>
        <v>-15.088000000000001</v>
      </c>
      <c r="V15" s="43">
        <f t="shared" si="11"/>
        <v>-16.062000000000001</v>
      </c>
      <c r="W15" s="43">
        <f t="shared" si="11"/>
        <v>-15.812000000000001</v>
      </c>
      <c r="X15" s="43">
        <f t="shared" si="11"/>
        <v>-14.833999999999996</v>
      </c>
      <c r="Y15" s="43">
        <f t="shared" si="11"/>
        <v>-13.514999999999997</v>
      </c>
      <c r="Z15" s="43">
        <f t="shared" si="11"/>
        <v>-12.145999999999997</v>
      </c>
      <c r="AA15" s="43">
        <f t="shared" si="11"/>
        <v>-6.8339999999999996</v>
      </c>
      <c r="AB15" s="44">
        <f t="shared" si="11"/>
        <v>-4.0680000000000014</v>
      </c>
    </row>
    <row r="16" spans="2:28" ht="17.25" thickBot="1" x14ac:dyDescent="0.35">
      <c r="B16" s="49" t="s">
        <v>166</v>
      </c>
      <c r="C16" s="45">
        <f t="shared" si="0"/>
        <v>-3.1999999999999957</v>
      </c>
      <c r="D16" s="45">
        <f t="shared" si="12"/>
        <v>-2.6358000000000033</v>
      </c>
      <c r="E16" s="45">
        <f t="shared" si="1"/>
        <v>-4.3760999999999939</v>
      </c>
      <c r="F16" s="45">
        <f t="shared" si="2"/>
        <v>-3.3780000000000001</v>
      </c>
      <c r="G16" s="45">
        <f t="shared" si="3"/>
        <v>-4.1105000000000018</v>
      </c>
      <c r="H16" s="45">
        <f t="shared" si="4"/>
        <v>-4.2845000000000013</v>
      </c>
      <c r="I16" s="45">
        <f t="shared" si="5"/>
        <v>-4.4294999999999973</v>
      </c>
      <c r="J16" s="45">
        <f t="shared" si="6"/>
        <v>-4.3211000000000013</v>
      </c>
      <c r="K16" s="45">
        <f t="shared" si="7"/>
        <v>-4.2066000000000017</v>
      </c>
      <c r="L16" s="45">
        <f t="shared" si="8"/>
        <v>-4.0864000000000047</v>
      </c>
      <c r="M16" s="45">
        <f t="shared" si="9"/>
        <v>-6.9684999999999988</v>
      </c>
      <c r="N16" s="46">
        <f t="shared" si="10"/>
        <v>-4.0570999999999984</v>
      </c>
      <c r="P16" s="49" t="s">
        <v>166</v>
      </c>
      <c r="Q16" s="45">
        <f t="shared" si="13"/>
        <v>-18.336000000000002</v>
      </c>
      <c r="R16" s="45">
        <f t="shared" si="11"/>
        <v>-15.864000000000001</v>
      </c>
      <c r="S16" s="45">
        <f t="shared" si="11"/>
        <v>-14.615000000000002</v>
      </c>
      <c r="T16" s="45">
        <f t="shared" si="11"/>
        <v>-12.68</v>
      </c>
      <c r="U16" s="45">
        <f t="shared" si="11"/>
        <v>-10.335000000000004</v>
      </c>
      <c r="V16" s="45">
        <f t="shared" si="11"/>
        <v>-8.9130000000000003</v>
      </c>
      <c r="W16" s="45">
        <f t="shared" si="11"/>
        <v>-7.3569999999999993</v>
      </c>
      <c r="X16" s="45">
        <f t="shared" si="11"/>
        <v>-6.161999999999999</v>
      </c>
      <c r="Y16" s="45">
        <f t="shared" si="11"/>
        <v>-5.2420000000000009</v>
      </c>
      <c r="Z16" s="45">
        <f t="shared" si="11"/>
        <v>-4.4540000000000006</v>
      </c>
      <c r="AA16" s="45">
        <f t="shared" si="11"/>
        <v>-2.679000000000002</v>
      </c>
      <c r="AB16" s="46">
        <f t="shared" si="11"/>
        <v>-1.9469999999999992</v>
      </c>
    </row>
    <row r="19" spans="1:29" x14ac:dyDescent="0.3">
      <c r="A19" t="str">
        <f>'1-1)Swaption_Matrix'!A17</f>
        <v>Normal Volatility</v>
      </c>
      <c r="B19" s="13">
        <f>'1-1)Swaption_Matrix'!B17</f>
        <v>44645</v>
      </c>
      <c r="C19" t="str">
        <f>'1-1)Swaption_Matrix'!C17</f>
        <v>1Y</v>
      </c>
      <c r="D19" t="str">
        <f>'1-1)Swaption_Matrix'!D17</f>
        <v>2Y</v>
      </c>
      <c r="E19" t="str">
        <f>'1-1)Swaption_Matrix'!E17</f>
        <v>3Y</v>
      </c>
      <c r="F19" t="str">
        <f>'1-1)Swaption_Matrix'!F17</f>
        <v>4Y</v>
      </c>
      <c r="G19" t="str">
        <f>'1-1)Swaption_Matrix'!G17</f>
        <v>5Y</v>
      </c>
      <c r="H19" t="str">
        <f>'1-1)Swaption_Matrix'!H17</f>
        <v>6Y</v>
      </c>
      <c r="I19" t="str">
        <f>'1-1)Swaption_Matrix'!I17</f>
        <v>7Y</v>
      </c>
      <c r="J19" t="str">
        <f>'1-1)Swaption_Matrix'!J17</f>
        <v>8Y</v>
      </c>
      <c r="K19" t="str">
        <f>'1-1)Swaption_Matrix'!K17</f>
        <v>9Y</v>
      </c>
      <c r="L19" t="str">
        <f>'1-1)Swaption_Matrix'!L17</f>
        <v>10Y</v>
      </c>
      <c r="M19" s="13" t="str">
        <f>'1-1)Swaption_Matrix'!M17</f>
        <v>15Y</v>
      </c>
      <c r="N19" t="str">
        <f>'1-1)Swaption_Matrix'!N17</f>
        <v>20Y</v>
      </c>
      <c r="P19" t="str">
        <f>'1-1)Swaption_Matrix_prev'!A17</f>
        <v>Normal Volatility</v>
      </c>
      <c r="Q19" s="13">
        <f>'1-1)Swaption_Matrix_prev'!B17</f>
        <v>44676</v>
      </c>
      <c r="R19" t="str">
        <f>'1-1)Swaption_Matrix_prev'!C17</f>
        <v>1Y</v>
      </c>
      <c r="S19" t="str">
        <f>'1-1)Swaption_Matrix_prev'!D17</f>
        <v>2Y</v>
      </c>
      <c r="T19" t="str">
        <f>'1-1)Swaption_Matrix_prev'!E17</f>
        <v>3Y</v>
      </c>
      <c r="U19" t="str">
        <f>'1-1)Swaption_Matrix_prev'!F17</f>
        <v>4Y</v>
      </c>
      <c r="V19" t="str">
        <f>'1-1)Swaption_Matrix_prev'!G17</f>
        <v>5Y</v>
      </c>
      <c r="W19" t="str">
        <f>'1-1)Swaption_Matrix_prev'!H17</f>
        <v>6Y</v>
      </c>
      <c r="X19" t="str">
        <f>'1-1)Swaption_Matrix_prev'!I17</f>
        <v>7Y</v>
      </c>
      <c r="Y19" t="str">
        <f>'1-1)Swaption_Matrix_prev'!J17</f>
        <v>8Y</v>
      </c>
      <c r="Z19" t="str">
        <f>'1-1)Swaption_Matrix_prev'!K17</f>
        <v>9Y</v>
      </c>
      <c r="AA19" t="str">
        <f>'1-1)Swaption_Matrix_prev'!L17</f>
        <v>10Y</v>
      </c>
      <c r="AB19" t="str">
        <f>'1-1)Swaption_Matrix_prev'!M17</f>
        <v>15Y</v>
      </c>
      <c r="AC19" t="str">
        <f>'1-1)Swaption_Matrix_prev'!N17</f>
        <v>20Y</v>
      </c>
    </row>
    <row r="20" spans="1:29" x14ac:dyDescent="0.3">
      <c r="A20" s="13" t="str">
        <f>'1-1)Swaption_Matrix'!A18</f>
        <v>Expiration</v>
      </c>
      <c r="B20" t="str">
        <f>'1-1)Swaption_Matrix'!B18</f>
        <v>1M</v>
      </c>
      <c r="C20" s="14">
        <f>'1-1)Swaption_Matrix'!C18</f>
        <v>70.488500000000002</v>
      </c>
      <c r="D20" s="14">
        <f>'1-1)Swaption_Matrix'!D18</f>
        <v>71.984300000000005</v>
      </c>
      <c r="E20" s="14">
        <f>'1-1)Swaption_Matrix'!E18</f>
        <v>73.847099999999998</v>
      </c>
      <c r="F20" s="14">
        <f>'1-1)Swaption_Matrix'!F18</f>
        <v>75.58</v>
      </c>
      <c r="G20" s="14">
        <f>'1-1)Swaption_Matrix'!G18</f>
        <v>77.343000000000004</v>
      </c>
      <c r="H20" s="14">
        <f>'1-1)Swaption_Matrix'!H18</f>
        <v>78.207899999999995</v>
      </c>
      <c r="I20" s="14">
        <f>'1-1)Swaption_Matrix'!I18</f>
        <v>79.121200000000002</v>
      </c>
      <c r="J20" s="14">
        <f>'1-1)Swaption_Matrix'!J18</f>
        <v>79.934700000000007</v>
      </c>
      <c r="K20" s="14">
        <f>'1-1)Swaption_Matrix'!K18</f>
        <v>80.762799999999999</v>
      </c>
      <c r="L20" s="14">
        <f>'1-1)Swaption_Matrix'!L18</f>
        <v>81.622600000000006</v>
      </c>
      <c r="M20" s="14">
        <f>'1-1)Swaption_Matrix'!M18</f>
        <v>82.245099999999994</v>
      </c>
      <c r="N20" s="14">
        <f>'1-1)Swaption_Matrix'!N18</f>
        <v>82.388800000000003</v>
      </c>
      <c r="P20" t="str">
        <f>'1-1)Swaption_Matrix_prev'!A18</f>
        <v>Expiration</v>
      </c>
      <c r="Q20" t="str">
        <f>'1-1)Swaption_Matrix_prev'!B18</f>
        <v>1M</v>
      </c>
      <c r="R20" s="14">
        <f>'1-1)Swaption_Matrix_prev'!C18</f>
        <v>100</v>
      </c>
      <c r="S20" s="14">
        <f>'1-1)Swaption_Matrix_prev'!D18</f>
        <v>76.465699999999998</v>
      </c>
      <c r="T20" s="14">
        <f>'1-1)Swaption_Matrix_prev'!E18</f>
        <v>79.028599999999997</v>
      </c>
      <c r="U20" s="14">
        <f>'1-1)Swaption_Matrix_prev'!F18</f>
        <v>81.885599999999997</v>
      </c>
      <c r="V20" s="14">
        <f>'1-1)Swaption_Matrix_prev'!G18</f>
        <v>84.875900000000001</v>
      </c>
      <c r="W20" s="14">
        <f>'1-1)Swaption_Matrix_prev'!H18</f>
        <v>85.765799999999999</v>
      </c>
      <c r="X20" s="14">
        <f>'1-1)Swaption_Matrix_prev'!I18</f>
        <v>86.711799999999997</v>
      </c>
      <c r="Y20" s="14">
        <f>'1-1)Swaption_Matrix_prev'!J18</f>
        <v>87.567099999999996</v>
      </c>
      <c r="Z20" s="14">
        <f>'1-1)Swaption_Matrix_prev'!K18</f>
        <v>88.4803</v>
      </c>
      <c r="AA20" s="14">
        <f>'1-1)Swaption_Matrix_prev'!L18</f>
        <v>89.416300000000007</v>
      </c>
      <c r="AB20" s="14">
        <f>'1-1)Swaption_Matrix_prev'!M18</f>
        <v>87.588499999999996</v>
      </c>
      <c r="AC20" s="14">
        <f>'1-1)Swaption_Matrix_prev'!N18</f>
        <v>85.7346</v>
      </c>
    </row>
    <row r="21" spans="1:29" x14ac:dyDescent="0.3">
      <c r="A21" s="41"/>
      <c r="B21" t="str">
        <f>'1-1)Swaption_Matrix'!B19</f>
        <v>3M</v>
      </c>
      <c r="C21" s="14">
        <f>'1-1)Swaption_Matrix'!C19</f>
        <v>75.105900000000005</v>
      </c>
      <c r="D21" s="14">
        <f>'1-1)Swaption_Matrix'!D19</f>
        <v>78.814499999999995</v>
      </c>
      <c r="E21" s="14">
        <f>'1-1)Swaption_Matrix'!E19</f>
        <v>72.906700000000001</v>
      </c>
      <c r="F21" s="14">
        <f>'1-1)Swaption_Matrix'!F19</f>
        <v>74.123599999999996</v>
      </c>
      <c r="G21" s="14">
        <f>'1-1)Swaption_Matrix'!G19</f>
        <v>75.3489</v>
      </c>
      <c r="H21" s="14">
        <f>'1-1)Swaption_Matrix'!H19</f>
        <v>75.866</v>
      </c>
      <c r="I21" s="14">
        <f>'1-1)Swaption_Matrix'!I19</f>
        <v>76.457700000000003</v>
      </c>
      <c r="J21" s="14">
        <f>'1-1)Swaption_Matrix'!J19</f>
        <v>76.8917</v>
      </c>
      <c r="K21" s="14">
        <f>'1-1)Swaption_Matrix'!K19</f>
        <v>77.352400000000003</v>
      </c>
      <c r="L21" s="14">
        <f>'1-1)Swaption_Matrix'!L19</f>
        <v>77.892300000000006</v>
      </c>
      <c r="M21" s="14">
        <f>'1-1)Swaption_Matrix'!M19</f>
        <v>80.56</v>
      </c>
      <c r="N21" s="14">
        <f>'1-1)Swaption_Matrix'!N19</f>
        <v>83.002799999999993</v>
      </c>
      <c r="Q21" t="str">
        <f>'1-1)Swaption_Matrix_prev'!B19</f>
        <v>3M</v>
      </c>
      <c r="R21" s="14">
        <f>'1-1)Swaption_Matrix_prev'!C19</f>
        <v>98.824799999999996</v>
      </c>
      <c r="S21" s="14">
        <f>'1-1)Swaption_Matrix_prev'!D19</f>
        <v>83.718400000000003</v>
      </c>
      <c r="T21" s="14">
        <f>'1-1)Swaption_Matrix_prev'!E19</f>
        <v>78.378900000000002</v>
      </c>
      <c r="U21" s="14">
        <f>'1-1)Swaption_Matrix_prev'!F19</f>
        <v>80.985100000000003</v>
      </c>
      <c r="V21" s="14">
        <f>'1-1)Swaption_Matrix_prev'!G19</f>
        <v>83.688999999999993</v>
      </c>
      <c r="W21" s="14">
        <f>'1-1)Swaption_Matrix_prev'!H19</f>
        <v>84.204700000000003</v>
      </c>
      <c r="X21" s="14">
        <f>'1-1)Swaption_Matrix_prev'!I19</f>
        <v>84.771199999999993</v>
      </c>
      <c r="Y21" s="14">
        <f>'1-1)Swaption_Matrix_prev'!J19</f>
        <v>85.237399999999994</v>
      </c>
      <c r="Z21" s="14">
        <f>'1-1)Swaption_Matrix_prev'!K19</f>
        <v>85.7727</v>
      </c>
      <c r="AA21" s="14">
        <f>'1-1)Swaption_Matrix_prev'!L19</f>
        <v>86.302199999999999</v>
      </c>
      <c r="AB21" s="14">
        <f>'1-1)Swaption_Matrix_prev'!M19</f>
        <v>86.450100000000006</v>
      </c>
      <c r="AC21" s="14">
        <f>'1-1)Swaption_Matrix_prev'!N19</f>
        <v>86.763599999999997</v>
      </c>
    </row>
    <row r="22" spans="1:29" x14ac:dyDescent="0.3">
      <c r="A22" s="41"/>
      <c r="B22" t="str">
        <f>'1-1)Swaption_Matrix'!B20</f>
        <v>6M</v>
      </c>
      <c r="C22" s="14">
        <f>'1-1)Swaption_Matrix'!C20</f>
        <v>73.194500000000005</v>
      </c>
      <c r="D22" s="14">
        <f>'1-1)Swaption_Matrix'!D20</f>
        <v>74.125</v>
      </c>
      <c r="E22" s="14">
        <f>'1-1)Swaption_Matrix'!E20</f>
        <v>75.114400000000003</v>
      </c>
      <c r="F22" s="14">
        <f>'1-1)Swaption_Matrix'!F20</f>
        <v>72.3279</v>
      </c>
      <c r="G22" s="14">
        <f>'1-1)Swaption_Matrix'!G20</f>
        <v>72.514300000000006</v>
      </c>
      <c r="H22" s="14">
        <f>'1-1)Swaption_Matrix'!H20</f>
        <v>73.173299999999998</v>
      </c>
      <c r="I22" s="14">
        <f>'1-1)Swaption_Matrix'!I20</f>
        <v>73.923199999999994</v>
      </c>
      <c r="J22" s="14">
        <f>'1-1)Swaption_Matrix'!J20</f>
        <v>74.595299999999995</v>
      </c>
      <c r="K22" s="14">
        <f>'1-1)Swaption_Matrix'!K20</f>
        <v>75.303799999999995</v>
      </c>
      <c r="L22" s="14">
        <f>'1-1)Swaption_Matrix'!L20</f>
        <v>76.151600000000002</v>
      </c>
      <c r="M22" s="14">
        <f>'1-1)Swaption_Matrix'!M20</f>
        <v>78.728099999999998</v>
      </c>
      <c r="N22" s="14">
        <f>'1-1)Swaption_Matrix'!N20</f>
        <v>81.601900000000001</v>
      </c>
      <c r="Q22" t="str">
        <f>'1-1)Swaption_Matrix_prev'!B20</f>
        <v>6M</v>
      </c>
      <c r="R22" s="14">
        <f>'1-1)Swaption_Matrix_prev'!C20</f>
        <v>80.298599999999993</v>
      </c>
      <c r="S22" s="14">
        <f>'1-1)Swaption_Matrix_prev'!D20</f>
        <v>90.921400000000006</v>
      </c>
      <c r="T22" s="14">
        <f>'1-1)Swaption_Matrix_prev'!E20</f>
        <v>91.780600000000007</v>
      </c>
      <c r="U22" s="14">
        <f>'1-1)Swaption_Matrix_prev'!F20</f>
        <v>89.045500000000004</v>
      </c>
      <c r="V22" s="14">
        <f>'1-1)Swaption_Matrix_prev'!G20</f>
        <v>89.338399999999993</v>
      </c>
      <c r="W22" s="14">
        <f>'1-1)Swaption_Matrix_prev'!H20</f>
        <v>89.816199999999995</v>
      </c>
      <c r="X22" s="14">
        <f>'1-1)Swaption_Matrix_prev'!I20</f>
        <v>90.319800000000001</v>
      </c>
      <c r="Y22" s="14">
        <f>'1-1)Swaption_Matrix_prev'!J20</f>
        <v>90.816599999999994</v>
      </c>
      <c r="Z22" s="14">
        <f>'1-1)Swaption_Matrix_prev'!K20</f>
        <v>91.401300000000006</v>
      </c>
      <c r="AA22" s="14">
        <f>'1-1)Swaption_Matrix_prev'!L20</f>
        <v>91.919499999999999</v>
      </c>
      <c r="AB22" s="14">
        <f>'1-1)Swaption_Matrix_prev'!M20</f>
        <v>95.16</v>
      </c>
      <c r="AC22" s="14">
        <f>'1-1)Swaption_Matrix_prev'!N20</f>
        <v>83.659300000000002</v>
      </c>
    </row>
    <row r="23" spans="1:29" x14ac:dyDescent="0.3">
      <c r="A23" s="41"/>
      <c r="B23" t="str">
        <f>'1-1)Swaption_Matrix'!B21</f>
        <v>9M</v>
      </c>
      <c r="C23" s="14">
        <f>'1-1)Swaption_Matrix'!C21</f>
        <v>74.062200000000004</v>
      </c>
      <c r="D23" s="14">
        <f>'1-1)Swaption_Matrix'!D21</f>
        <v>71.578500000000005</v>
      </c>
      <c r="E23" s="14">
        <f>'1-1)Swaption_Matrix'!E21</f>
        <v>70.978999999999999</v>
      </c>
      <c r="F23" s="14">
        <f>'1-1)Swaption_Matrix'!F21</f>
        <v>70.417000000000002</v>
      </c>
      <c r="G23" s="14">
        <f>'1-1)Swaption_Matrix'!G21</f>
        <v>69.792400000000001</v>
      </c>
      <c r="H23" s="14">
        <f>'1-1)Swaption_Matrix'!H21</f>
        <v>70.700100000000006</v>
      </c>
      <c r="I23" s="14">
        <f>'1-1)Swaption_Matrix'!I21</f>
        <v>71.698400000000007</v>
      </c>
      <c r="J23" s="14">
        <f>'1-1)Swaption_Matrix'!J21</f>
        <v>72.434399999999997</v>
      </c>
      <c r="K23" s="14">
        <f>'1-1)Swaption_Matrix'!K21</f>
        <v>73.209599999999995</v>
      </c>
      <c r="L23" s="14">
        <f>'1-1)Swaption_Matrix'!L21</f>
        <v>74.177700000000002</v>
      </c>
      <c r="M23" s="14">
        <f>'1-1)Swaption_Matrix'!M21</f>
        <v>76.951999999999998</v>
      </c>
      <c r="N23" s="14">
        <f>'1-1)Swaption_Matrix'!N21</f>
        <v>80.162199999999999</v>
      </c>
      <c r="Q23" t="str">
        <f>'1-1)Swaption_Matrix_prev'!B21</f>
        <v>9M</v>
      </c>
      <c r="R23" s="14">
        <f>'1-1)Swaption_Matrix_prev'!C21</f>
        <v>84.539100000000005</v>
      </c>
      <c r="S23" s="14">
        <f>'1-1)Swaption_Matrix_prev'!D21</f>
        <v>79.963999999999999</v>
      </c>
      <c r="T23" s="14">
        <f>'1-1)Swaption_Matrix_prev'!E21</f>
        <v>77.650199999999998</v>
      </c>
      <c r="U23" s="14">
        <f>'1-1)Swaption_Matrix_prev'!F21</f>
        <v>75.456699999999998</v>
      </c>
      <c r="V23" s="14">
        <f>'1-1)Swaption_Matrix_prev'!G21</f>
        <v>73.244299999999996</v>
      </c>
      <c r="W23" s="14">
        <f>'1-1)Swaption_Matrix_prev'!H21</f>
        <v>74.000600000000006</v>
      </c>
      <c r="X23" s="14">
        <f>'1-1)Swaption_Matrix_prev'!I21</f>
        <v>74.727500000000006</v>
      </c>
      <c r="Y23" s="14">
        <f>'1-1)Swaption_Matrix_prev'!J21</f>
        <v>75.376499999999993</v>
      </c>
      <c r="Z23" s="14">
        <f>'1-1)Swaption_Matrix_prev'!K21</f>
        <v>76.095299999999995</v>
      </c>
      <c r="AA23" s="14">
        <f>'1-1)Swaption_Matrix_prev'!L21</f>
        <v>76.701499999999996</v>
      </c>
      <c r="AB23" s="14">
        <f>'1-1)Swaption_Matrix_prev'!M21</f>
        <v>78.224299999999999</v>
      </c>
      <c r="AC23" s="14">
        <f>'1-1)Swaption_Matrix_prev'!N21</f>
        <v>80.515799999999999</v>
      </c>
    </row>
    <row r="24" spans="1:29" x14ac:dyDescent="0.3">
      <c r="A24" s="41"/>
      <c r="B24" t="str">
        <f>'1-1)Swaption_Matrix'!B22</f>
        <v>1Y</v>
      </c>
      <c r="C24" s="14">
        <f>'1-1)Swaption_Matrix'!C22</f>
        <v>78.019099999999995</v>
      </c>
      <c r="D24" s="14">
        <f>'1-1)Swaption_Matrix'!D22</f>
        <v>77.264600000000002</v>
      </c>
      <c r="E24" s="14">
        <f>'1-1)Swaption_Matrix'!E22</f>
        <v>74.655100000000004</v>
      </c>
      <c r="F24" s="14">
        <f>'1-1)Swaption_Matrix'!F22</f>
        <v>67.498000000000005</v>
      </c>
      <c r="G24" s="14">
        <f>'1-1)Swaption_Matrix'!G22</f>
        <v>65.899900000000002</v>
      </c>
      <c r="H24" s="14">
        <f>'1-1)Swaption_Matrix'!H22</f>
        <v>66.301900000000003</v>
      </c>
      <c r="I24" s="14">
        <f>'1-1)Swaption_Matrix'!I22</f>
        <v>66.8005</v>
      </c>
      <c r="J24" s="14">
        <f>'1-1)Swaption_Matrix'!J22</f>
        <v>67.388599999999997</v>
      </c>
      <c r="K24" s="14">
        <f>'1-1)Swaption_Matrix'!K22</f>
        <v>68.013900000000007</v>
      </c>
      <c r="L24" s="14">
        <f>'1-1)Swaption_Matrix'!L22</f>
        <v>68.864199999999997</v>
      </c>
      <c r="M24" s="14">
        <f>'1-1)Swaption_Matrix'!M22</f>
        <v>69.961600000000004</v>
      </c>
      <c r="N24" s="14">
        <f>'1-1)Swaption_Matrix'!N22</f>
        <v>77.920900000000003</v>
      </c>
      <c r="Q24" t="str">
        <f>'1-1)Swaption_Matrix_prev'!B22</f>
        <v>1Y</v>
      </c>
      <c r="R24" s="14">
        <f>'1-1)Swaption_Matrix_prev'!C22</f>
        <v>90.2821</v>
      </c>
      <c r="S24" s="14">
        <f>'1-1)Swaption_Matrix_prev'!D22</f>
        <v>87.588800000000006</v>
      </c>
      <c r="T24" s="14">
        <f>'1-1)Swaption_Matrix_prev'!E22</f>
        <v>81.9983</v>
      </c>
      <c r="U24" s="14">
        <f>'1-1)Swaption_Matrix_prev'!F22</f>
        <v>76.699200000000005</v>
      </c>
      <c r="V24" s="14">
        <f>'1-1)Swaption_Matrix_prev'!G22</f>
        <v>80.0565</v>
      </c>
      <c r="W24" s="14">
        <f>'1-1)Swaption_Matrix_prev'!H22</f>
        <v>79.2834</v>
      </c>
      <c r="X24" s="14">
        <f>'1-1)Swaption_Matrix_prev'!I22</f>
        <v>78.478399999999993</v>
      </c>
      <c r="Y24" s="14">
        <f>'1-1)Swaption_Matrix_prev'!J22</f>
        <v>79.810199999999995</v>
      </c>
      <c r="Z24" s="14">
        <f>'1-1)Swaption_Matrix_prev'!K22</f>
        <v>81.209999999999994</v>
      </c>
      <c r="AA24" s="14">
        <f>'1-1)Swaption_Matrix_prev'!L22</f>
        <v>82.413799999999995</v>
      </c>
      <c r="AB24" s="14">
        <f>'1-1)Swaption_Matrix_prev'!M22</f>
        <v>83.936999999999998</v>
      </c>
      <c r="AC24" s="14">
        <f>'1-1)Swaption_Matrix_prev'!N22</f>
        <v>79.001400000000004</v>
      </c>
    </row>
    <row r="25" spans="1:29" x14ac:dyDescent="0.3">
      <c r="A25" s="41"/>
      <c r="B25" t="str">
        <f>'1-1)Swaption_Matrix'!B23</f>
        <v>2Y</v>
      </c>
      <c r="C25" s="14">
        <f>'1-1)Swaption_Matrix'!C23</f>
        <v>71.901799999999994</v>
      </c>
      <c r="D25" s="14">
        <f>'1-1)Swaption_Matrix'!D23</f>
        <v>69.718400000000003</v>
      </c>
      <c r="E25" s="14">
        <f>'1-1)Swaption_Matrix'!E23</f>
        <v>66.839200000000005</v>
      </c>
      <c r="F25" s="14">
        <f>'1-1)Swaption_Matrix'!F23</f>
        <v>60.3521</v>
      </c>
      <c r="G25" s="14">
        <f>'1-1)Swaption_Matrix'!G23</f>
        <v>62.013199999999998</v>
      </c>
      <c r="H25" s="14">
        <f>'1-1)Swaption_Matrix'!H23</f>
        <v>59.987699999999997</v>
      </c>
      <c r="I25" s="14">
        <f>'1-1)Swaption_Matrix'!I23</f>
        <v>58.030299999999997</v>
      </c>
      <c r="J25" s="14">
        <f>'1-1)Swaption_Matrix'!J23</f>
        <v>58.5974</v>
      </c>
      <c r="K25" s="14">
        <f>'1-1)Swaption_Matrix'!K23</f>
        <v>59.380400000000002</v>
      </c>
      <c r="L25" s="14">
        <f>'1-1)Swaption_Matrix'!L23</f>
        <v>60.136800000000001</v>
      </c>
      <c r="M25" s="14">
        <f>'1-1)Swaption_Matrix'!M23</f>
        <v>61.729700000000001</v>
      </c>
      <c r="N25" s="14">
        <f>'1-1)Swaption_Matrix'!N23</f>
        <v>58.749499999999998</v>
      </c>
      <c r="Q25" t="str">
        <f>'1-1)Swaption_Matrix_prev'!B23</f>
        <v>2Y</v>
      </c>
      <c r="R25" s="14">
        <f>'1-1)Swaption_Matrix_prev'!C23</f>
        <v>79.827200000000005</v>
      </c>
      <c r="S25" s="14">
        <f>'1-1)Swaption_Matrix_prev'!D23</f>
        <v>76.777299999999997</v>
      </c>
      <c r="T25" s="14">
        <f>'1-1)Swaption_Matrix_prev'!E23</f>
        <v>77.319800000000001</v>
      </c>
      <c r="U25" s="14">
        <f>'1-1)Swaption_Matrix_prev'!F23</f>
        <v>74.159400000000005</v>
      </c>
      <c r="V25" s="14">
        <f>'1-1)Swaption_Matrix_prev'!G23</f>
        <v>75.508899999999997</v>
      </c>
      <c r="W25" s="14">
        <f>'1-1)Swaption_Matrix_prev'!H23</f>
        <v>74.796400000000006</v>
      </c>
      <c r="X25" s="14">
        <f>'1-1)Swaption_Matrix_prev'!I23</f>
        <v>74.227800000000002</v>
      </c>
      <c r="Y25" s="14">
        <f>'1-1)Swaption_Matrix_prev'!J23</f>
        <v>74.653099999999995</v>
      </c>
      <c r="Z25" s="14">
        <f>'1-1)Swaption_Matrix_prev'!K23</f>
        <v>74.884500000000003</v>
      </c>
      <c r="AA25" s="14">
        <f>'1-1)Swaption_Matrix_prev'!L23</f>
        <v>75.186300000000003</v>
      </c>
      <c r="AB25" s="14">
        <f>'1-1)Swaption_Matrix_prev'!M23</f>
        <v>75.332499999999996</v>
      </c>
      <c r="AC25" s="14">
        <f>'1-1)Swaption_Matrix_prev'!N23</f>
        <v>69.605400000000003</v>
      </c>
    </row>
    <row r="26" spans="1:29" x14ac:dyDescent="0.3">
      <c r="A26" s="41"/>
      <c r="B26" t="str">
        <f>'1-1)Swaption_Matrix'!B24</f>
        <v>3Y</v>
      </c>
      <c r="C26" s="14">
        <f>'1-1)Swaption_Matrix'!C24</f>
        <v>65.886399999999995</v>
      </c>
      <c r="D26" s="14">
        <f>'1-1)Swaption_Matrix'!D24</f>
        <v>64.006699999999995</v>
      </c>
      <c r="E26" s="14">
        <f>'1-1)Swaption_Matrix'!E24</f>
        <v>61.83</v>
      </c>
      <c r="F26" s="14">
        <f>'1-1)Swaption_Matrix'!F24</f>
        <v>59.599800000000002</v>
      </c>
      <c r="G26" s="14">
        <f>'1-1)Swaption_Matrix'!G24</f>
        <v>55.803699999999999</v>
      </c>
      <c r="H26" s="14">
        <f>'1-1)Swaption_Matrix'!H24</f>
        <v>55.691800000000001</v>
      </c>
      <c r="I26" s="14">
        <f>'1-1)Swaption_Matrix'!I24</f>
        <v>55.600200000000001</v>
      </c>
      <c r="J26" s="14">
        <f>'1-1)Swaption_Matrix'!J24</f>
        <v>56.1736</v>
      </c>
      <c r="K26" s="14">
        <f>'1-1)Swaption_Matrix'!K24</f>
        <v>56.703099999999999</v>
      </c>
      <c r="L26" s="14">
        <f>'1-1)Swaption_Matrix'!L24</f>
        <v>56.828099999999999</v>
      </c>
      <c r="M26" s="14">
        <f>'1-1)Swaption_Matrix'!M24</f>
        <v>58.442799999999998</v>
      </c>
      <c r="N26" s="14">
        <f>'1-1)Swaption_Matrix'!N24</f>
        <v>54.5899</v>
      </c>
      <c r="Q26" t="str">
        <f>'1-1)Swaption_Matrix_prev'!B24</f>
        <v>3Y</v>
      </c>
      <c r="R26" s="14">
        <f>'1-1)Swaption_Matrix_prev'!C24</f>
        <v>73.229600000000005</v>
      </c>
      <c r="S26" s="14">
        <f>'1-1)Swaption_Matrix_prev'!D24</f>
        <v>73.285300000000007</v>
      </c>
      <c r="T26" s="14">
        <f>'1-1)Swaption_Matrix_prev'!E24</f>
        <v>73.438400000000001</v>
      </c>
      <c r="U26" s="14">
        <f>'1-1)Swaption_Matrix_prev'!F24</f>
        <v>71.654200000000003</v>
      </c>
      <c r="V26" s="14">
        <f>'1-1)Swaption_Matrix_prev'!G24</f>
        <v>69.636600000000001</v>
      </c>
      <c r="W26" s="14">
        <f>'1-1)Swaption_Matrix_prev'!H24</f>
        <v>70.099999999999994</v>
      </c>
      <c r="X26" s="14">
        <f>'1-1)Swaption_Matrix_prev'!I24</f>
        <v>70.641300000000001</v>
      </c>
      <c r="Y26" s="14">
        <f>'1-1)Swaption_Matrix_prev'!J24</f>
        <v>70.555700000000002</v>
      </c>
      <c r="Z26" s="14">
        <f>'1-1)Swaption_Matrix_prev'!K24</f>
        <v>70.546199999999999</v>
      </c>
      <c r="AA26" s="14">
        <f>'1-1)Swaption_Matrix_prev'!L24</f>
        <v>70.298900000000003</v>
      </c>
      <c r="AB26" s="14">
        <f>'1-1)Swaption_Matrix_prev'!M24</f>
        <v>70.866299999999995</v>
      </c>
      <c r="AC26" s="14">
        <f>'1-1)Swaption_Matrix_prev'!N24</f>
        <v>64.174199999999999</v>
      </c>
    </row>
    <row r="27" spans="1:29" x14ac:dyDescent="0.3">
      <c r="A27" s="41"/>
      <c r="B27" t="str">
        <f>'1-1)Swaption_Matrix'!B25</f>
        <v>4Y</v>
      </c>
      <c r="C27" s="14">
        <f>'1-1)Swaption_Matrix'!C25</f>
        <v>59.921900000000001</v>
      </c>
      <c r="D27" s="14">
        <f>'1-1)Swaption_Matrix'!D25</f>
        <v>57.8123</v>
      </c>
      <c r="E27" s="14">
        <f>'1-1)Swaption_Matrix'!E25</f>
        <v>57.313299999999998</v>
      </c>
      <c r="F27" s="14">
        <f>'1-1)Swaption_Matrix'!F25</f>
        <v>55.128799999999998</v>
      </c>
      <c r="G27" s="14">
        <f>'1-1)Swaption_Matrix'!G25</f>
        <v>53.653399999999998</v>
      </c>
      <c r="H27" s="14">
        <f>'1-1)Swaption_Matrix'!H25</f>
        <v>53.972999999999999</v>
      </c>
      <c r="I27" s="14">
        <f>'1-1)Swaption_Matrix'!I25</f>
        <v>54.534799999999997</v>
      </c>
      <c r="J27" s="14">
        <f>'1-1)Swaption_Matrix'!J25</f>
        <v>55.140300000000003</v>
      </c>
      <c r="K27" s="14">
        <f>'1-1)Swaption_Matrix'!K25</f>
        <v>55.2911</v>
      </c>
      <c r="L27" s="14">
        <f>'1-1)Swaption_Matrix'!L25</f>
        <v>55.492899999999999</v>
      </c>
      <c r="M27" s="14">
        <f>'1-1)Swaption_Matrix'!M25</f>
        <v>55.596299999999999</v>
      </c>
      <c r="N27" s="14">
        <f>'1-1)Swaption_Matrix'!N25</f>
        <v>52.378500000000003</v>
      </c>
      <c r="Q27" t="str">
        <f>'1-1)Swaption_Matrix_prev'!B25</f>
        <v>4Y</v>
      </c>
      <c r="R27" s="14">
        <f>'1-1)Swaption_Matrix_prev'!C25</f>
        <v>68.508499999999998</v>
      </c>
      <c r="S27" s="14">
        <f>'1-1)Swaption_Matrix_prev'!D25</f>
        <v>68.621399999999994</v>
      </c>
      <c r="T27" s="14">
        <f>'1-1)Swaption_Matrix_prev'!E25</f>
        <v>68.844300000000004</v>
      </c>
      <c r="U27" s="14">
        <f>'1-1)Swaption_Matrix_prev'!F25</f>
        <v>67.097499999999997</v>
      </c>
      <c r="V27" s="14">
        <f>'1-1)Swaption_Matrix_prev'!G25</f>
        <v>65.998199999999997</v>
      </c>
      <c r="W27" s="14">
        <f>'1-1)Swaption_Matrix_prev'!H25</f>
        <v>65.756200000000007</v>
      </c>
      <c r="X27" s="14">
        <f>'1-1)Swaption_Matrix_prev'!I25</f>
        <v>65.269900000000007</v>
      </c>
      <c r="Y27" s="14">
        <f>'1-1)Swaption_Matrix_prev'!J25</f>
        <v>65.250299999999996</v>
      </c>
      <c r="Z27" s="14">
        <f>'1-1)Swaption_Matrix_prev'!K25</f>
        <v>64.978499999999997</v>
      </c>
      <c r="AA27" s="14">
        <f>'1-1)Swaption_Matrix_prev'!L25</f>
        <v>64.805700000000002</v>
      </c>
      <c r="AB27" s="14">
        <f>'1-1)Swaption_Matrix_prev'!M25</f>
        <v>64.812100000000001</v>
      </c>
      <c r="AC27" s="14">
        <f>'1-1)Swaption_Matrix_prev'!N25</f>
        <v>60.6736</v>
      </c>
    </row>
    <row r="28" spans="1:29" x14ac:dyDescent="0.3">
      <c r="A28" s="41"/>
      <c r="B28" t="str">
        <f>'1-1)Swaption_Matrix'!B26</f>
        <v>5Y</v>
      </c>
      <c r="C28" s="14">
        <f>'1-1)Swaption_Matrix'!C26</f>
        <v>54.449100000000001</v>
      </c>
      <c r="D28" s="14">
        <f>'1-1)Swaption_Matrix'!D26</f>
        <v>54.386000000000003</v>
      </c>
      <c r="E28" s="14">
        <f>'1-1)Swaption_Matrix'!E26</f>
        <v>55.303899999999999</v>
      </c>
      <c r="F28" s="14">
        <f>'1-1)Swaption_Matrix'!F26</f>
        <v>52.412300000000002</v>
      </c>
      <c r="G28" s="14">
        <f>'1-1)Swaption_Matrix'!G26</f>
        <v>52.361699999999999</v>
      </c>
      <c r="H28" s="14">
        <f>'1-1)Swaption_Matrix'!H26</f>
        <v>53.063699999999997</v>
      </c>
      <c r="I28" s="14">
        <f>'1-1)Swaption_Matrix'!I26</f>
        <v>53.6813</v>
      </c>
      <c r="J28" s="14">
        <f>'1-1)Swaption_Matrix'!J26</f>
        <v>53.696599999999997</v>
      </c>
      <c r="K28" s="14">
        <f>'1-1)Swaption_Matrix'!K26</f>
        <v>53.774799999999999</v>
      </c>
      <c r="L28" s="14">
        <f>'1-1)Swaption_Matrix'!L26</f>
        <v>53.898899999999998</v>
      </c>
      <c r="M28" s="14">
        <f>'1-1)Swaption_Matrix'!M26</f>
        <v>53.884900000000002</v>
      </c>
      <c r="N28" s="14">
        <f>'1-1)Swaption_Matrix'!N26</f>
        <v>50.668900000000001</v>
      </c>
      <c r="Q28" t="str">
        <f>'1-1)Swaption_Matrix_prev'!B26</f>
        <v>5Y</v>
      </c>
      <c r="R28" s="14">
        <f>'1-1)Swaption_Matrix_prev'!C26</f>
        <v>64.522599999999997</v>
      </c>
      <c r="S28" s="14">
        <f>'1-1)Swaption_Matrix_prev'!D26</f>
        <v>66.614699999999999</v>
      </c>
      <c r="T28" s="14">
        <f>'1-1)Swaption_Matrix_prev'!E26</f>
        <v>67.477900000000005</v>
      </c>
      <c r="U28" s="14">
        <f>'1-1)Swaption_Matrix_prev'!F26</f>
        <v>63.872100000000003</v>
      </c>
      <c r="V28" s="14">
        <f>'1-1)Swaption_Matrix_prev'!G26</f>
        <v>63.809100000000001</v>
      </c>
      <c r="W28" s="14">
        <f>'1-1)Swaption_Matrix_prev'!H26</f>
        <v>63.432600000000001</v>
      </c>
      <c r="X28" s="14">
        <f>'1-1)Swaption_Matrix_prev'!I26</f>
        <v>63.159300000000002</v>
      </c>
      <c r="Y28" s="14">
        <f>'1-1)Swaption_Matrix_prev'!J26</f>
        <v>62.858499999999999</v>
      </c>
      <c r="Z28" s="14">
        <f>'1-1)Swaption_Matrix_prev'!K26</f>
        <v>62.671199999999999</v>
      </c>
      <c r="AA28" s="14">
        <f>'1-1)Swaption_Matrix_prev'!L26</f>
        <v>62.568800000000003</v>
      </c>
      <c r="AB28" s="14">
        <f>'1-1)Swaption_Matrix_prev'!M26</f>
        <v>62.965400000000002</v>
      </c>
      <c r="AC28" s="14">
        <f>'1-1)Swaption_Matrix_prev'!N26</f>
        <v>58.993400000000001</v>
      </c>
    </row>
    <row r="29" spans="1:29" x14ac:dyDescent="0.3">
      <c r="A29" s="41"/>
      <c r="B29" t="str">
        <f>'1-1)Swaption_Matrix'!B27</f>
        <v>7Y</v>
      </c>
      <c r="C29" s="14">
        <f>'1-1)Swaption_Matrix'!C27</f>
        <v>53.2361</v>
      </c>
      <c r="D29" s="14">
        <f>'1-1)Swaption_Matrix'!D27</f>
        <v>51.839199999999998</v>
      </c>
      <c r="E29" s="14">
        <f>'1-1)Swaption_Matrix'!E27</f>
        <v>53.9011</v>
      </c>
      <c r="F29" s="14">
        <f>'1-1)Swaption_Matrix'!F27</f>
        <v>50.435499999999998</v>
      </c>
      <c r="G29" s="14">
        <f>'1-1)Swaption_Matrix'!G27</f>
        <v>52.148099999999999</v>
      </c>
      <c r="H29" s="14">
        <f>'1-1)Swaption_Matrix'!H27</f>
        <v>51.567799999999998</v>
      </c>
      <c r="I29" s="14">
        <f>'1-1)Swaption_Matrix'!I27</f>
        <v>51.1143</v>
      </c>
      <c r="J29" s="14">
        <f>'1-1)Swaption_Matrix'!J27</f>
        <v>51.295099999999998</v>
      </c>
      <c r="K29" s="14">
        <f>'1-1)Swaption_Matrix'!K27</f>
        <v>50.512700000000002</v>
      </c>
      <c r="L29" s="14">
        <f>'1-1)Swaption_Matrix'!L27</f>
        <v>49.910400000000003</v>
      </c>
      <c r="M29" s="14">
        <f>'1-1)Swaption_Matrix'!M27</f>
        <v>50.555599999999998</v>
      </c>
      <c r="N29" s="14">
        <f>'1-1)Swaption_Matrix'!N27</f>
        <v>47.845199999999998</v>
      </c>
      <c r="Q29" t="str">
        <f>'1-1)Swaption_Matrix_prev'!B27</f>
        <v>7Y</v>
      </c>
      <c r="R29" s="14">
        <f>'1-1)Swaption_Matrix_prev'!C27</f>
        <v>62.555799999999998</v>
      </c>
      <c r="S29" s="14">
        <f>'1-1)Swaption_Matrix_prev'!D27</f>
        <v>61.157400000000003</v>
      </c>
      <c r="T29" s="14">
        <f>'1-1)Swaption_Matrix_prev'!E27</f>
        <v>64.291399999999996</v>
      </c>
      <c r="U29" s="14">
        <f>'1-1)Swaption_Matrix_prev'!F27</f>
        <v>59.518999999999998</v>
      </c>
      <c r="V29" s="14">
        <f>'1-1)Swaption_Matrix_prev'!G27</f>
        <v>61.469099999999997</v>
      </c>
      <c r="W29" s="14">
        <f>'1-1)Swaption_Matrix_prev'!H27</f>
        <v>60.9574</v>
      </c>
      <c r="X29" s="14">
        <f>'1-1)Swaption_Matrix_prev'!I27</f>
        <v>60.625100000000003</v>
      </c>
      <c r="Y29" s="14">
        <f>'1-1)Swaption_Matrix_prev'!J27</f>
        <v>61.01</v>
      </c>
      <c r="Z29" s="14">
        <f>'1-1)Swaption_Matrix_prev'!K27</f>
        <v>59.990900000000003</v>
      </c>
      <c r="AA29" s="14">
        <f>'1-1)Swaption_Matrix_prev'!L27</f>
        <v>59.2029</v>
      </c>
      <c r="AB29" s="14">
        <f>'1-1)Swaption_Matrix_prev'!M27</f>
        <v>61.503500000000003</v>
      </c>
      <c r="AC29" s="14">
        <f>'1-1)Swaption_Matrix_prev'!N27</f>
        <v>57.096600000000002</v>
      </c>
    </row>
    <row r="30" spans="1:29" x14ac:dyDescent="0.3">
      <c r="A30" s="41"/>
      <c r="B30" t="str">
        <f>'1-1)Swaption_Matrix'!B28</f>
        <v>10Y</v>
      </c>
      <c r="C30" s="14">
        <f>'1-1)Swaption_Matrix'!C28</f>
        <v>49.607500000000002</v>
      </c>
      <c r="D30" s="14">
        <f>'1-1)Swaption_Matrix'!D28</f>
        <v>48.854100000000003</v>
      </c>
      <c r="E30" s="14">
        <f>'1-1)Swaption_Matrix'!E28</f>
        <v>49.588999999999999</v>
      </c>
      <c r="F30" s="14">
        <f>'1-1)Swaption_Matrix'!F28</f>
        <v>50.115200000000002</v>
      </c>
      <c r="G30" s="14">
        <f>'1-1)Swaption_Matrix'!G28</f>
        <v>54.069699999999997</v>
      </c>
      <c r="H30" s="14">
        <f>'1-1)Swaption_Matrix'!H28</f>
        <v>50.881399999999999</v>
      </c>
      <c r="I30" s="14">
        <f>'1-1)Swaption_Matrix'!I28</f>
        <v>48.252299999999998</v>
      </c>
      <c r="J30" s="14">
        <f>'1-1)Swaption_Matrix'!J28</f>
        <v>47.022100000000002</v>
      </c>
      <c r="K30" s="14">
        <f>'1-1)Swaption_Matrix'!K28</f>
        <v>46.0047</v>
      </c>
      <c r="L30" s="14">
        <f>'1-1)Swaption_Matrix'!L28</f>
        <v>45.125300000000003</v>
      </c>
      <c r="M30" s="14">
        <f>'1-1)Swaption_Matrix'!M28</f>
        <v>45.0304</v>
      </c>
      <c r="N30" s="14">
        <f>'1-1)Swaption_Matrix'!N28</f>
        <v>42.831800000000001</v>
      </c>
      <c r="Q30" t="str">
        <f>'1-1)Swaption_Matrix_prev'!B28</f>
        <v>10Y</v>
      </c>
      <c r="R30" s="14">
        <f>'1-1)Swaption_Matrix_prev'!C28</f>
        <v>57.139000000000003</v>
      </c>
      <c r="S30" s="14">
        <f>'1-1)Swaption_Matrix_prev'!D28</f>
        <v>55.431600000000003</v>
      </c>
      <c r="T30" s="14">
        <f>'1-1)Swaption_Matrix_prev'!E28</f>
        <v>59.311799999999998</v>
      </c>
      <c r="U30" s="14">
        <f>'1-1)Swaption_Matrix_prev'!F28</f>
        <v>58.5152</v>
      </c>
      <c r="V30" s="14">
        <f>'1-1)Swaption_Matrix_prev'!G28</f>
        <v>64.159000000000006</v>
      </c>
      <c r="W30" s="14">
        <f>'1-1)Swaption_Matrix_prev'!H28</f>
        <v>60.319299999999998</v>
      </c>
      <c r="X30" s="14">
        <f>'1-1)Swaption_Matrix_prev'!I28</f>
        <v>57.203899999999997</v>
      </c>
      <c r="Y30" s="14">
        <f>'1-1)Swaption_Matrix_prev'!J28</f>
        <v>55.372799999999998</v>
      </c>
      <c r="Z30" s="14">
        <f>'1-1)Swaption_Matrix_prev'!K28</f>
        <v>53.8414</v>
      </c>
      <c r="AA30" s="14">
        <f>'1-1)Swaption_Matrix_prev'!L28</f>
        <v>52.506</v>
      </c>
      <c r="AB30" s="14">
        <f>'1-1)Swaption_Matrix_prev'!M28</f>
        <v>55.513500000000001</v>
      </c>
      <c r="AC30" s="14">
        <f>'1-1)Swaption_Matrix_prev'!N28</f>
        <v>49.002699999999997</v>
      </c>
    </row>
    <row r="31" spans="1:29" x14ac:dyDescent="0.3">
      <c r="A31" s="41"/>
      <c r="B31" t="str">
        <f>'1-1)Swaption_Matrix'!B29</f>
        <v>15Y</v>
      </c>
      <c r="C31" s="14">
        <f>'1-1)Swaption_Matrix'!C29</f>
        <v>35.693300000000001</v>
      </c>
      <c r="D31" s="14">
        <f>'1-1)Swaption_Matrix'!D29</f>
        <v>35.165500000000002</v>
      </c>
      <c r="E31" s="14">
        <f>'1-1)Swaption_Matrix'!E29</f>
        <v>36.578499999999998</v>
      </c>
      <c r="F31" s="14">
        <f>'1-1)Swaption_Matrix'!F29</f>
        <v>37.434899999999999</v>
      </c>
      <c r="G31" s="14">
        <f>'1-1)Swaption_Matrix'!G29</f>
        <v>40.611800000000002</v>
      </c>
      <c r="H31" s="14">
        <f>'1-1)Swaption_Matrix'!H29</f>
        <v>39.680799999999998</v>
      </c>
      <c r="I31" s="14">
        <f>'1-1)Swaption_Matrix'!I29</f>
        <v>38.726399999999998</v>
      </c>
      <c r="J31" s="14">
        <f>'1-1)Swaption_Matrix'!J29</f>
        <v>38.568199999999997</v>
      </c>
      <c r="K31" s="14">
        <f>'1-1)Swaption_Matrix'!K29</f>
        <v>38.391500000000001</v>
      </c>
      <c r="L31" s="14">
        <f>'1-1)Swaption_Matrix'!L29</f>
        <v>38.201099999999997</v>
      </c>
      <c r="M31" s="14">
        <f>'1-1)Swaption_Matrix'!M29</f>
        <v>39.7973</v>
      </c>
      <c r="N31" s="14">
        <f>'1-1)Swaption_Matrix'!N29</f>
        <v>38.762</v>
      </c>
      <c r="Q31" t="str">
        <f>'1-1)Swaption_Matrix_prev'!B29</f>
        <v>15Y</v>
      </c>
      <c r="R31" s="14">
        <f>'1-1)Swaption_Matrix_prev'!C29</f>
        <v>39.088099999999997</v>
      </c>
      <c r="S31" s="14">
        <f>'1-1)Swaption_Matrix_prev'!D29</f>
        <v>37.9739</v>
      </c>
      <c r="T31" s="14">
        <f>'1-1)Swaption_Matrix_prev'!E29</f>
        <v>41.2423</v>
      </c>
      <c r="U31" s="14">
        <f>'1-1)Swaption_Matrix_prev'!F29</f>
        <v>41.066200000000002</v>
      </c>
      <c r="V31" s="14">
        <f>'1-1)Swaption_Matrix_prev'!G29</f>
        <v>45.0854</v>
      </c>
      <c r="W31" s="14">
        <f>'1-1)Swaption_Matrix_prev'!H29</f>
        <v>44.318100000000001</v>
      </c>
      <c r="X31" s="14">
        <f>'1-1)Swaption_Matrix_prev'!I29</f>
        <v>43.497599999999998</v>
      </c>
      <c r="Y31" s="14">
        <f>'1-1)Swaption_Matrix_prev'!J29</f>
        <v>43.221499999999999</v>
      </c>
      <c r="Z31" s="14">
        <f>'1-1)Swaption_Matrix_prev'!K29</f>
        <v>42.920299999999997</v>
      </c>
      <c r="AA31" s="14">
        <f>'1-1)Swaption_Matrix_prev'!L29</f>
        <v>42.598500000000001</v>
      </c>
      <c r="AB31" s="14">
        <f>'1-1)Swaption_Matrix_prev'!M29</f>
        <v>47.307899999999997</v>
      </c>
      <c r="AC31" s="14">
        <f>'1-1)Swaption_Matrix_prev'!N29</f>
        <v>43.142299999999999</v>
      </c>
    </row>
    <row r="32" spans="1:29" x14ac:dyDescent="0.3">
      <c r="A32" s="41"/>
      <c r="B32" t="str">
        <f>'1-1)Swaption_Matrix'!B30</f>
        <v>20Y</v>
      </c>
      <c r="C32" s="14">
        <f>'1-1)Swaption_Matrix'!C30</f>
        <v>35.317900000000002</v>
      </c>
      <c r="D32" s="14">
        <f>'1-1)Swaption_Matrix'!D30</f>
        <v>34.824599999999997</v>
      </c>
      <c r="E32" s="14">
        <f>'1-1)Swaption_Matrix'!E30</f>
        <v>36.206000000000003</v>
      </c>
      <c r="F32" s="14">
        <f>'1-1)Swaption_Matrix'!F30</f>
        <v>37.024799999999999</v>
      </c>
      <c r="G32" s="14">
        <f>'1-1)Swaption_Matrix'!G30</f>
        <v>40.088099999999997</v>
      </c>
      <c r="H32" s="14">
        <f>'1-1)Swaption_Matrix'!H30</f>
        <v>39.195900000000002</v>
      </c>
      <c r="I32" s="14">
        <f>'1-1)Swaption_Matrix'!I30</f>
        <v>38.2804</v>
      </c>
      <c r="J32" s="14">
        <f>'1-1)Swaption_Matrix'!J30</f>
        <v>38.122999999999998</v>
      </c>
      <c r="K32" s="14">
        <f>'1-1)Swaption_Matrix'!K30</f>
        <v>37.9529</v>
      </c>
      <c r="L32" s="14">
        <f>'1-1)Swaption_Matrix'!L30</f>
        <v>37.770499999999998</v>
      </c>
      <c r="M32" s="14">
        <f>'1-1)Swaption_Matrix'!M30</f>
        <v>39.311500000000002</v>
      </c>
      <c r="N32" s="14">
        <f>'1-1)Swaption_Matrix'!N30</f>
        <v>38.312100000000001</v>
      </c>
      <c r="Q32" t="str">
        <f>'1-1)Swaption_Matrix_prev'!B30</f>
        <v>20Y</v>
      </c>
      <c r="R32" s="14">
        <f>'1-1)Swaption_Matrix_prev'!C30</f>
        <v>38.517899999999997</v>
      </c>
      <c r="S32" s="14">
        <f>'1-1)Swaption_Matrix_prev'!D30</f>
        <v>37.4604</v>
      </c>
      <c r="T32" s="14">
        <f>'1-1)Swaption_Matrix_prev'!E30</f>
        <v>40.582099999999997</v>
      </c>
      <c r="U32" s="14">
        <f>'1-1)Swaption_Matrix_prev'!F30</f>
        <v>40.402799999999999</v>
      </c>
      <c r="V32" s="14">
        <f>'1-1)Swaption_Matrix_prev'!G30</f>
        <v>44.198599999999999</v>
      </c>
      <c r="W32" s="14">
        <f>'1-1)Swaption_Matrix_prev'!H30</f>
        <v>43.480400000000003</v>
      </c>
      <c r="X32" s="14">
        <f>'1-1)Swaption_Matrix_prev'!I30</f>
        <v>42.709899999999998</v>
      </c>
      <c r="Y32" s="14">
        <f>'1-1)Swaption_Matrix_prev'!J30</f>
        <v>42.444099999999999</v>
      </c>
      <c r="Z32" s="14">
        <f>'1-1)Swaption_Matrix_prev'!K30</f>
        <v>42.159500000000001</v>
      </c>
      <c r="AA32" s="14">
        <f>'1-1)Swaption_Matrix_prev'!L30</f>
        <v>41.856900000000003</v>
      </c>
      <c r="AB32" s="14">
        <f>'1-1)Swaption_Matrix_prev'!M30</f>
        <v>46.28</v>
      </c>
      <c r="AC32" s="14">
        <f>'1-1)Swaption_Matrix_prev'!N30</f>
        <v>42.369199999999999</v>
      </c>
    </row>
    <row r="33" spans="1:29" x14ac:dyDescent="0.3">
      <c r="A33" s="41"/>
      <c r="C33" s="33"/>
      <c r="D33" s="33"/>
      <c r="E33" s="33"/>
      <c r="F33" s="33"/>
      <c r="G33" s="33"/>
      <c r="H33" s="33"/>
      <c r="I33" s="33"/>
      <c r="J33" s="33"/>
      <c r="K33" s="33"/>
    </row>
    <row r="34" spans="1:29" x14ac:dyDescent="0.3">
      <c r="A34" s="13" t="s">
        <v>2208</v>
      </c>
      <c r="B34" s="53">
        <f>B19</f>
        <v>44645</v>
      </c>
      <c r="C34" t="str">
        <f>'1-1)Swaption_Matrix'!Q17</f>
        <v>1Y</v>
      </c>
      <c r="D34" t="str">
        <f>'1-1)Swaption_Matrix'!R17</f>
        <v>2Y</v>
      </c>
      <c r="E34" t="str">
        <f>'1-1)Swaption_Matrix'!S17</f>
        <v>3Y</v>
      </c>
      <c r="F34" t="str">
        <f>'1-1)Swaption_Matrix'!T17</f>
        <v>4Y</v>
      </c>
      <c r="G34" t="str">
        <f>'1-1)Swaption_Matrix'!U17</f>
        <v>5Y</v>
      </c>
      <c r="H34" t="str">
        <f>'1-1)Swaption_Matrix'!V17</f>
        <v>6Y</v>
      </c>
      <c r="I34" t="str">
        <f>'1-1)Swaption_Matrix'!W17</f>
        <v>7Y</v>
      </c>
      <c r="J34" t="str">
        <f>'1-1)Swaption_Matrix'!X17</f>
        <v>8Y</v>
      </c>
      <c r="K34" t="str">
        <f>'1-1)Swaption_Matrix'!Y17</f>
        <v>9Y</v>
      </c>
      <c r="L34" t="str">
        <f>'1-1)Swaption_Matrix'!Z17</f>
        <v>10Y</v>
      </c>
      <c r="M34" s="13" t="str">
        <f>'1-1)Swaption_Matrix'!AA17</f>
        <v>15Y</v>
      </c>
      <c r="N34" t="str">
        <f>'1-1)Swaption_Matrix'!AB17</f>
        <v>20Y</v>
      </c>
      <c r="P34" s="13" t="s">
        <v>2208</v>
      </c>
      <c r="Q34" s="13">
        <f>Q19</f>
        <v>44676</v>
      </c>
      <c r="R34" t="str">
        <f>'1-1)Swaption_Matrix_prev'!Q17</f>
        <v>1Y</v>
      </c>
      <c r="S34" t="str">
        <f>'1-1)Swaption_Matrix_prev'!R17</f>
        <v>2Y</v>
      </c>
      <c r="T34" t="str">
        <f>'1-1)Swaption_Matrix_prev'!S17</f>
        <v>3Y</v>
      </c>
      <c r="U34" t="str">
        <f>'1-1)Swaption_Matrix_prev'!T17</f>
        <v>4Y</v>
      </c>
      <c r="V34" t="str">
        <f>'1-1)Swaption_Matrix_prev'!U17</f>
        <v>5Y</v>
      </c>
      <c r="W34" t="str">
        <f>'1-1)Swaption_Matrix_prev'!V17</f>
        <v>6Y</v>
      </c>
      <c r="X34" t="str">
        <f>'1-1)Swaption_Matrix_prev'!W17</f>
        <v>7Y</v>
      </c>
      <c r="Y34" t="str">
        <f>'1-1)Swaption_Matrix_prev'!X17</f>
        <v>8Y</v>
      </c>
      <c r="Z34" t="str">
        <f>'1-1)Swaption_Matrix_prev'!Y17</f>
        <v>9Y</v>
      </c>
      <c r="AA34" t="str">
        <f>'1-1)Swaption_Matrix_prev'!Z17</f>
        <v>10Y</v>
      </c>
      <c r="AB34" t="str">
        <f>'1-1)Swaption_Matrix_prev'!AA17</f>
        <v>15Y</v>
      </c>
      <c r="AC34" t="str">
        <f>'1-1)Swaption_Matrix_prev'!AB17</f>
        <v>20Y</v>
      </c>
    </row>
    <row r="35" spans="1:29" x14ac:dyDescent="0.3">
      <c r="A35" s="13" t="s">
        <v>2205</v>
      </c>
      <c r="B35" t="str">
        <f>'1-1)Swaption_Matrix'!P18</f>
        <v>1M</v>
      </c>
      <c r="C35" s="14">
        <f>'1-1)Swaption_Matrix'!Q18</f>
        <v>32.869999999999997</v>
      </c>
      <c r="D35" s="14">
        <f>'1-1)Swaption_Matrix'!R18</f>
        <v>25.36</v>
      </c>
      <c r="E35" s="14">
        <f>'1-1)Swaption_Matrix'!S18</f>
        <v>28.14</v>
      </c>
      <c r="F35" s="14">
        <f>'1-1)Swaption_Matrix'!T18</f>
        <v>30.76</v>
      </c>
      <c r="G35" s="14">
        <f>'1-1)Swaption_Matrix'!U18</f>
        <v>31.74</v>
      </c>
      <c r="H35" s="14">
        <f>'1-1)Swaption_Matrix'!V18</f>
        <v>32.503999999999998</v>
      </c>
      <c r="I35" s="14">
        <f>'1-1)Swaption_Matrix'!W18</f>
        <v>31.6</v>
      </c>
      <c r="J35" s="14">
        <f>'1-1)Swaption_Matrix'!X18</f>
        <v>30.841000000000001</v>
      </c>
      <c r="K35" s="14">
        <f>'1-1)Swaption_Matrix'!Y18</f>
        <v>30.416</v>
      </c>
      <c r="L35" s="14">
        <f>'1-1)Swaption_Matrix'!Z18</f>
        <v>30.36</v>
      </c>
      <c r="M35" s="14">
        <f>'1-1)Swaption_Matrix'!AA18</f>
        <v>31.9</v>
      </c>
      <c r="N35" s="14">
        <f>'1-1)Swaption_Matrix'!AB18</f>
        <v>36.433999999999997</v>
      </c>
      <c r="P35" s="13" t="s">
        <v>2205</v>
      </c>
      <c r="Q35" t="str">
        <f>'1-1)Swaption_Matrix_prev'!P18</f>
        <v>1M</v>
      </c>
      <c r="R35" s="14">
        <f>'1-1)Swaption_Matrix_prev'!Q18</f>
        <v>40.46</v>
      </c>
      <c r="S35" s="14">
        <f>'1-1)Swaption_Matrix_prev'!R18</f>
        <v>29.9</v>
      </c>
      <c r="T35" s="14">
        <f>'1-1)Swaption_Matrix_prev'!S18</f>
        <v>32.24</v>
      </c>
      <c r="U35" s="14">
        <f>'1-1)Swaption_Matrix_prev'!T18</f>
        <v>34.630000000000003</v>
      </c>
      <c r="V35" s="14">
        <f>'1-1)Swaption_Matrix_prev'!U18</f>
        <v>35.42</v>
      </c>
      <c r="W35" s="14">
        <f>'1-1)Swaption_Matrix_prev'!V18</f>
        <v>36.277999999999999</v>
      </c>
      <c r="X35" s="14">
        <f>'1-1)Swaption_Matrix_prev'!W18</f>
        <v>35.369999999999997</v>
      </c>
      <c r="Y35" s="14">
        <f>'1-1)Swaption_Matrix_prev'!X18</f>
        <v>34.606999999999999</v>
      </c>
      <c r="Z35" s="14">
        <f>'1-1)Swaption_Matrix_prev'!Y18</f>
        <v>34.204000000000001</v>
      </c>
      <c r="AA35" s="14">
        <f>'1-1)Swaption_Matrix_prev'!Z18</f>
        <v>34.25</v>
      </c>
      <c r="AB35" s="14">
        <f>'1-1)Swaption_Matrix_prev'!AA18</f>
        <v>36.89</v>
      </c>
      <c r="AC35" s="14">
        <f>'1-1)Swaption_Matrix_prev'!AB18</f>
        <v>43.384999999999998</v>
      </c>
    </row>
    <row r="36" spans="1:29" x14ac:dyDescent="0.3">
      <c r="A36" s="13"/>
      <c r="B36" t="str">
        <f>'1-1)Swaption_Matrix'!P19</f>
        <v>3M</v>
      </c>
      <c r="C36" s="14">
        <f>'1-1)Swaption_Matrix'!Q19</f>
        <v>30.809000000000001</v>
      </c>
      <c r="D36" s="14">
        <f>'1-1)Swaption_Matrix'!R19</f>
        <v>27.905000000000001</v>
      </c>
      <c r="E36" s="14">
        <f>'1-1)Swaption_Matrix'!S19</f>
        <v>28.512</v>
      </c>
      <c r="F36" s="14">
        <f>'1-1)Swaption_Matrix'!T19</f>
        <v>28.66</v>
      </c>
      <c r="G36" s="14">
        <f>'1-1)Swaption_Matrix'!U19</f>
        <v>29.238</v>
      </c>
      <c r="H36" s="14">
        <f>'1-1)Swaption_Matrix'!V19</f>
        <v>29.567</v>
      </c>
      <c r="I36" s="14">
        <f>'1-1)Swaption_Matrix'!W19</f>
        <v>29.420999999999999</v>
      </c>
      <c r="J36" s="14">
        <f>'1-1)Swaption_Matrix'!X19</f>
        <v>29.32</v>
      </c>
      <c r="K36" s="14">
        <f>'1-1)Swaption_Matrix'!Y19</f>
        <v>29.338000000000001</v>
      </c>
      <c r="L36" s="14">
        <f>'1-1)Swaption_Matrix'!Z19</f>
        <v>29.561</v>
      </c>
      <c r="M36" s="14">
        <f>'1-1)Swaption_Matrix'!AA19</f>
        <v>31.100999999999999</v>
      </c>
      <c r="N36" s="14">
        <f>'1-1)Swaption_Matrix'!AB19</f>
        <v>35.546999999999997</v>
      </c>
      <c r="Q36" t="str">
        <f>'1-1)Swaption_Matrix_prev'!P19</f>
        <v>3M</v>
      </c>
      <c r="R36" s="14">
        <f>'1-1)Swaption_Matrix_prev'!Q19</f>
        <v>36.457000000000001</v>
      </c>
      <c r="S36" s="14">
        <f>'1-1)Swaption_Matrix_prev'!R19</f>
        <v>32.536000000000001</v>
      </c>
      <c r="T36" s="14">
        <f>'1-1)Swaption_Matrix_prev'!S19</f>
        <v>32.232999999999997</v>
      </c>
      <c r="U36" s="14">
        <f>'1-1)Swaption_Matrix_prev'!T19</f>
        <v>31.71</v>
      </c>
      <c r="V36" s="14">
        <f>'1-1)Swaption_Matrix_prev'!U19</f>
        <v>32.018999999999998</v>
      </c>
      <c r="W36" s="14">
        <f>'1-1)Swaption_Matrix_prev'!V19</f>
        <v>32.686999999999998</v>
      </c>
      <c r="X36" s="14">
        <f>'1-1)Swaption_Matrix_prev'!W19</f>
        <v>32.963000000000001</v>
      </c>
      <c r="Y36" s="14">
        <f>'1-1)Swaption_Matrix_prev'!X19</f>
        <v>33.215000000000003</v>
      </c>
      <c r="Z36" s="14">
        <f>'1-1)Swaption_Matrix_prev'!Y19</f>
        <v>33.511000000000003</v>
      </c>
      <c r="AA36" s="14">
        <f>'1-1)Swaption_Matrix_prev'!Z19</f>
        <v>33.991</v>
      </c>
      <c r="AB36" s="14">
        <f>'1-1)Swaption_Matrix_prev'!AA19</f>
        <v>36.755000000000003</v>
      </c>
      <c r="AC36" s="14">
        <f>'1-1)Swaption_Matrix_prev'!AB19</f>
        <v>43.247</v>
      </c>
    </row>
    <row r="37" spans="1:29" x14ac:dyDescent="0.3">
      <c r="A37" s="13"/>
      <c r="B37" t="str">
        <f>'1-1)Swaption_Matrix'!P20</f>
        <v>6M</v>
      </c>
      <c r="C37" s="14">
        <f>'1-1)Swaption_Matrix'!Q20</f>
        <v>29.123000000000001</v>
      </c>
      <c r="D37" s="14">
        <f>'1-1)Swaption_Matrix'!R20</f>
        <v>26.800999999999998</v>
      </c>
      <c r="E37" s="14">
        <f>'1-1)Swaption_Matrix'!S20</f>
        <v>27.085000000000001</v>
      </c>
      <c r="F37" s="14">
        <f>'1-1)Swaption_Matrix'!T20</f>
        <v>26.3</v>
      </c>
      <c r="G37" s="14">
        <f>'1-1)Swaption_Matrix'!U20</f>
        <v>26.632999999999999</v>
      </c>
      <c r="H37" s="14">
        <f>'1-1)Swaption_Matrix'!V20</f>
        <v>27.286000000000001</v>
      </c>
      <c r="I37" s="14">
        <f>'1-1)Swaption_Matrix'!W20</f>
        <v>27.504000000000001</v>
      </c>
      <c r="J37" s="14">
        <f>'1-1)Swaption_Matrix'!X20</f>
        <v>28.384</v>
      </c>
      <c r="K37" s="14">
        <f>'1-1)Swaption_Matrix'!Y20</f>
        <v>28.38</v>
      </c>
      <c r="L37" s="14">
        <f>'1-1)Swaption_Matrix'!Z20</f>
        <v>28.533000000000001</v>
      </c>
      <c r="M37" s="14">
        <f>'1-1)Swaption_Matrix'!AA20</f>
        <v>30.231000000000002</v>
      </c>
      <c r="N37" s="14">
        <f>'1-1)Swaption_Matrix'!AB20</f>
        <v>34.945</v>
      </c>
      <c r="Q37" t="str">
        <f>'1-1)Swaption_Matrix_prev'!P20</f>
        <v>6M</v>
      </c>
      <c r="R37" s="14">
        <f>'1-1)Swaption_Matrix_prev'!Q20</f>
        <v>32.659999999999997</v>
      </c>
      <c r="S37" s="14">
        <f>'1-1)Swaption_Matrix_prev'!R20</f>
        <v>29.465</v>
      </c>
      <c r="T37" s="14">
        <f>'1-1)Swaption_Matrix_prev'!S20</f>
        <v>29.645</v>
      </c>
      <c r="U37" s="14">
        <f>'1-1)Swaption_Matrix_prev'!T20</f>
        <v>28.96</v>
      </c>
      <c r="V37" s="14">
        <f>'1-1)Swaption_Matrix_prev'!U20</f>
        <v>29.349</v>
      </c>
      <c r="W37" s="14">
        <f>'1-1)Swaption_Matrix_prev'!V20</f>
        <v>30.038</v>
      </c>
      <c r="X37" s="14">
        <f>'1-1)Swaption_Matrix_prev'!W20</f>
        <v>30.189</v>
      </c>
      <c r="Y37" s="14">
        <f>'1-1)Swaption_Matrix_prev'!X20</f>
        <v>31.09</v>
      </c>
      <c r="Z37" s="14">
        <f>'1-1)Swaption_Matrix_prev'!Y20</f>
        <v>31.082999999999998</v>
      </c>
      <c r="AA37" s="14">
        <f>'1-1)Swaption_Matrix_prev'!Z20</f>
        <v>31.364999999999998</v>
      </c>
      <c r="AB37" s="14">
        <f>'1-1)Swaption_Matrix_prev'!AA20</f>
        <v>34.231999999999999</v>
      </c>
      <c r="AC37" s="14">
        <f>'1-1)Swaption_Matrix_prev'!AB20</f>
        <v>41.055</v>
      </c>
    </row>
    <row r="38" spans="1:29" x14ac:dyDescent="0.3">
      <c r="A38" s="13"/>
      <c r="B38" t="str">
        <f>'1-1)Swaption_Matrix'!P21</f>
        <v>9M</v>
      </c>
      <c r="C38" s="14">
        <f>'1-1)Swaption_Matrix'!Q21</f>
        <v>27.85</v>
      </c>
      <c r="D38" s="14">
        <f>'1-1)Swaption_Matrix'!R21</f>
        <v>26.670999999999999</v>
      </c>
      <c r="E38" s="14">
        <f>'1-1)Swaption_Matrix'!S21</f>
        <v>26.401</v>
      </c>
      <c r="F38" s="14">
        <f>'1-1)Swaption_Matrix'!T21</f>
        <v>25.228999999999999</v>
      </c>
      <c r="G38" s="14">
        <f>'1-1)Swaption_Matrix'!U21</f>
        <v>25.344999999999999</v>
      </c>
      <c r="H38" s="14">
        <f>'1-1)Swaption_Matrix'!V21</f>
        <v>25.370999999999999</v>
      </c>
      <c r="I38" s="14">
        <f>'1-1)Swaption_Matrix'!W21</f>
        <v>26.14</v>
      </c>
      <c r="J38" s="14">
        <f>'1-1)Swaption_Matrix'!X21</f>
        <v>26.128</v>
      </c>
      <c r="K38" s="14">
        <f>'1-1)Swaption_Matrix'!Y21</f>
        <v>26.475999999999999</v>
      </c>
      <c r="L38" s="14">
        <f>'1-1)Swaption_Matrix'!Z21</f>
        <v>26.95</v>
      </c>
      <c r="M38" s="14">
        <f>'1-1)Swaption_Matrix'!AA21</f>
        <v>28.646000000000001</v>
      </c>
      <c r="N38" s="14">
        <f>'1-1)Swaption_Matrix'!AB21</f>
        <v>33.406999999999996</v>
      </c>
      <c r="Q38" t="str">
        <f>'1-1)Swaption_Matrix_prev'!P21</f>
        <v>9M</v>
      </c>
      <c r="R38" s="14">
        <f>'1-1)Swaption_Matrix_prev'!Q21</f>
        <v>29.614999999999998</v>
      </c>
      <c r="S38" s="14">
        <f>'1-1)Swaption_Matrix_prev'!R21</f>
        <v>27.875</v>
      </c>
      <c r="T38" s="14">
        <f>'1-1)Swaption_Matrix_prev'!S21</f>
        <v>27.64</v>
      </c>
      <c r="U38" s="14">
        <f>'1-1)Swaption_Matrix_prev'!T21</f>
        <v>26.713000000000001</v>
      </c>
      <c r="V38" s="14">
        <f>'1-1)Swaption_Matrix_prev'!U21</f>
        <v>27.044</v>
      </c>
      <c r="W38" s="14">
        <f>'1-1)Swaption_Matrix_prev'!V21</f>
        <v>27.266999999999999</v>
      </c>
      <c r="X38" s="14">
        <f>'1-1)Swaption_Matrix_prev'!W21</f>
        <v>28.259</v>
      </c>
      <c r="Y38" s="14">
        <f>'1-1)Swaption_Matrix_prev'!X21</f>
        <v>28.376000000000001</v>
      </c>
      <c r="Z38" s="14">
        <f>'1-1)Swaption_Matrix_prev'!Y21</f>
        <v>28.887</v>
      </c>
      <c r="AA38" s="14">
        <f>'1-1)Swaption_Matrix_prev'!Z21</f>
        <v>29.576000000000001</v>
      </c>
      <c r="AB38" s="14">
        <f>'1-1)Swaption_Matrix_prev'!AA21</f>
        <v>32.305</v>
      </c>
      <c r="AC38" s="14">
        <f>'1-1)Swaption_Matrix_prev'!AB21</f>
        <v>38.908000000000001</v>
      </c>
    </row>
    <row r="39" spans="1:29" x14ac:dyDescent="0.3">
      <c r="A39" s="13"/>
      <c r="B39" t="str">
        <f>'1-1)Swaption_Matrix'!P22</f>
        <v>1Y</v>
      </c>
      <c r="C39" s="14">
        <f>'1-1)Swaption_Matrix'!Q22</f>
        <v>27.364000000000001</v>
      </c>
      <c r="D39" s="14">
        <f>'1-1)Swaption_Matrix'!R22</f>
        <v>27.079000000000001</v>
      </c>
      <c r="E39" s="14">
        <f>'1-1)Swaption_Matrix'!S22</f>
        <v>26.576000000000001</v>
      </c>
      <c r="F39" s="14">
        <f>'1-1)Swaption_Matrix'!T22</f>
        <v>24.41</v>
      </c>
      <c r="G39" s="14">
        <f>'1-1)Swaption_Matrix'!U22</f>
        <v>24.120999999999999</v>
      </c>
      <c r="H39" s="14">
        <f>'1-1)Swaption_Matrix'!V22</f>
        <v>24.036000000000001</v>
      </c>
      <c r="I39" s="14">
        <f>'1-1)Swaption_Matrix'!W22</f>
        <v>24.792999999999999</v>
      </c>
      <c r="J39" s="14">
        <f>'1-1)Swaption_Matrix'!X22</f>
        <v>24.943000000000001</v>
      </c>
      <c r="K39" s="14">
        <f>'1-1)Swaption_Matrix'!Y22</f>
        <v>25.335999999999999</v>
      </c>
      <c r="L39" s="14">
        <f>'1-1)Swaption_Matrix'!Z22</f>
        <v>25.707000000000001</v>
      </c>
      <c r="M39" s="14">
        <f>'1-1)Swaption_Matrix'!AA22</f>
        <v>27.119</v>
      </c>
      <c r="N39" s="14">
        <f>'1-1)Swaption_Matrix'!AB22</f>
        <v>31.291</v>
      </c>
      <c r="Q39" t="str">
        <f>'1-1)Swaption_Matrix_prev'!P22</f>
        <v>1Y</v>
      </c>
      <c r="R39" s="14">
        <f>'1-1)Swaption_Matrix_prev'!Q22</f>
        <v>28.28</v>
      </c>
      <c r="S39" s="14">
        <f>'1-1)Swaption_Matrix_prev'!R22</f>
        <v>27.465</v>
      </c>
      <c r="T39" s="14">
        <f>'1-1)Swaption_Matrix_prev'!S22</f>
        <v>26.088999999999999</v>
      </c>
      <c r="U39" s="14">
        <f>'1-1)Swaption_Matrix_prev'!T22</f>
        <v>24.74</v>
      </c>
      <c r="V39" s="14">
        <f>'1-1)Swaption_Matrix_prev'!U22</f>
        <v>26.21</v>
      </c>
      <c r="W39" s="14">
        <f>'1-1)Swaption_Matrix_prev'!V22</f>
        <v>24.965</v>
      </c>
      <c r="X39" s="14">
        <f>'1-1)Swaption_Matrix_prev'!W22</f>
        <v>26.212</v>
      </c>
      <c r="Y39" s="14">
        <f>'1-1)Swaption_Matrix_prev'!X22</f>
        <v>26.757999999999999</v>
      </c>
      <c r="Z39" s="14">
        <f>'1-1)Swaption_Matrix_prev'!Y22</f>
        <v>27.507999999999999</v>
      </c>
      <c r="AA39" s="14">
        <f>'1-1)Swaption_Matrix_prev'!Z22</f>
        <v>28.184000000000001</v>
      </c>
      <c r="AB39" s="14">
        <f>'1-1)Swaption_Matrix_prev'!AA22</f>
        <v>30.617999999999999</v>
      </c>
      <c r="AC39" s="14">
        <f>'1-1)Swaption_Matrix_prev'!AB22</f>
        <v>36.445</v>
      </c>
    </row>
    <row r="40" spans="1:29" x14ac:dyDescent="0.3">
      <c r="A40" s="13"/>
      <c r="B40" t="str">
        <f>'1-1)Swaption_Matrix'!P23</f>
        <v>2Y</v>
      </c>
      <c r="C40" s="14">
        <f>'1-1)Swaption_Matrix'!Q23</f>
        <v>25.238</v>
      </c>
      <c r="D40" s="14">
        <f>'1-1)Swaption_Matrix'!R23</f>
        <v>25.071000000000002</v>
      </c>
      <c r="E40" s="14">
        <f>'1-1)Swaption_Matrix'!S23</f>
        <v>24.498000000000001</v>
      </c>
      <c r="F40" s="14">
        <f>'1-1)Swaption_Matrix'!T23</f>
        <v>22.39</v>
      </c>
      <c r="G40" s="14">
        <f>'1-1)Swaption_Matrix'!U23</f>
        <v>21.693999999999999</v>
      </c>
      <c r="H40" s="14">
        <f>'1-1)Swaption_Matrix'!V23</f>
        <v>21.654</v>
      </c>
      <c r="I40" s="14">
        <f>'1-1)Swaption_Matrix'!W23</f>
        <v>21.879000000000001</v>
      </c>
      <c r="J40" s="14">
        <f>'1-1)Swaption_Matrix'!X23</f>
        <v>22.14</v>
      </c>
      <c r="K40" s="14">
        <f>'1-1)Swaption_Matrix'!Y23</f>
        <v>22.381</v>
      </c>
      <c r="L40" s="14">
        <f>'1-1)Swaption_Matrix'!Z23</f>
        <v>22.614999999999998</v>
      </c>
      <c r="M40" s="14">
        <f>'1-1)Swaption_Matrix'!AA23</f>
        <v>24.678000000000001</v>
      </c>
      <c r="N40" s="14">
        <f>'1-1)Swaption_Matrix'!AB23</f>
        <v>28.045999999999999</v>
      </c>
      <c r="Q40" t="str">
        <f>'1-1)Swaption_Matrix_prev'!P23</f>
        <v>2Y</v>
      </c>
      <c r="R40" s="14">
        <f>'1-1)Swaption_Matrix_prev'!Q23</f>
        <v>25.116</v>
      </c>
      <c r="S40" s="14">
        <f>'1-1)Swaption_Matrix_prev'!R23</f>
        <v>24.693000000000001</v>
      </c>
      <c r="T40" s="14">
        <f>'1-1)Swaption_Matrix_prev'!S23</f>
        <v>25.286999999999999</v>
      </c>
      <c r="U40" s="14">
        <f>'1-1)Swaption_Matrix_prev'!T23</f>
        <v>24.64</v>
      </c>
      <c r="V40" s="14">
        <f>'1-1)Swaption_Matrix_prev'!U23</f>
        <v>24.841000000000001</v>
      </c>
      <c r="W40" s="14">
        <f>'1-1)Swaption_Matrix_prev'!V23</f>
        <v>25.064</v>
      </c>
      <c r="X40" s="14">
        <f>'1-1)Swaption_Matrix_prev'!W23</f>
        <v>25.356999999999999</v>
      </c>
      <c r="Y40" s="14">
        <f>'1-1)Swaption_Matrix_prev'!X23</f>
        <v>25.654</v>
      </c>
      <c r="Z40" s="14">
        <f>'1-1)Swaption_Matrix_prev'!Y23</f>
        <v>25.959</v>
      </c>
      <c r="AA40" s="14">
        <f>'1-1)Swaption_Matrix_prev'!Z23</f>
        <v>26.285</v>
      </c>
      <c r="AB40" s="14">
        <f>'1-1)Swaption_Matrix_prev'!AA23</f>
        <v>28.678999999999998</v>
      </c>
      <c r="AC40" s="14">
        <f>'1-1)Swaption_Matrix_prev'!AB23</f>
        <v>32.793999999999997</v>
      </c>
    </row>
    <row r="41" spans="1:29" x14ac:dyDescent="0.3">
      <c r="A41" s="13"/>
      <c r="B41" t="str">
        <f>'1-1)Swaption_Matrix'!P24</f>
        <v>3Y</v>
      </c>
      <c r="C41" s="14">
        <f>'1-1)Swaption_Matrix'!Q24</f>
        <v>24.356999999999999</v>
      </c>
      <c r="D41" s="14">
        <f>'1-1)Swaption_Matrix'!R24</f>
        <v>23.998000000000001</v>
      </c>
      <c r="E41" s="14">
        <f>'1-1)Swaption_Matrix'!S24</f>
        <v>23.484999999999999</v>
      </c>
      <c r="F41" s="14">
        <f>'1-1)Swaption_Matrix'!T24</f>
        <v>21.74</v>
      </c>
      <c r="G41" s="14">
        <f>'1-1)Swaption_Matrix'!U24</f>
        <v>20.98</v>
      </c>
      <c r="H41" s="14">
        <f>'1-1)Swaption_Matrix'!V24</f>
        <v>21.161999999999999</v>
      </c>
      <c r="I41" s="14">
        <f>'1-1)Swaption_Matrix'!W24</f>
        <v>21.317</v>
      </c>
      <c r="J41" s="14">
        <f>'1-1)Swaption_Matrix'!X24</f>
        <v>21.486000000000001</v>
      </c>
      <c r="K41" s="14">
        <f>'1-1)Swaption_Matrix'!Y24</f>
        <v>21.651</v>
      </c>
      <c r="L41" s="14">
        <f>'1-1)Swaption_Matrix'!Z24</f>
        <v>21.763000000000002</v>
      </c>
      <c r="M41" s="14">
        <f>'1-1)Swaption_Matrix'!AA24</f>
        <v>24.146999999999998</v>
      </c>
      <c r="N41" s="14">
        <f>'1-1)Swaption_Matrix'!AB24</f>
        <v>26.571000000000002</v>
      </c>
      <c r="Q41" t="str">
        <f>'1-1)Swaption_Matrix_prev'!P24</f>
        <v>3Y</v>
      </c>
      <c r="R41" s="14">
        <f>'1-1)Swaption_Matrix_prev'!Q24</f>
        <v>24.167000000000002</v>
      </c>
      <c r="S41" s="14">
        <f>'1-1)Swaption_Matrix_prev'!R24</f>
        <v>24.689</v>
      </c>
      <c r="T41" s="14">
        <f>'1-1)Swaption_Matrix_prev'!S24</f>
        <v>24.963000000000001</v>
      </c>
      <c r="U41" s="14">
        <f>'1-1)Swaption_Matrix_prev'!T24</f>
        <v>24.38</v>
      </c>
      <c r="V41" s="14">
        <f>'1-1)Swaption_Matrix_prev'!U24</f>
        <v>24.155999999999999</v>
      </c>
      <c r="W41" s="14">
        <f>'1-1)Swaption_Matrix_prev'!V24</f>
        <v>24.521000000000001</v>
      </c>
      <c r="X41" s="14">
        <f>'1-1)Swaption_Matrix_prev'!W24</f>
        <v>24.687999999999999</v>
      </c>
      <c r="Y41" s="14">
        <f>'1-1)Swaption_Matrix_prev'!X24</f>
        <v>24.89</v>
      </c>
      <c r="Z41" s="14">
        <f>'1-1)Swaption_Matrix_prev'!Y24</f>
        <v>25.123999999999999</v>
      </c>
      <c r="AA41" s="14">
        <f>'1-1)Swaption_Matrix_prev'!Z24</f>
        <v>25.3</v>
      </c>
      <c r="AB41" s="14">
        <f>'1-1)Swaption_Matrix_prev'!AA24</f>
        <v>28.242999999999999</v>
      </c>
      <c r="AC41" s="14">
        <f>'1-1)Swaption_Matrix_prev'!AB24</f>
        <v>31.289000000000001</v>
      </c>
    </row>
    <row r="42" spans="1:29" x14ac:dyDescent="0.3">
      <c r="A42" s="13"/>
      <c r="B42" t="str">
        <f>'1-1)Swaption_Matrix'!P25</f>
        <v>4Y</v>
      </c>
      <c r="C42" s="14">
        <f>'1-1)Swaption_Matrix'!Q25</f>
        <v>22.98</v>
      </c>
      <c r="D42" s="14">
        <f>'1-1)Swaption_Matrix'!R25</f>
        <v>22.41</v>
      </c>
      <c r="E42" s="14">
        <f>'1-1)Swaption_Matrix'!S25</f>
        <v>22.17</v>
      </c>
      <c r="F42" s="14">
        <f>'1-1)Swaption_Matrix'!T25</f>
        <v>21.09</v>
      </c>
      <c r="G42" s="14">
        <f>'1-1)Swaption_Matrix'!U25</f>
        <v>20.75</v>
      </c>
      <c r="H42" s="14">
        <f>'1-1)Swaption_Matrix'!V25</f>
        <v>20.782</v>
      </c>
      <c r="I42" s="14">
        <f>'1-1)Swaption_Matrix'!W25</f>
        <v>20.95</v>
      </c>
      <c r="J42" s="14">
        <f>'1-1)Swaption_Matrix'!X25</f>
        <v>21.126000000000001</v>
      </c>
      <c r="K42" s="14">
        <f>'1-1)Swaption_Matrix'!Y25</f>
        <v>21.318000000000001</v>
      </c>
      <c r="L42" s="14">
        <f>'1-1)Swaption_Matrix'!Z25</f>
        <v>21.53</v>
      </c>
      <c r="M42" s="14">
        <f>'1-1)Swaption_Matrix'!AA25</f>
        <v>23.67</v>
      </c>
      <c r="N42" s="14">
        <f>'1-1)Swaption_Matrix'!AB25</f>
        <v>25.35</v>
      </c>
      <c r="Q42" t="str">
        <f>'1-1)Swaption_Matrix_prev'!P25</f>
        <v>4Y</v>
      </c>
      <c r="R42" s="14">
        <f>'1-1)Swaption_Matrix_prev'!Q25</f>
        <v>23.3</v>
      </c>
      <c r="S42" s="14">
        <f>'1-1)Swaption_Matrix_prev'!R25</f>
        <v>23.41</v>
      </c>
      <c r="T42" s="14">
        <f>'1-1)Swaption_Matrix_prev'!S25</f>
        <v>23.94</v>
      </c>
      <c r="U42" s="14">
        <f>'1-1)Swaption_Matrix_prev'!T25</f>
        <v>23.33</v>
      </c>
      <c r="V42" s="14">
        <f>'1-1)Swaption_Matrix_prev'!U25</f>
        <v>23.27</v>
      </c>
      <c r="W42" s="14">
        <f>'1-1)Swaption_Matrix_prev'!V25</f>
        <v>23.257000000000001</v>
      </c>
      <c r="X42" s="14">
        <f>'1-1)Swaption_Matrix_prev'!W25</f>
        <v>23.31</v>
      </c>
      <c r="Y42" s="14">
        <f>'1-1)Swaption_Matrix_prev'!X25</f>
        <v>23.431999999999999</v>
      </c>
      <c r="Z42" s="14">
        <f>'1-1)Swaption_Matrix_prev'!Y25</f>
        <v>23.625</v>
      </c>
      <c r="AA42" s="14">
        <f>'1-1)Swaption_Matrix_prev'!Z25</f>
        <v>23.88</v>
      </c>
      <c r="AB42" s="14">
        <f>'1-1)Swaption_Matrix_prev'!AA25</f>
        <v>26.96</v>
      </c>
      <c r="AC42" s="14">
        <f>'1-1)Swaption_Matrix_prev'!AB25</f>
        <v>29.44</v>
      </c>
    </row>
    <row r="43" spans="1:29" x14ac:dyDescent="0.3">
      <c r="A43" s="13"/>
      <c r="B43" t="str">
        <f>'1-1)Swaption_Matrix'!P26</f>
        <v>5Y</v>
      </c>
      <c r="C43" s="14">
        <f>'1-1)Swaption_Matrix'!Q26</f>
        <v>20.873000000000001</v>
      </c>
      <c r="D43" s="14">
        <f>'1-1)Swaption_Matrix'!R26</f>
        <v>21.158999999999999</v>
      </c>
      <c r="E43" s="14">
        <f>'1-1)Swaption_Matrix'!S26</f>
        <v>21.503</v>
      </c>
      <c r="F43" s="14">
        <f>'1-1)Swaption_Matrix'!T26</f>
        <v>20.350000000000001</v>
      </c>
      <c r="G43" s="14">
        <f>'1-1)Swaption_Matrix'!U26</f>
        <v>20.321999999999999</v>
      </c>
      <c r="H43" s="14">
        <f>'1-1)Swaption_Matrix'!V26</f>
        <v>20.370999999999999</v>
      </c>
      <c r="I43" s="14">
        <f>'1-1)Swaption_Matrix'!W26</f>
        <v>20.547000000000001</v>
      </c>
      <c r="J43" s="14">
        <f>'1-1)Swaption_Matrix'!X26</f>
        <v>20.763999999999999</v>
      </c>
      <c r="K43" s="14">
        <f>'1-1)Swaption_Matrix'!Y26</f>
        <v>21.007999999999999</v>
      </c>
      <c r="L43" s="14">
        <f>'1-1)Swaption_Matrix'!Z26</f>
        <v>21.094000000000001</v>
      </c>
      <c r="M43" s="14">
        <f>'1-1)Swaption_Matrix'!AA26</f>
        <v>23.6</v>
      </c>
      <c r="N43" s="14">
        <f>'1-1)Swaption_Matrix'!AB26</f>
        <v>23.738</v>
      </c>
      <c r="Q43" t="str">
        <f>'1-1)Swaption_Matrix_prev'!P26</f>
        <v>5Y</v>
      </c>
      <c r="R43" s="14">
        <f>'1-1)Swaption_Matrix_prev'!Q26</f>
        <v>22.913</v>
      </c>
      <c r="S43" s="14">
        <f>'1-1)Swaption_Matrix_prev'!R26</f>
        <v>23.466000000000001</v>
      </c>
      <c r="T43" s="14">
        <f>'1-1)Swaption_Matrix_prev'!S26</f>
        <v>23.988</v>
      </c>
      <c r="U43" s="14">
        <f>'1-1)Swaption_Matrix_prev'!T26</f>
        <v>22.78</v>
      </c>
      <c r="V43" s="14">
        <f>'1-1)Swaption_Matrix_prev'!U26</f>
        <v>22.814</v>
      </c>
      <c r="W43" s="14">
        <f>'1-1)Swaption_Matrix_prev'!V26</f>
        <v>22.832999999999998</v>
      </c>
      <c r="X43" s="14">
        <f>'1-1)Swaption_Matrix_prev'!W26</f>
        <v>22.972999999999999</v>
      </c>
      <c r="Y43" s="14">
        <f>'1-1)Swaption_Matrix_prev'!X26</f>
        <v>23.175000000000001</v>
      </c>
      <c r="Z43" s="14">
        <f>'1-1)Swaption_Matrix_prev'!Y26</f>
        <v>23.428000000000001</v>
      </c>
      <c r="AA43" s="14">
        <f>'1-1)Swaption_Matrix_prev'!Z26</f>
        <v>23.553000000000001</v>
      </c>
      <c r="AB43" s="14">
        <f>'1-1)Swaption_Matrix_prev'!AA26</f>
        <v>27.372</v>
      </c>
      <c r="AC43" s="14">
        <f>'1-1)Swaption_Matrix_prev'!AB26</f>
        <v>27.919</v>
      </c>
    </row>
    <row r="44" spans="1:29" x14ac:dyDescent="0.3">
      <c r="A44" s="13"/>
      <c r="B44" t="str">
        <f>'1-1)Swaption_Matrix'!P27</f>
        <v>7Y</v>
      </c>
      <c r="C44" s="14">
        <f>'1-1)Swaption_Matrix'!Q27</f>
        <v>19.32</v>
      </c>
      <c r="D44" s="14">
        <f>'1-1)Swaption_Matrix'!R27</f>
        <v>20.16</v>
      </c>
      <c r="E44" s="14">
        <f>'1-1)Swaption_Matrix'!S27</f>
        <v>20.98</v>
      </c>
      <c r="F44" s="14">
        <f>'1-1)Swaption_Matrix'!T27</f>
        <v>19.350000000000001</v>
      </c>
      <c r="G44" s="14">
        <f>'1-1)Swaption_Matrix'!U27</f>
        <v>19.88</v>
      </c>
      <c r="H44" s="14">
        <f>'1-1)Swaption_Matrix'!V27</f>
        <v>20.251999999999999</v>
      </c>
      <c r="I44" s="14">
        <f>'1-1)Swaption_Matrix'!W27</f>
        <v>19.940000000000001</v>
      </c>
      <c r="J44" s="14">
        <f>'1-1)Swaption_Matrix'!X27</f>
        <v>20.55</v>
      </c>
      <c r="K44" s="14">
        <f>'1-1)Swaption_Matrix'!Y27</f>
        <v>20.597000000000001</v>
      </c>
      <c r="L44" s="14">
        <f>'1-1)Swaption_Matrix'!Z27</f>
        <v>20.97</v>
      </c>
      <c r="M44" s="14">
        <f>'1-1)Swaption_Matrix'!AA27</f>
        <v>23.47</v>
      </c>
      <c r="N44" s="14">
        <f>'1-1)Swaption_Matrix'!AB27</f>
        <v>23.18</v>
      </c>
      <c r="Q44" t="str">
        <f>'1-1)Swaption_Matrix_prev'!P27</f>
        <v>7Y</v>
      </c>
      <c r="R44" s="14">
        <f>'1-1)Swaption_Matrix_prev'!Q27</f>
        <v>21.14</v>
      </c>
      <c r="S44" s="14">
        <f>'1-1)Swaption_Matrix_prev'!R27</f>
        <v>22.19</v>
      </c>
      <c r="T44" s="14">
        <f>'1-1)Swaption_Matrix_prev'!S27</f>
        <v>23.36</v>
      </c>
      <c r="U44" s="14">
        <f>'1-1)Swaption_Matrix_prev'!T27</f>
        <v>21.86</v>
      </c>
      <c r="V44" s="14">
        <f>'1-1)Swaption_Matrix_prev'!U27</f>
        <v>22.78</v>
      </c>
      <c r="W44" s="14">
        <f>'1-1)Swaption_Matrix_prev'!V27</f>
        <v>23.414999999999999</v>
      </c>
      <c r="X44" s="14">
        <f>'1-1)Swaption_Matrix_prev'!W27</f>
        <v>23.16</v>
      </c>
      <c r="Y44" s="14">
        <f>'1-1)Swaption_Matrix_prev'!X27</f>
        <v>23.952000000000002</v>
      </c>
      <c r="Z44" s="14">
        <f>'1-1)Swaption_Matrix_prev'!Y27</f>
        <v>24.135000000000002</v>
      </c>
      <c r="AA44" s="14">
        <f>'1-1)Swaption_Matrix_prev'!Z27</f>
        <v>24.81</v>
      </c>
      <c r="AB44" s="14">
        <f>'1-1)Swaption_Matrix_prev'!AA27</f>
        <v>29.31</v>
      </c>
      <c r="AC44" s="14">
        <f>'1-1)Swaption_Matrix_prev'!AB27</f>
        <v>27.81</v>
      </c>
    </row>
    <row r="45" spans="1:29" x14ac:dyDescent="0.3">
      <c r="B45" t="str">
        <f>'1-1)Swaption_Matrix'!P28</f>
        <v>10Y</v>
      </c>
      <c r="C45" s="14">
        <f>'1-1)Swaption_Matrix'!Q28</f>
        <v>17.47</v>
      </c>
      <c r="D45" s="14">
        <f>'1-1)Swaption_Matrix'!R28</f>
        <v>18.100000000000001</v>
      </c>
      <c r="E45" s="14">
        <f>'1-1)Swaption_Matrix'!S28</f>
        <v>19.100000000000001</v>
      </c>
      <c r="F45" s="14">
        <f>'1-1)Swaption_Matrix'!T28</f>
        <v>19.693000000000001</v>
      </c>
      <c r="G45" s="14">
        <f>'1-1)Swaption_Matrix'!U28</f>
        <v>20.38</v>
      </c>
      <c r="H45" s="14">
        <f>'1-1)Swaption_Matrix'!V28</f>
        <v>20.774999999999999</v>
      </c>
      <c r="I45" s="14">
        <f>'1-1)Swaption_Matrix'!W28</f>
        <v>21.21</v>
      </c>
      <c r="J45" s="14">
        <f>'1-1)Swaption_Matrix'!X28</f>
        <v>21.777999999999999</v>
      </c>
      <c r="K45" s="14">
        <f>'1-1)Swaption_Matrix'!Y28</f>
        <v>22.413</v>
      </c>
      <c r="L45" s="14">
        <f>'1-1)Swaption_Matrix'!Z28</f>
        <v>23.04</v>
      </c>
      <c r="M45" s="14">
        <f>'1-1)Swaption_Matrix'!AA28</f>
        <v>23.07</v>
      </c>
      <c r="N45" s="14">
        <f>'1-1)Swaption_Matrix'!AB28</f>
        <v>21.1</v>
      </c>
      <c r="Q45" t="str">
        <f>'1-1)Swaption_Matrix_prev'!P28</f>
        <v>10Y</v>
      </c>
      <c r="R45" s="14">
        <f>'1-1)Swaption_Matrix_prev'!Q28</f>
        <v>19.78</v>
      </c>
      <c r="S45" s="14">
        <f>'1-1)Swaption_Matrix_prev'!R28</f>
        <v>21.33</v>
      </c>
      <c r="T45" s="14">
        <f>'1-1)Swaption_Matrix_prev'!S28</f>
        <v>23.52</v>
      </c>
      <c r="U45" s="14">
        <f>'1-1)Swaption_Matrix_prev'!T28</f>
        <v>23.506</v>
      </c>
      <c r="V45" s="14">
        <f>'1-1)Swaption_Matrix_prev'!U28</f>
        <v>24.53</v>
      </c>
      <c r="W45" s="14">
        <f>'1-1)Swaption_Matrix_prev'!V28</f>
        <v>25.248000000000001</v>
      </c>
      <c r="X45" s="14">
        <f>'1-1)Swaption_Matrix_prev'!W28</f>
        <v>26.14</v>
      </c>
      <c r="Y45" s="14">
        <f>'1-1)Swaption_Matrix_prev'!X28</f>
        <v>27.318999999999999</v>
      </c>
      <c r="Z45" s="14">
        <f>'1-1)Swaption_Matrix_prev'!Y28</f>
        <v>28.658999999999999</v>
      </c>
      <c r="AA45" s="14">
        <f>'1-1)Swaption_Matrix_prev'!Z28</f>
        <v>29.97</v>
      </c>
      <c r="AB45" s="14">
        <f>'1-1)Swaption_Matrix_prev'!AA28</f>
        <v>30.73</v>
      </c>
      <c r="AC45" s="14">
        <f>'1-1)Swaption_Matrix_prev'!AB28</f>
        <v>27.1</v>
      </c>
    </row>
    <row r="46" spans="1:29" x14ac:dyDescent="0.3">
      <c r="B46" t="str">
        <f>'1-1)Swaption_Matrix'!P29</f>
        <v>15Y</v>
      </c>
      <c r="C46" s="14">
        <f>'1-1)Swaption_Matrix'!Q29</f>
        <v>21.712</v>
      </c>
      <c r="D46" s="14">
        <f>'1-1)Swaption_Matrix'!R29</f>
        <v>23.814</v>
      </c>
      <c r="E46" s="14">
        <f>'1-1)Swaption_Matrix'!S29</f>
        <v>26.638000000000002</v>
      </c>
      <c r="F46" s="14">
        <f>'1-1)Swaption_Matrix'!T29</f>
        <v>28.954999999999998</v>
      </c>
      <c r="G46" s="14">
        <f>'1-1)Swaption_Matrix'!U29</f>
        <v>30.530999999999999</v>
      </c>
      <c r="H46" s="14">
        <f>'1-1)Swaption_Matrix'!V29</f>
        <v>31.01</v>
      </c>
      <c r="I46" s="14">
        <f>'1-1)Swaption_Matrix'!W29</f>
        <v>30.748000000000001</v>
      </c>
      <c r="J46" s="14">
        <f>'1-1)Swaption_Matrix'!X29</f>
        <v>30.109000000000002</v>
      </c>
      <c r="K46" s="14">
        <f>'1-1)Swaption_Matrix'!Y29</f>
        <v>29.282</v>
      </c>
      <c r="L46" s="14">
        <f>'1-1)Swaption_Matrix'!Z29</f>
        <v>28.385999999999999</v>
      </c>
      <c r="M46" s="14">
        <f>'1-1)Swaption_Matrix'!AA29</f>
        <v>23.844999999999999</v>
      </c>
      <c r="N46" s="14">
        <f>'1-1)Swaption_Matrix'!AB29</f>
        <v>20.436</v>
      </c>
      <c r="Q46" t="str">
        <f>'1-1)Swaption_Matrix_prev'!P29</f>
        <v>15Y</v>
      </c>
      <c r="R46" s="14">
        <f>'1-1)Swaption_Matrix_prev'!Q29</f>
        <v>26.957999999999998</v>
      </c>
      <c r="S46" s="14">
        <f>'1-1)Swaption_Matrix_prev'!R29</f>
        <v>30.934999999999999</v>
      </c>
      <c r="T46" s="14">
        <f>'1-1)Swaption_Matrix_prev'!S29</f>
        <v>36.524000000000001</v>
      </c>
      <c r="U46" s="14">
        <f>'1-1)Swaption_Matrix_prev'!T29</f>
        <v>41.706000000000003</v>
      </c>
      <c r="V46" s="14">
        <f>'1-1)Swaption_Matrix_prev'!U29</f>
        <v>45.619</v>
      </c>
      <c r="W46" s="14">
        <f>'1-1)Swaption_Matrix_prev'!V29</f>
        <v>47.072000000000003</v>
      </c>
      <c r="X46" s="14">
        <f>'1-1)Swaption_Matrix_prev'!W29</f>
        <v>46.56</v>
      </c>
      <c r="Y46" s="14">
        <f>'1-1)Swaption_Matrix_prev'!X29</f>
        <v>44.942999999999998</v>
      </c>
      <c r="Z46" s="14">
        <f>'1-1)Swaption_Matrix_prev'!Y29</f>
        <v>42.796999999999997</v>
      </c>
      <c r="AA46" s="14">
        <f>'1-1)Swaption_Matrix_prev'!Z29</f>
        <v>40.531999999999996</v>
      </c>
      <c r="AB46" s="14">
        <f>'1-1)Swaption_Matrix_prev'!AA29</f>
        <v>30.678999999999998</v>
      </c>
      <c r="AC46" s="14">
        <f>'1-1)Swaption_Matrix_prev'!AB29</f>
        <v>24.504000000000001</v>
      </c>
    </row>
    <row r="47" spans="1:29" x14ac:dyDescent="0.3">
      <c r="B47" t="str">
        <f>'1-1)Swaption_Matrix'!P30</f>
        <v>20Y</v>
      </c>
      <c r="C47" s="14">
        <f>'1-1)Swaption_Matrix'!Q30</f>
        <v>30.074999999999999</v>
      </c>
      <c r="D47" s="14">
        <f>'1-1)Swaption_Matrix'!R30</f>
        <v>29.364000000000001</v>
      </c>
      <c r="E47" s="14">
        <f>'1-1)Swaption_Matrix'!S30</f>
        <v>29.863</v>
      </c>
      <c r="F47" s="14">
        <f>'1-1)Swaption_Matrix'!T30</f>
        <v>29.356000000000002</v>
      </c>
      <c r="G47" s="14">
        <f>'1-1)Swaption_Matrix'!U30</f>
        <v>27.632999999999999</v>
      </c>
      <c r="H47" s="14">
        <f>'1-1)Swaption_Matrix'!V30</f>
        <v>27.059000000000001</v>
      </c>
      <c r="I47" s="14">
        <f>'1-1)Swaption_Matrix'!W30</f>
        <v>25.628</v>
      </c>
      <c r="J47" s="14">
        <f>'1-1)Swaption_Matrix'!X30</f>
        <v>24.327000000000002</v>
      </c>
      <c r="K47" s="14">
        <f>'1-1)Swaption_Matrix'!Y30</f>
        <v>23.207000000000001</v>
      </c>
      <c r="L47" s="14">
        <f>'1-1)Swaption_Matrix'!Z30</f>
        <v>21.920999999999999</v>
      </c>
      <c r="M47" s="14">
        <f>'1-1)Swaption_Matrix'!AA30</f>
        <v>18.927</v>
      </c>
      <c r="N47" s="14">
        <f>'1-1)Swaption_Matrix'!AB30</f>
        <v>16.353000000000002</v>
      </c>
      <c r="Q47" t="str">
        <f>'1-1)Swaption_Matrix_prev'!P30</f>
        <v>20Y</v>
      </c>
      <c r="R47" s="14">
        <f>'1-1)Swaption_Matrix_prev'!Q30</f>
        <v>48.411000000000001</v>
      </c>
      <c r="S47" s="14">
        <f>'1-1)Swaption_Matrix_prev'!R30</f>
        <v>45.228000000000002</v>
      </c>
      <c r="T47" s="14">
        <f>'1-1)Swaption_Matrix_prev'!S30</f>
        <v>44.478000000000002</v>
      </c>
      <c r="U47" s="14">
        <f>'1-1)Swaption_Matrix_prev'!T30</f>
        <v>42.036000000000001</v>
      </c>
      <c r="V47" s="14">
        <f>'1-1)Swaption_Matrix_prev'!U30</f>
        <v>37.968000000000004</v>
      </c>
      <c r="W47" s="14">
        <f>'1-1)Swaption_Matrix_prev'!V30</f>
        <v>35.972000000000001</v>
      </c>
      <c r="X47" s="14">
        <f>'1-1)Swaption_Matrix_prev'!W30</f>
        <v>32.984999999999999</v>
      </c>
      <c r="Y47" s="14">
        <f>'1-1)Swaption_Matrix_prev'!X30</f>
        <v>30.489000000000001</v>
      </c>
      <c r="Z47" s="14">
        <f>'1-1)Swaption_Matrix_prev'!Y30</f>
        <v>28.449000000000002</v>
      </c>
      <c r="AA47" s="14">
        <f>'1-1)Swaption_Matrix_prev'!Z30</f>
        <v>26.375</v>
      </c>
      <c r="AB47" s="14">
        <f>'1-1)Swaption_Matrix_prev'!AA30</f>
        <v>21.606000000000002</v>
      </c>
      <c r="AC47" s="14">
        <f>'1-1)Swaption_Matrix_prev'!AB30</f>
        <v>18.3</v>
      </c>
    </row>
    <row r="49" spans="3:11" x14ac:dyDescent="0.3">
      <c r="C49" s="33"/>
      <c r="D49" s="33"/>
      <c r="E49" s="33"/>
      <c r="F49" s="33"/>
      <c r="G49" s="33"/>
      <c r="H49" s="33"/>
      <c r="I49" s="33"/>
      <c r="J49" s="33"/>
      <c r="K49" s="33"/>
    </row>
    <row r="50" spans="3:11" x14ac:dyDescent="0.3">
      <c r="C50" s="33"/>
      <c r="D50" s="33"/>
      <c r="E50" s="33"/>
      <c r="F50" s="33"/>
      <c r="G50" s="33"/>
      <c r="H50" s="33"/>
      <c r="I50" s="33"/>
      <c r="J50" s="33"/>
      <c r="K50" s="33"/>
    </row>
    <row r="51" spans="3:11" x14ac:dyDescent="0.3">
      <c r="C51" s="33"/>
      <c r="D51" s="33"/>
      <c r="E51" s="33"/>
      <c r="F51" s="33"/>
      <c r="G51" s="33"/>
      <c r="H51" s="33"/>
      <c r="I51" s="33"/>
      <c r="J51" s="33"/>
      <c r="K51" s="33"/>
    </row>
    <row r="52" spans="3:11" x14ac:dyDescent="0.3">
      <c r="C52" s="33"/>
      <c r="D52" s="33"/>
      <c r="E52" s="33"/>
      <c r="F52" s="33"/>
      <c r="G52" s="33"/>
      <c r="H52" s="33"/>
      <c r="I52" s="33"/>
      <c r="J52" s="33"/>
      <c r="K52" s="33"/>
    </row>
    <row r="53" spans="3:11" x14ac:dyDescent="0.3">
      <c r="C53" s="33"/>
      <c r="D53" s="14"/>
      <c r="E53" s="14"/>
      <c r="F53" s="14"/>
      <c r="G53" s="14"/>
      <c r="H53" s="14"/>
      <c r="I53" s="14"/>
      <c r="J53" s="14"/>
      <c r="K53" s="14"/>
    </row>
    <row r="54" spans="3:11" x14ac:dyDescent="0.3">
      <c r="C54" s="33"/>
      <c r="D54" s="14"/>
      <c r="E54" s="14"/>
      <c r="F54" s="14"/>
      <c r="G54" s="14"/>
      <c r="H54" s="14"/>
      <c r="I54" s="14"/>
      <c r="J54" s="14"/>
      <c r="K54" s="14"/>
    </row>
    <row r="55" spans="3:11" x14ac:dyDescent="0.3">
      <c r="C55" s="33"/>
      <c r="D55" s="14"/>
      <c r="E55" s="14"/>
      <c r="F55" s="14"/>
      <c r="G55" s="14"/>
      <c r="H55" s="14"/>
      <c r="I55" s="14"/>
      <c r="J55" s="14"/>
      <c r="K55" s="14"/>
    </row>
    <row r="56" spans="3:11" x14ac:dyDescent="0.3">
      <c r="C56" s="33"/>
      <c r="D56" s="14"/>
      <c r="E56" s="14"/>
      <c r="F56" s="14"/>
      <c r="G56" s="14"/>
      <c r="H56" s="14"/>
      <c r="I56" s="14"/>
      <c r="J56" s="14"/>
      <c r="K56" s="14"/>
    </row>
    <row r="57" spans="3:11" x14ac:dyDescent="0.3">
      <c r="C57" s="33"/>
      <c r="D57" s="14"/>
      <c r="E57" s="14"/>
      <c r="F57" s="14"/>
      <c r="G57" s="14"/>
      <c r="H57" s="14"/>
      <c r="I57" s="14"/>
      <c r="J57" s="14"/>
      <c r="K57" s="14"/>
    </row>
    <row r="58" spans="3:11" x14ac:dyDescent="0.3">
      <c r="C58" s="14"/>
      <c r="D58" s="14"/>
      <c r="E58" s="14"/>
      <c r="F58" s="14"/>
      <c r="G58" s="14"/>
      <c r="H58" s="14"/>
      <c r="I58" s="14"/>
      <c r="J58" s="14"/>
      <c r="K58" s="14"/>
    </row>
    <row r="59" spans="3:11" x14ac:dyDescent="0.3">
      <c r="C59" s="14"/>
      <c r="D59" s="14"/>
      <c r="E59" s="14"/>
      <c r="F59" s="14"/>
      <c r="G59" s="14"/>
      <c r="H59" s="14"/>
      <c r="I59" s="14"/>
      <c r="J59" s="14"/>
      <c r="K59" s="14"/>
    </row>
    <row r="60" spans="3:11" x14ac:dyDescent="0.3">
      <c r="C60" s="14"/>
      <c r="D60" s="14"/>
      <c r="E60" s="14"/>
      <c r="F60" s="14"/>
      <c r="G60" s="14"/>
      <c r="H60" s="14"/>
      <c r="I60" s="14"/>
      <c r="J60" s="14"/>
      <c r="K60" s="14"/>
    </row>
    <row r="61" spans="3:11" x14ac:dyDescent="0.3">
      <c r="C61" s="14"/>
      <c r="D61" s="14"/>
      <c r="E61" s="14"/>
      <c r="F61" s="14"/>
      <c r="G61" s="14"/>
      <c r="H61" s="14"/>
      <c r="I61" s="14"/>
      <c r="J61" s="14"/>
      <c r="K61" s="14"/>
    </row>
    <row r="62" spans="3:11" x14ac:dyDescent="0.3">
      <c r="C62" s="14"/>
      <c r="D62" s="14"/>
      <c r="E62" s="14"/>
      <c r="F62" s="14"/>
      <c r="G62" s="14"/>
      <c r="H62" s="14"/>
      <c r="I62" s="14"/>
      <c r="J62" s="14"/>
      <c r="K62" s="14"/>
    </row>
    <row r="63" spans="3:11" x14ac:dyDescent="0.3">
      <c r="C63" s="14"/>
      <c r="D63" s="14"/>
      <c r="E63" s="14"/>
      <c r="F63" s="14"/>
      <c r="G63" s="14"/>
      <c r="H63" s="14"/>
      <c r="I63" s="14"/>
      <c r="J63" s="14"/>
      <c r="K63" s="14"/>
    </row>
    <row r="64" spans="3:11" x14ac:dyDescent="0.3">
      <c r="C64" s="14"/>
      <c r="D64" s="14"/>
      <c r="E64" s="14"/>
      <c r="F64" s="14"/>
      <c r="G64" s="14"/>
      <c r="H64" s="14"/>
      <c r="I64" s="14"/>
      <c r="J64" s="14"/>
      <c r="K64" s="14"/>
    </row>
    <row r="65" spans="3:11" x14ac:dyDescent="0.3">
      <c r="C65" s="14"/>
      <c r="D65" s="14"/>
      <c r="E65" s="14"/>
      <c r="F65" s="14"/>
      <c r="G65" s="14"/>
      <c r="H65" s="14"/>
      <c r="I65" s="14"/>
      <c r="J65" s="14"/>
      <c r="K65" s="14"/>
    </row>
    <row r="66" spans="3:11" x14ac:dyDescent="0.3">
      <c r="C66" s="14"/>
      <c r="D66" s="14"/>
      <c r="E66" s="14"/>
      <c r="F66" s="14"/>
      <c r="G66" s="14"/>
      <c r="H66" s="14"/>
      <c r="I66" s="14"/>
      <c r="J66" s="14"/>
      <c r="K66" s="14"/>
    </row>
    <row r="67" spans="3:11" x14ac:dyDescent="0.3">
      <c r="C67" s="14"/>
      <c r="D67" s="14"/>
      <c r="E67" s="14"/>
      <c r="F67" s="14"/>
      <c r="G67" s="14"/>
      <c r="H67" s="14"/>
      <c r="I67" s="14"/>
      <c r="J67" s="14"/>
      <c r="K67" s="14"/>
    </row>
    <row r="68" spans="3:11" x14ac:dyDescent="0.3">
      <c r="C68" s="14"/>
      <c r="D68" s="14"/>
      <c r="E68" s="14"/>
      <c r="F68" s="14"/>
      <c r="G68" s="14"/>
      <c r="H68" s="14"/>
      <c r="I68" s="14"/>
      <c r="J68" s="14"/>
      <c r="K68" s="14"/>
    </row>
    <row r="69" spans="3:11" x14ac:dyDescent="0.3">
      <c r="C69" s="14"/>
      <c r="D69" s="14"/>
      <c r="E69" s="14"/>
      <c r="F69" s="14"/>
      <c r="G69" s="14"/>
      <c r="H69" s="14"/>
      <c r="I69" s="14"/>
      <c r="J69" s="14"/>
      <c r="K69" s="14"/>
    </row>
    <row r="70" spans="3:11" x14ac:dyDescent="0.3">
      <c r="C70" s="14"/>
      <c r="D70" s="14"/>
      <c r="E70" s="14"/>
      <c r="F70" s="14"/>
      <c r="G70" s="14"/>
      <c r="H70" s="14"/>
      <c r="I70" s="14"/>
      <c r="J70" s="14"/>
      <c r="K70" s="14"/>
    </row>
    <row r="71" spans="3:11" x14ac:dyDescent="0.3">
      <c r="C71" s="14"/>
      <c r="D71" s="14"/>
      <c r="E71" s="14"/>
      <c r="F71" s="14"/>
      <c r="G71" s="14"/>
      <c r="H71" s="14"/>
      <c r="I71" s="14"/>
      <c r="J71" s="14"/>
      <c r="K71" s="14"/>
    </row>
    <row r="72" spans="3:11" x14ac:dyDescent="0.3">
      <c r="C72" s="14"/>
      <c r="D72" s="14"/>
      <c r="E72" s="14"/>
      <c r="F72" s="14"/>
      <c r="G72" s="14"/>
      <c r="H72" s="14"/>
      <c r="I72" s="14"/>
      <c r="J72" s="14"/>
      <c r="K72" s="14"/>
    </row>
    <row r="73" spans="3:11" x14ac:dyDescent="0.3">
      <c r="C73" s="14"/>
      <c r="D73" s="14"/>
      <c r="E73" s="14"/>
      <c r="F73" s="14"/>
      <c r="G73" s="14"/>
      <c r="H73" s="14"/>
      <c r="I73" s="14"/>
      <c r="J73" s="14"/>
      <c r="K73" s="14"/>
    </row>
    <row r="74" spans="3:11" x14ac:dyDescent="0.3">
      <c r="C74" s="14"/>
      <c r="D74" s="14"/>
      <c r="E74" s="14"/>
      <c r="F74" s="14"/>
      <c r="G74" s="14"/>
      <c r="H74" s="14"/>
      <c r="I74" s="14"/>
      <c r="J74" s="14"/>
      <c r="K74" s="14"/>
    </row>
    <row r="75" spans="3:11" x14ac:dyDescent="0.3">
      <c r="C75" s="14"/>
      <c r="D75" s="14"/>
      <c r="E75" s="14"/>
      <c r="F75" s="14"/>
      <c r="G75" s="14"/>
      <c r="H75" s="14"/>
      <c r="I75" s="14"/>
      <c r="J75" s="14"/>
      <c r="K75" s="14"/>
    </row>
    <row r="76" spans="3:11" x14ac:dyDescent="0.3">
      <c r="C76" s="14"/>
      <c r="D76" s="14"/>
      <c r="E76" s="14"/>
      <c r="F76" s="14"/>
      <c r="G76" s="14"/>
      <c r="H76" s="14"/>
      <c r="I76" s="14"/>
      <c r="J76" s="14"/>
      <c r="K76" s="14"/>
    </row>
    <row r="77" spans="3:11" x14ac:dyDescent="0.3">
      <c r="C77" s="14"/>
      <c r="D77" s="14"/>
      <c r="E77" s="14"/>
      <c r="F77" s="14"/>
      <c r="G77" s="14"/>
      <c r="H77" s="14"/>
      <c r="I77" s="14"/>
      <c r="J77" s="14"/>
      <c r="K77" s="14"/>
    </row>
    <row r="78" spans="3:11" x14ac:dyDescent="0.3">
      <c r="C78" s="14"/>
      <c r="D78" s="14"/>
      <c r="E78" s="14"/>
      <c r="F78" s="14"/>
      <c r="G78" s="14"/>
      <c r="H78" s="14"/>
      <c r="I78" s="14"/>
      <c r="J78" s="14"/>
      <c r="K78" s="14"/>
    </row>
    <row r="79" spans="3:11" x14ac:dyDescent="0.3">
      <c r="C79" s="14"/>
      <c r="D79" s="14"/>
      <c r="E79" s="14"/>
      <c r="F79" s="14"/>
      <c r="G79" s="14"/>
      <c r="H79" s="14"/>
      <c r="I79" s="14"/>
      <c r="J79" s="14"/>
      <c r="K79" s="14"/>
    </row>
    <row r="80" spans="3:11" x14ac:dyDescent="0.3">
      <c r="C80" s="14"/>
      <c r="D80" s="14"/>
      <c r="E80" s="14"/>
      <c r="F80" s="14"/>
      <c r="G80" s="14"/>
      <c r="H80" s="14"/>
      <c r="I80" s="14"/>
      <c r="J80" s="14"/>
      <c r="K80" s="14"/>
    </row>
    <row r="81" spans="3:11" x14ac:dyDescent="0.3">
      <c r="C81" s="14"/>
      <c r="D81" s="14"/>
      <c r="E81" s="14"/>
      <c r="F81" s="14"/>
      <c r="G81" s="14"/>
      <c r="H81" s="14"/>
      <c r="I81" s="14"/>
      <c r="J81" s="14"/>
      <c r="K81" s="14"/>
    </row>
  </sheetData>
  <phoneticPr fontId="2" type="noConversion"/>
  <conditionalFormatting sqref="C4:N1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4:AB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AD220"/>
  <sheetViews>
    <sheetView topLeftCell="B1" zoomScale="55" zoomScaleNormal="55" workbookViewId="0">
      <selection activeCell="B1" sqref="B1"/>
    </sheetView>
  </sheetViews>
  <sheetFormatPr defaultRowHeight="13.5" x14ac:dyDescent="0.3"/>
  <cols>
    <col min="1" max="1" width="11.75" style="1" bestFit="1" customWidth="1"/>
    <col min="2" max="2" width="21.75" style="1" bestFit="1" customWidth="1"/>
    <col min="3" max="15" width="9" style="1"/>
    <col min="16" max="16" width="11" style="1" bestFit="1" customWidth="1"/>
    <col min="17" max="17" width="12.875" style="1" bestFit="1" customWidth="1"/>
    <col min="18" max="16384" width="9" style="1"/>
  </cols>
  <sheetData>
    <row r="1" spans="1:30" ht="14.25" thickBot="1" x14ac:dyDescent="0.35">
      <c r="B1" s="5" t="s">
        <v>3287</v>
      </c>
    </row>
    <row r="2" spans="1:30" ht="15" x14ac:dyDescent="0.25">
      <c r="A2" s="37" t="s">
        <v>594</v>
      </c>
      <c r="B2" s="37" t="s">
        <v>595</v>
      </c>
      <c r="C2" s="37" t="s">
        <v>596</v>
      </c>
      <c r="D2" s="37" t="s">
        <v>597</v>
      </c>
      <c r="E2" s="37" t="s">
        <v>598</v>
      </c>
      <c r="F2" s="37" t="s">
        <v>599</v>
      </c>
      <c r="G2" s="37" t="s">
        <v>600</v>
      </c>
      <c r="H2" s="37" t="s">
        <v>531</v>
      </c>
      <c r="I2" s="37" t="s">
        <v>601</v>
      </c>
      <c r="J2" s="37" t="s">
        <v>602</v>
      </c>
      <c r="K2" s="37" t="s">
        <v>603</v>
      </c>
      <c r="L2" s="37" t="s">
        <v>604</v>
      </c>
      <c r="M2" s="37" t="s">
        <v>605</v>
      </c>
      <c r="N2" s="37" t="s">
        <v>606</v>
      </c>
      <c r="P2" s="4">
        <v>44645</v>
      </c>
      <c r="Q2" s="37" t="s">
        <v>594</v>
      </c>
      <c r="R2" s="37" t="s">
        <v>595</v>
      </c>
      <c r="S2" s="37" t="s">
        <v>596</v>
      </c>
      <c r="T2" s="37" t="s">
        <v>597</v>
      </c>
      <c r="U2" s="37" t="s">
        <v>598</v>
      </c>
      <c r="V2" s="54" t="s">
        <v>599</v>
      </c>
      <c r="W2" s="55" t="s">
        <v>600</v>
      </c>
      <c r="X2" s="55" t="s">
        <v>531</v>
      </c>
      <c r="Y2" s="55" t="s">
        <v>601</v>
      </c>
      <c r="Z2" s="55" t="s">
        <v>602</v>
      </c>
      <c r="AA2" s="55" t="s">
        <v>603</v>
      </c>
      <c r="AB2" s="56" t="s">
        <v>604</v>
      </c>
      <c r="AC2" s="37" t="s">
        <v>605</v>
      </c>
      <c r="AD2" s="37" t="s">
        <v>606</v>
      </c>
    </row>
    <row r="3" spans="1:30" ht="16.5" x14ac:dyDescent="0.3">
      <c r="A3" s="38" t="s">
        <v>607</v>
      </c>
      <c r="B3" s="38" t="s">
        <v>2204</v>
      </c>
      <c r="C3" s="38" t="s">
        <v>609</v>
      </c>
      <c r="D3" s="38" t="s">
        <v>610</v>
      </c>
      <c r="E3" s="38" t="s">
        <v>611</v>
      </c>
      <c r="F3" s="38" t="s">
        <v>612</v>
      </c>
      <c r="G3" s="38" t="s">
        <v>613</v>
      </c>
      <c r="H3" s="38" t="s">
        <v>614</v>
      </c>
      <c r="I3" s="38" t="s">
        <v>615</v>
      </c>
      <c r="J3" s="38" t="s">
        <v>616</v>
      </c>
      <c r="K3" s="38" t="s">
        <v>617</v>
      </c>
      <c r="L3" s="38" t="s">
        <v>618</v>
      </c>
      <c r="M3" s="38" t="s">
        <v>619</v>
      </c>
      <c r="N3" s="38" t="s">
        <v>620</v>
      </c>
      <c r="P3" s="1" t="s">
        <v>2201</v>
      </c>
      <c r="Q3" s="38" t="s">
        <v>607</v>
      </c>
      <c r="R3" s="1" t="str">
        <f>_xll.BDH(B113,$P$3,$P$2,$P$2)</f>
        <v>#N/A Invalid Security</v>
      </c>
      <c r="S3" s="1" t="str">
        <f>_xll.BDH(C113,$P$3,$P$2,$P$2)</f>
        <v>#N/A Invalid Security</v>
      </c>
      <c r="T3" s="1" t="str">
        <f>_xll.BDH(D113,$P$3,$P$2,$P$2)</f>
        <v>#N/A Invalid Security</v>
      </c>
      <c r="U3" s="1" t="str">
        <f>_xll.BDH(E113,$P$3,$P$2,$P$2)</f>
        <v>#N/A Invalid Security</v>
      </c>
      <c r="V3" s="16" t="str">
        <f>_xll.BDH(F113,$P$3,$P$2,$P$2)</f>
        <v>#N/A Invalid Security</v>
      </c>
      <c r="W3" s="27" t="str">
        <f>_xll.BDH(G113,$P$3,$P$2,$P$2)</f>
        <v>#N/A Invalid Security</v>
      </c>
      <c r="X3" s="27" t="str">
        <f>_xll.BDH(H113,$P$3,$P$2,$P$2)</f>
        <v>#N/A Invalid Security</v>
      </c>
      <c r="Y3" s="27" t="str">
        <f>_xll.BDH(I113,$P$3,$P$2,$P$2)</f>
        <v>#N/A Invalid Security</v>
      </c>
      <c r="Z3" s="27" t="str">
        <f>_xll.BDH(J113,$P$3,$P$2,$P$2)</f>
        <v>#N/A Invalid Security</v>
      </c>
      <c r="AA3" s="27" t="str">
        <f>_xll.BDH(K113,$P$3,$P$2,$P$2)</f>
        <v>#N/A Invalid Security</v>
      </c>
      <c r="AB3" s="57" t="str">
        <f>_xll.BDH(L113,$P$3,$P$2,$P$2)</f>
        <v>#N/A Invalid Security</v>
      </c>
      <c r="AC3" s="1" t="str">
        <f>_xll.BDH(M113,$P$3,$P$2,$P$2)</f>
        <v>#N/A Invalid Security</v>
      </c>
      <c r="AD3" s="1" t="str">
        <f>_xll.BDH(N113,$P$3,$P$2,$P$2)</f>
        <v>#N/A Invalid Security</v>
      </c>
    </row>
    <row r="4" spans="1:30" ht="16.5" x14ac:dyDescent="0.3">
      <c r="A4" s="38" t="s">
        <v>621</v>
      </c>
      <c r="B4" s="38" t="s">
        <v>622</v>
      </c>
      <c r="C4" s="38" t="s">
        <v>623</v>
      </c>
      <c r="D4" s="38" t="s">
        <v>624</v>
      </c>
      <c r="E4" s="38" t="s">
        <v>625</v>
      </c>
      <c r="F4" s="38" t="s">
        <v>626</v>
      </c>
      <c r="G4" s="38" t="s">
        <v>627</v>
      </c>
      <c r="H4" s="38" t="s">
        <v>628</v>
      </c>
      <c r="I4" s="38" t="s">
        <v>629</v>
      </c>
      <c r="J4" s="38" t="s">
        <v>630</v>
      </c>
      <c r="K4" s="38" t="s">
        <v>631</v>
      </c>
      <c r="L4" s="38" t="s">
        <v>632</v>
      </c>
      <c r="M4" s="38" t="s">
        <v>633</v>
      </c>
      <c r="N4" s="38" t="s">
        <v>634</v>
      </c>
      <c r="Q4" s="38" t="s">
        <v>621</v>
      </c>
      <c r="R4" s="1" t="str">
        <f>_xll.BDH(B114,$P$3,$P$2,$P$2)</f>
        <v>#N/A Invalid Security</v>
      </c>
      <c r="S4" s="1" t="str">
        <f>_xll.BDH(C114,$P$3,$P$2,$P$2)</f>
        <v>#N/A Invalid Security</v>
      </c>
      <c r="T4" s="1" t="str">
        <f>_xll.BDH(D114,$P$3,$P$2,$P$2)</f>
        <v>#N/A Invalid Security</v>
      </c>
      <c r="U4" s="1" t="str">
        <f>_xll.BDH(E114,$P$3,$P$2,$P$2)</f>
        <v>#N/A Invalid Security</v>
      </c>
      <c r="V4" s="16" t="str">
        <f>_xll.BDH(F114,$P$3,$P$2,$P$2)</f>
        <v>#N/A Invalid Security</v>
      </c>
      <c r="W4" s="27" t="str">
        <f>_xll.BDH(G114,$P$3,$P$2,$P$2)</f>
        <v>#N/A Invalid Security</v>
      </c>
      <c r="X4" s="27" t="str">
        <f>_xll.BDH(H114,$P$3,$P$2,$P$2)</f>
        <v>#N/A Invalid Security</v>
      </c>
      <c r="Y4" s="27" t="str">
        <f>_xll.BDH(I114,$P$3,$P$2,$P$2)</f>
        <v>#N/A Invalid Security</v>
      </c>
      <c r="Z4" s="27" t="str">
        <f>_xll.BDH(J114,$P$3,$P$2,$P$2)</f>
        <v>#N/A Invalid Security</v>
      </c>
      <c r="AA4" s="27" t="str">
        <f>_xll.BDH(K114,$P$3,$P$2,$P$2)</f>
        <v>#N/A Invalid Security</v>
      </c>
      <c r="AB4" s="57" t="str">
        <f>_xll.BDH(L114,$P$3,$P$2,$P$2)</f>
        <v>#N/A Invalid Security</v>
      </c>
      <c r="AC4" s="1" t="str">
        <f>_xll.BDH(M114,$P$3,$P$2,$P$2)</f>
        <v>#N/A Invalid Security</v>
      </c>
      <c r="AD4" s="1" t="str">
        <f>_xll.BDH(N114,$P$3,$P$2,$P$2)</f>
        <v>#N/A Invalid Security</v>
      </c>
    </row>
    <row r="5" spans="1:30" ht="16.5" x14ac:dyDescent="0.3">
      <c r="A5" s="38" t="s">
        <v>635</v>
      </c>
      <c r="B5" s="38" t="s">
        <v>636</v>
      </c>
      <c r="C5" s="38" t="s">
        <v>637</v>
      </c>
      <c r="D5" s="38" t="s">
        <v>638</v>
      </c>
      <c r="E5" s="38" t="s">
        <v>639</v>
      </c>
      <c r="F5" s="38" t="s">
        <v>640</v>
      </c>
      <c r="G5" s="38" t="s">
        <v>641</v>
      </c>
      <c r="H5" s="38" t="s">
        <v>642</v>
      </c>
      <c r="I5" s="38" t="s">
        <v>643</v>
      </c>
      <c r="J5" s="38" t="s">
        <v>644</v>
      </c>
      <c r="K5" s="38" t="s">
        <v>645</v>
      </c>
      <c r="L5" s="38" t="s">
        <v>646</v>
      </c>
      <c r="M5" s="38" t="s">
        <v>647</v>
      </c>
      <c r="N5" s="38" t="s">
        <v>648</v>
      </c>
      <c r="Q5" s="38" t="s">
        <v>635</v>
      </c>
      <c r="R5" s="1" t="str">
        <f>_xll.BDH(B115,$P$3,$P$2,$P$2)</f>
        <v>#N/A Invalid Security</v>
      </c>
      <c r="S5" s="1" t="str">
        <f>_xll.BDH(C115,$P$3,$P$2,$P$2)</f>
        <v>#N/A Invalid Security</v>
      </c>
      <c r="T5" s="1" t="str">
        <f>_xll.BDH(D115,$P$3,$P$2,$P$2)</f>
        <v>#N/A Invalid Security</v>
      </c>
      <c r="U5" s="1" t="str">
        <f>_xll.BDH(E115,$P$3,$P$2,$P$2)</f>
        <v>#N/A Invalid Security</v>
      </c>
      <c r="V5" s="16" t="str">
        <f>_xll.BDH(F115,$P$3,$P$2,$P$2)</f>
        <v>#N/A Invalid Security</v>
      </c>
      <c r="W5" s="27" t="str">
        <f>_xll.BDH(G115,$P$3,$P$2,$P$2)</f>
        <v>#N/A Invalid Security</v>
      </c>
      <c r="X5" s="27" t="str">
        <f>_xll.BDH(H115,$P$3,$P$2,$P$2)</f>
        <v>#N/A Invalid Security</v>
      </c>
      <c r="Y5" s="27" t="str">
        <f>_xll.BDH(I115,$P$3,$P$2,$P$2)</f>
        <v>#N/A Invalid Security</v>
      </c>
      <c r="Z5" s="27" t="str">
        <f>_xll.BDH(J115,$P$3,$P$2,$P$2)</f>
        <v>#N/A Invalid Security</v>
      </c>
      <c r="AA5" s="27" t="str">
        <f>_xll.BDH(K115,$P$3,$P$2,$P$2)</f>
        <v>#N/A Invalid Security</v>
      </c>
      <c r="AB5" s="57" t="str">
        <f>_xll.BDH(L115,$P$3,$P$2,$P$2)</f>
        <v>#N/A Invalid Security</v>
      </c>
      <c r="AC5" s="1" t="str">
        <f>_xll.BDH(M115,$P$3,$P$2,$P$2)</f>
        <v>#N/A Invalid Security</v>
      </c>
      <c r="AD5" s="1" t="str">
        <f>_xll.BDH(N115,$P$3,$P$2,$P$2)</f>
        <v>#N/A Invalid Security</v>
      </c>
    </row>
    <row r="6" spans="1:30" ht="16.5" x14ac:dyDescent="0.3">
      <c r="A6" s="38" t="s">
        <v>649</v>
      </c>
      <c r="B6" s="38" t="s">
        <v>650</v>
      </c>
      <c r="C6" s="38" t="s">
        <v>651</v>
      </c>
      <c r="D6" s="38" t="s">
        <v>652</v>
      </c>
      <c r="E6" s="38" t="s">
        <v>653</v>
      </c>
      <c r="F6" s="38" t="s">
        <v>654</v>
      </c>
      <c r="G6" s="38" t="s">
        <v>655</v>
      </c>
      <c r="H6" s="38" t="s">
        <v>656</v>
      </c>
      <c r="I6" s="38" t="s">
        <v>657</v>
      </c>
      <c r="J6" s="38" t="s">
        <v>658</v>
      </c>
      <c r="K6" s="38" t="s">
        <v>659</v>
      </c>
      <c r="L6" s="38" t="s">
        <v>660</v>
      </c>
      <c r="M6" s="38" t="s">
        <v>661</v>
      </c>
      <c r="N6" s="38" t="s">
        <v>662</v>
      </c>
      <c r="Q6" s="38" t="s">
        <v>649</v>
      </c>
      <c r="R6" s="1" t="str">
        <f>_xll.BDH(B116,$P$3,$P$2,$P$2)</f>
        <v>#N/A Invalid Security</v>
      </c>
      <c r="S6" s="1" t="str">
        <f>_xll.BDH(C116,$P$3,$P$2,$P$2)</f>
        <v>#N/A Invalid Security</v>
      </c>
      <c r="T6" s="1" t="str">
        <f>_xll.BDH(D116,$P$3,$P$2,$P$2)</f>
        <v>#N/A Invalid Security</v>
      </c>
      <c r="U6" s="1" t="str">
        <f>_xll.BDH(E116,$P$3,$P$2,$P$2)</f>
        <v>#N/A Invalid Security</v>
      </c>
      <c r="V6" s="16" t="str">
        <f>_xll.BDH(F116,$P$3,$P$2,$P$2)</f>
        <v>#N/A Invalid Security</v>
      </c>
      <c r="W6" s="27" t="str">
        <f>_xll.BDH(G116,$P$3,$P$2,$P$2)</f>
        <v>#N/A Invalid Security</v>
      </c>
      <c r="X6" s="27" t="str">
        <f>_xll.BDH(H116,$P$3,$P$2,$P$2)</f>
        <v>#N/A Invalid Security</v>
      </c>
      <c r="Y6" s="27" t="str">
        <f>_xll.BDH(I116,$P$3,$P$2,$P$2)</f>
        <v>#N/A Invalid Security</v>
      </c>
      <c r="Z6" s="27" t="str">
        <f>_xll.BDH(J116,$P$3,$P$2,$P$2)</f>
        <v>#N/A Invalid Security</v>
      </c>
      <c r="AA6" s="27" t="str">
        <f>_xll.BDH(K116,$P$3,$P$2,$P$2)</f>
        <v>#N/A Invalid Security</v>
      </c>
      <c r="AB6" s="57" t="str">
        <f>_xll.BDH(L116,$P$3,$P$2,$P$2)</f>
        <v>#N/A Invalid Security</v>
      </c>
      <c r="AC6" s="1" t="str">
        <f>_xll.BDH(M116,$P$3,$P$2,$P$2)</f>
        <v>#N/A Invalid Security</v>
      </c>
      <c r="AD6" s="1" t="str">
        <f>_xll.BDH(N116,$P$3,$P$2,$P$2)</f>
        <v>#N/A Invalid Security</v>
      </c>
    </row>
    <row r="7" spans="1:30" ht="16.5" x14ac:dyDescent="0.3">
      <c r="A7" s="38" t="s">
        <v>663</v>
      </c>
      <c r="B7" s="38" t="s">
        <v>664</v>
      </c>
      <c r="C7" s="38" t="s">
        <v>665</v>
      </c>
      <c r="D7" s="38" t="s">
        <v>666</v>
      </c>
      <c r="E7" s="38" t="s">
        <v>667</v>
      </c>
      <c r="F7" s="38" t="s">
        <v>668</v>
      </c>
      <c r="G7" s="38" t="s">
        <v>669</v>
      </c>
      <c r="H7" s="38" t="s">
        <v>670</v>
      </c>
      <c r="I7" s="38" t="s">
        <v>671</v>
      </c>
      <c r="J7" s="38" t="s">
        <v>672</v>
      </c>
      <c r="K7" s="38" t="s">
        <v>673</v>
      </c>
      <c r="L7" s="38" t="s">
        <v>674</v>
      </c>
      <c r="M7" s="38" t="s">
        <v>675</v>
      </c>
      <c r="N7" s="38" t="s">
        <v>676</v>
      </c>
      <c r="Q7" s="38" t="s">
        <v>663</v>
      </c>
      <c r="R7" s="1" t="str">
        <f>_xll.BDH(B117,$P$3,$P$2,$P$2)</f>
        <v>#N/A Invalid Security</v>
      </c>
      <c r="S7" s="1" t="str">
        <f>_xll.BDH(C117,$P$3,$P$2,$P$2)</f>
        <v>#N/A Invalid Security</v>
      </c>
      <c r="T7" s="1" t="str">
        <f>_xll.BDH(D117,$P$3,$P$2,$P$2)</f>
        <v>#N/A Invalid Security</v>
      </c>
      <c r="U7" s="1" t="str">
        <f>_xll.BDH(E117,$P$3,$P$2,$P$2)</f>
        <v>#N/A Invalid Security</v>
      </c>
      <c r="V7" s="16" t="str">
        <f>_xll.BDH(F117,$P$3,$P$2,$P$2)</f>
        <v>#N/A Invalid Security</v>
      </c>
      <c r="W7" s="27" t="str">
        <f>_xll.BDH(G117,$P$3,$P$2,$P$2)</f>
        <v>#N/A Invalid Security</v>
      </c>
      <c r="X7" s="27" t="str">
        <f>_xll.BDH(H117,$P$3,$P$2,$P$2)</f>
        <v>#N/A Invalid Security</v>
      </c>
      <c r="Y7" s="27" t="str">
        <f>_xll.BDH(I117,$P$3,$P$2,$P$2)</f>
        <v>#N/A Invalid Security</v>
      </c>
      <c r="Z7" s="27" t="str">
        <f>_xll.BDH(J117,$P$3,$P$2,$P$2)</f>
        <v>#N/A Invalid Security</v>
      </c>
      <c r="AA7" s="27" t="str">
        <f>_xll.BDH(K117,$P$3,$P$2,$P$2)</f>
        <v>#N/A Invalid Security</v>
      </c>
      <c r="AB7" s="57" t="str">
        <f>_xll.BDH(L117,$P$3,$P$2,$P$2)</f>
        <v>#N/A Invalid Security</v>
      </c>
      <c r="AC7" s="1" t="str">
        <f>_xll.BDH(M117,$P$3,$P$2,$P$2)</f>
        <v>#N/A Invalid Security</v>
      </c>
      <c r="AD7" s="1" t="str">
        <f>_xll.BDH(N117,$P$3,$P$2,$P$2)</f>
        <v>#N/A Invalid Security</v>
      </c>
    </row>
    <row r="8" spans="1:30" ht="16.5" x14ac:dyDescent="0.3">
      <c r="A8" s="38" t="s">
        <v>677</v>
      </c>
      <c r="B8" s="38" t="s">
        <v>678</v>
      </c>
      <c r="C8" s="38" t="s">
        <v>679</v>
      </c>
      <c r="D8" s="38" t="s">
        <v>680</v>
      </c>
      <c r="E8" s="38" t="s">
        <v>681</v>
      </c>
      <c r="F8" s="38" t="s">
        <v>682</v>
      </c>
      <c r="G8" s="38" t="s">
        <v>683</v>
      </c>
      <c r="H8" s="38" t="s">
        <v>684</v>
      </c>
      <c r="I8" s="38" t="s">
        <v>685</v>
      </c>
      <c r="J8" s="38" t="s">
        <v>686</v>
      </c>
      <c r="K8" s="38" t="s">
        <v>687</v>
      </c>
      <c r="L8" s="38" t="s">
        <v>688</v>
      </c>
      <c r="M8" s="38" t="s">
        <v>689</v>
      </c>
      <c r="N8" s="38" t="s">
        <v>690</v>
      </c>
      <c r="Q8" s="38" t="s">
        <v>677</v>
      </c>
      <c r="R8" s="1" t="str">
        <f>_xll.BDH(B118,$P$3,$P$2,$P$2)</f>
        <v>#N/A Invalid Security</v>
      </c>
      <c r="S8" s="1" t="str">
        <f>_xll.BDH(C118,$P$3,$P$2,$P$2)</f>
        <v>#N/A Invalid Security</v>
      </c>
      <c r="T8" s="1" t="str">
        <f>_xll.BDH(D118,$P$3,$P$2,$P$2)</f>
        <v>#N/A Invalid Security</v>
      </c>
      <c r="U8" s="1" t="str">
        <f>_xll.BDH(E118,$P$3,$P$2,$P$2)</f>
        <v>#N/A Invalid Security</v>
      </c>
      <c r="V8" s="16" t="str">
        <f>_xll.BDH(F118,$P$3,$P$2,$P$2)</f>
        <v>#N/A Invalid Security</v>
      </c>
      <c r="W8" s="27" t="str">
        <f>_xll.BDH(G118,$P$3,$P$2,$P$2)</f>
        <v>#N/A Invalid Security</v>
      </c>
      <c r="X8" s="27" t="str">
        <f>_xll.BDH(H118,$P$3,$P$2,$P$2)</f>
        <v>#N/A Invalid Security</v>
      </c>
      <c r="Y8" s="27" t="str">
        <f>_xll.BDH(I118,$P$3,$P$2,$P$2)</f>
        <v>#N/A Invalid Security</v>
      </c>
      <c r="Z8" s="27" t="str">
        <f>_xll.BDH(J118,$P$3,$P$2,$P$2)</f>
        <v>#N/A Invalid Security</v>
      </c>
      <c r="AA8" s="27" t="str">
        <f>_xll.BDH(K118,$P$3,$P$2,$P$2)</f>
        <v>#N/A Invalid Security</v>
      </c>
      <c r="AB8" s="57" t="str">
        <f>_xll.BDH(L118,$P$3,$P$2,$P$2)</f>
        <v>#N/A Invalid Security</v>
      </c>
      <c r="AC8" s="1" t="str">
        <f>_xll.BDH(M118,$P$3,$P$2,$P$2)</f>
        <v>#N/A Invalid Security</v>
      </c>
      <c r="AD8" s="1" t="str">
        <f>_xll.BDH(N118,$P$3,$P$2,$P$2)</f>
        <v>#N/A Invalid Security</v>
      </c>
    </row>
    <row r="9" spans="1:30" ht="16.5" x14ac:dyDescent="0.3">
      <c r="A9" s="38" t="s">
        <v>691</v>
      </c>
      <c r="B9" s="38" t="s">
        <v>692</v>
      </c>
      <c r="C9" s="38" t="s">
        <v>693</v>
      </c>
      <c r="D9" s="38" t="s">
        <v>694</v>
      </c>
      <c r="E9" s="38" t="s">
        <v>695</v>
      </c>
      <c r="F9" s="38" t="s">
        <v>696</v>
      </c>
      <c r="G9" s="38" t="s">
        <v>697</v>
      </c>
      <c r="H9" s="38" t="s">
        <v>698</v>
      </c>
      <c r="I9" s="38" t="s">
        <v>699</v>
      </c>
      <c r="J9" s="38" t="s">
        <v>700</v>
      </c>
      <c r="K9" s="38" t="s">
        <v>701</v>
      </c>
      <c r="L9" s="38" t="s">
        <v>702</v>
      </c>
      <c r="M9" s="38" t="s">
        <v>703</v>
      </c>
      <c r="N9" s="38" t="s">
        <v>704</v>
      </c>
      <c r="Q9" s="38" t="s">
        <v>691</v>
      </c>
      <c r="R9" s="1" t="str">
        <f>_xll.BDH(B119,$P$3,$P$2,$P$2)</f>
        <v>#N/A Invalid Security</v>
      </c>
      <c r="S9" s="1" t="str">
        <f>_xll.BDH(C119,$P$3,$P$2,$P$2)</f>
        <v>#N/A Invalid Security</v>
      </c>
      <c r="T9" s="1" t="str">
        <f>_xll.BDH(D119,$P$3,$P$2,$P$2)</f>
        <v>#N/A Invalid Security</v>
      </c>
      <c r="U9" s="1" t="str">
        <f>_xll.BDH(E119,$P$3,$P$2,$P$2)</f>
        <v>#N/A Invalid Security</v>
      </c>
      <c r="V9" s="16" t="str">
        <f>_xll.BDH(F119,$P$3,$P$2,$P$2)</f>
        <v>#N/A Invalid Security</v>
      </c>
      <c r="W9" s="27" t="str">
        <f>_xll.BDH(G119,$P$3,$P$2,$P$2)</f>
        <v>#N/A Invalid Security</v>
      </c>
      <c r="X9" s="27" t="str">
        <f>_xll.BDH(H119,$P$3,$P$2,$P$2)</f>
        <v>#N/A Invalid Security</v>
      </c>
      <c r="Y9" s="27" t="str">
        <f>_xll.BDH(I119,$P$3,$P$2,$P$2)</f>
        <v>#N/A Invalid Security</v>
      </c>
      <c r="Z9" s="27" t="str">
        <f>_xll.BDH(J119,$P$3,$P$2,$P$2)</f>
        <v>#N/A Invalid Security</v>
      </c>
      <c r="AA9" s="27" t="str">
        <f>_xll.BDH(K119,$P$3,$P$2,$P$2)</f>
        <v>#N/A Invalid Security</v>
      </c>
      <c r="AB9" s="57" t="str">
        <f>_xll.BDH(L119,$P$3,$P$2,$P$2)</f>
        <v>#N/A Invalid Security</v>
      </c>
      <c r="AC9" s="1" t="str">
        <f>_xll.BDH(M119,$P$3,$P$2,$P$2)</f>
        <v>#N/A Invalid Security</v>
      </c>
      <c r="AD9" s="1" t="str">
        <f>_xll.BDH(N119,$P$3,$P$2,$P$2)</f>
        <v>#N/A Invalid Security</v>
      </c>
    </row>
    <row r="10" spans="1:30" ht="16.5" x14ac:dyDescent="0.3">
      <c r="A10" s="38" t="s">
        <v>705</v>
      </c>
      <c r="B10" s="38" t="s">
        <v>706</v>
      </c>
      <c r="C10" s="38" t="s">
        <v>707</v>
      </c>
      <c r="D10" s="38" t="s">
        <v>708</v>
      </c>
      <c r="E10" s="38" t="s">
        <v>709</v>
      </c>
      <c r="F10" s="38" t="s">
        <v>710</v>
      </c>
      <c r="G10" s="38" t="s">
        <v>711</v>
      </c>
      <c r="H10" s="38" t="s">
        <v>712</v>
      </c>
      <c r="I10" s="38" t="s">
        <v>713</v>
      </c>
      <c r="J10" s="38" t="s">
        <v>714</v>
      </c>
      <c r="K10" s="38" t="s">
        <v>715</v>
      </c>
      <c r="L10" s="38" t="s">
        <v>716</v>
      </c>
      <c r="M10" s="38" t="s">
        <v>717</v>
      </c>
      <c r="N10" s="38" t="s">
        <v>718</v>
      </c>
      <c r="Q10" s="38" t="s">
        <v>705</v>
      </c>
      <c r="R10" s="1" t="str">
        <f>_xll.BDH(B120,$P$3,$P$2,$P$2)</f>
        <v>#N/A Invalid Security</v>
      </c>
      <c r="S10" s="1" t="str">
        <f>_xll.BDH(C120,$P$3,$P$2,$P$2)</f>
        <v>#N/A Invalid Security</v>
      </c>
      <c r="T10" s="1" t="str">
        <f>_xll.BDH(D120,$P$3,$P$2,$P$2)</f>
        <v>#N/A Invalid Security</v>
      </c>
      <c r="U10" s="1" t="str">
        <f>_xll.BDH(E120,$P$3,$P$2,$P$2)</f>
        <v>#N/A Invalid Security</v>
      </c>
      <c r="V10" s="16" t="str">
        <f>_xll.BDH(F120,$P$3,$P$2,$P$2)</f>
        <v>#N/A Invalid Security</v>
      </c>
      <c r="W10" s="27" t="str">
        <f>_xll.BDH(G120,$P$3,$P$2,$P$2)</f>
        <v>#N/A Invalid Security</v>
      </c>
      <c r="X10" s="27" t="str">
        <f>_xll.BDH(H120,$P$3,$P$2,$P$2)</f>
        <v>#N/A Invalid Security</v>
      </c>
      <c r="Y10" s="27" t="str">
        <f>_xll.BDH(I120,$P$3,$P$2,$P$2)</f>
        <v>#N/A Invalid Security</v>
      </c>
      <c r="Z10" s="27" t="str">
        <f>_xll.BDH(J120,$P$3,$P$2,$P$2)</f>
        <v>#N/A Invalid Security</v>
      </c>
      <c r="AA10" s="27" t="str">
        <f>_xll.BDH(K120,$P$3,$P$2,$P$2)</f>
        <v>#N/A Invalid Security</v>
      </c>
      <c r="AB10" s="57" t="str">
        <f>_xll.BDH(L120,$P$3,$P$2,$P$2)</f>
        <v>#N/A Invalid Security</v>
      </c>
      <c r="AC10" s="1" t="str">
        <f>_xll.BDH(M120,$P$3,$P$2,$P$2)</f>
        <v>#N/A Invalid Security</v>
      </c>
      <c r="AD10" s="1" t="str">
        <f>_xll.BDH(N120,$P$3,$P$2,$P$2)</f>
        <v>#N/A Invalid Security</v>
      </c>
    </row>
    <row r="11" spans="1:30" ht="16.5" x14ac:dyDescent="0.3">
      <c r="A11" s="38" t="s">
        <v>719</v>
      </c>
      <c r="B11" s="38" t="s">
        <v>720</v>
      </c>
      <c r="C11" s="38" t="s">
        <v>721</v>
      </c>
      <c r="D11" s="38" t="s">
        <v>722</v>
      </c>
      <c r="E11" s="38" t="s">
        <v>723</v>
      </c>
      <c r="F11" s="38" t="s">
        <v>724</v>
      </c>
      <c r="G11" s="38" t="s">
        <v>725</v>
      </c>
      <c r="H11" s="38" t="s">
        <v>726</v>
      </c>
      <c r="I11" s="38" t="s">
        <v>727</v>
      </c>
      <c r="J11" s="38" t="s">
        <v>728</v>
      </c>
      <c r="K11" s="38" t="s">
        <v>729</v>
      </c>
      <c r="L11" s="38" t="s">
        <v>730</v>
      </c>
      <c r="M11" s="38" t="s">
        <v>731</v>
      </c>
      <c r="N11" s="38" t="s">
        <v>732</v>
      </c>
      <c r="Q11" s="38" t="s">
        <v>719</v>
      </c>
      <c r="R11" s="1" t="str">
        <f>_xll.BDH(B121,$P$3,$P$2,$P$2)</f>
        <v>#N/A Invalid Security</v>
      </c>
      <c r="S11" s="1" t="str">
        <f>_xll.BDH(C121,$P$3,$P$2,$P$2)</f>
        <v>#N/A Invalid Security</v>
      </c>
      <c r="T11" s="1" t="str">
        <f>_xll.BDH(D121,$P$3,$P$2,$P$2)</f>
        <v>#N/A Invalid Security</v>
      </c>
      <c r="U11" s="1" t="str">
        <f>_xll.BDH(E121,$P$3,$P$2,$P$2)</f>
        <v>#N/A Invalid Security</v>
      </c>
      <c r="V11" s="16" t="str">
        <f>_xll.BDH(F121,$P$3,$P$2,$P$2)</f>
        <v>#N/A Invalid Security</v>
      </c>
      <c r="W11" s="27" t="str">
        <f>_xll.BDH(G121,$P$3,$P$2,$P$2)</f>
        <v>#N/A Invalid Security</v>
      </c>
      <c r="X11" s="27" t="str">
        <f>_xll.BDH(H121,$P$3,$P$2,$P$2)</f>
        <v>#N/A Invalid Security</v>
      </c>
      <c r="Y11" s="27" t="str">
        <f>_xll.BDH(I121,$P$3,$P$2,$P$2)</f>
        <v>#N/A Invalid Security</v>
      </c>
      <c r="Z11" s="27" t="str">
        <f>_xll.BDH(J121,$P$3,$P$2,$P$2)</f>
        <v>#N/A Invalid Security</v>
      </c>
      <c r="AA11" s="27" t="str">
        <f>_xll.BDH(K121,$P$3,$P$2,$P$2)</f>
        <v>#N/A Invalid Security</v>
      </c>
      <c r="AB11" s="57" t="str">
        <f>_xll.BDH(L121,$P$3,$P$2,$P$2)</f>
        <v>#N/A Invalid Security</v>
      </c>
      <c r="AC11" s="1" t="str">
        <f>_xll.BDH(M121,$P$3,$P$2,$P$2)</f>
        <v>#N/A Invalid Security</v>
      </c>
      <c r="AD11" s="1" t="str">
        <f>_xll.BDH(N121,$P$3,$P$2,$P$2)</f>
        <v>#N/A Invalid Security</v>
      </c>
    </row>
    <row r="12" spans="1:30" ht="16.5" x14ac:dyDescent="0.3">
      <c r="A12" s="38" t="s">
        <v>733</v>
      </c>
      <c r="B12" s="38" t="s">
        <v>734</v>
      </c>
      <c r="C12" s="38" t="s">
        <v>735</v>
      </c>
      <c r="D12" s="38" t="s">
        <v>736</v>
      </c>
      <c r="E12" s="38" t="s">
        <v>737</v>
      </c>
      <c r="F12" s="38" t="s">
        <v>738</v>
      </c>
      <c r="G12" s="38" t="s">
        <v>739</v>
      </c>
      <c r="H12" s="38" t="s">
        <v>740</v>
      </c>
      <c r="I12" s="38" t="s">
        <v>741</v>
      </c>
      <c r="J12" s="38" t="s">
        <v>742</v>
      </c>
      <c r="K12" s="38" t="s">
        <v>743</v>
      </c>
      <c r="L12" s="38" t="s">
        <v>744</v>
      </c>
      <c r="M12" s="38" t="s">
        <v>745</v>
      </c>
      <c r="N12" s="38" t="s">
        <v>746</v>
      </c>
      <c r="Q12" s="38" t="s">
        <v>733</v>
      </c>
      <c r="R12" s="1" t="str">
        <f>_xll.BDH(B122,$P$3,$P$2,$P$2)</f>
        <v>#N/A Invalid Security</v>
      </c>
      <c r="S12" s="1" t="str">
        <f>_xll.BDH(C122,$P$3,$P$2,$P$2)</f>
        <v>#N/A Invalid Security</v>
      </c>
      <c r="T12" s="1" t="str">
        <f>_xll.BDH(D122,$P$3,$P$2,$P$2)</f>
        <v>#N/A Invalid Security</v>
      </c>
      <c r="U12" s="1" t="str">
        <f>_xll.BDH(E122,$P$3,$P$2,$P$2)</f>
        <v>#N/A Invalid Security</v>
      </c>
      <c r="V12" s="16" t="str">
        <f>_xll.BDH(F122,$P$3,$P$2,$P$2)</f>
        <v>#N/A Invalid Security</v>
      </c>
      <c r="W12" s="27" t="str">
        <f>_xll.BDH(G122,$P$3,$P$2,$P$2)</f>
        <v>#N/A Invalid Security</v>
      </c>
      <c r="X12" s="27" t="str">
        <f>_xll.BDH(H122,$P$3,$P$2,$P$2)</f>
        <v>#N/A Invalid Security</v>
      </c>
      <c r="Y12" s="27" t="str">
        <f>_xll.BDH(I122,$P$3,$P$2,$P$2)</f>
        <v>#N/A Invalid Security</v>
      </c>
      <c r="Z12" s="27" t="str">
        <f>_xll.BDH(J122,$P$3,$P$2,$P$2)</f>
        <v>#N/A Invalid Security</v>
      </c>
      <c r="AA12" s="27" t="str">
        <f>_xll.BDH(K122,$P$3,$P$2,$P$2)</f>
        <v>#N/A Invalid Security</v>
      </c>
      <c r="AB12" s="57" t="str">
        <f>_xll.BDH(L122,$P$3,$P$2,$P$2)</f>
        <v>#N/A Invalid Security</v>
      </c>
      <c r="AC12" s="1" t="str">
        <f>_xll.BDH(M122,$P$3,$P$2,$P$2)</f>
        <v>#N/A Invalid Security</v>
      </c>
      <c r="AD12" s="1" t="str">
        <f>_xll.BDH(N122,$P$3,$P$2,$P$2)</f>
        <v>#N/A Invalid Security</v>
      </c>
    </row>
    <row r="13" spans="1:30" ht="16.5" x14ac:dyDescent="0.3">
      <c r="A13" s="38" t="s">
        <v>747</v>
      </c>
      <c r="B13" s="38" t="s">
        <v>748</v>
      </c>
      <c r="C13" s="38" t="s">
        <v>749</v>
      </c>
      <c r="D13" s="38" t="s">
        <v>750</v>
      </c>
      <c r="E13" s="38" t="s">
        <v>751</v>
      </c>
      <c r="F13" s="38" t="s">
        <v>752</v>
      </c>
      <c r="G13" s="38" t="s">
        <v>753</v>
      </c>
      <c r="H13" s="38" t="s">
        <v>754</v>
      </c>
      <c r="I13" s="38" t="s">
        <v>755</v>
      </c>
      <c r="J13" s="38" t="s">
        <v>756</v>
      </c>
      <c r="K13" s="38" t="s">
        <v>757</v>
      </c>
      <c r="L13" s="38" t="s">
        <v>758</v>
      </c>
      <c r="M13" s="38" t="s">
        <v>759</v>
      </c>
      <c r="N13" s="38" t="s">
        <v>760</v>
      </c>
      <c r="Q13" s="38" t="s">
        <v>747</v>
      </c>
      <c r="R13" s="1" t="str">
        <f>_xll.BDH(B123,$P$3,$P$2,$P$2)</f>
        <v>#N/A Invalid Security</v>
      </c>
      <c r="S13" s="1" t="str">
        <f>_xll.BDH(C123,$P$3,$P$2,$P$2)</f>
        <v>#N/A Invalid Security</v>
      </c>
      <c r="T13" s="1" t="str">
        <f>_xll.BDH(D123,$P$3,$P$2,$P$2)</f>
        <v>#N/A Invalid Security</v>
      </c>
      <c r="U13" s="1" t="str">
        <f>_xll.BDH(E123,$P$3,$P$2,$P$2)</f>
        <v>#N/A Invalid Security</v>
      </c>
      <c r="V13" s="16" t="str">
        <f>_xll.BDH(F123,$P$3,$P$2,$P$2)</f>
        <v>#N/A Invalid Security</v>
      </c>
      <c r="W13" s="27" t="str">
        <f>_xll.BDH(G123,$P$3,$P$2,$P$2)</f>
        <v>#N/A Invalid Security</v>
      </c>
      <c r="X13" s="27" t="str">
        <f>_xll.BDH(H123,$P$3,$P$2,$P$2)</f>
        <v>#N/A Invalid Security</v>
      </c>
      <c r="Y13" s="27" t="str">
        <f>_xll.BDH(I123,$P$3,$P$2,$P$2)</f>
        <v>#N/A Invalid Security</v>
      </c>
      <c r="Z13" s="27" t="str">
        <f>_xll.BDH(J123,$P$3,$P$2,$P$2)</f>
        <v>#N/A Invalid Security</v>
      </c>
      <c r="AA13" s="27" t="str">
        <f>_xll.BDH(K123,$P$3,$P$2,$P$2)</f>
        <v>#N/A Invalid Security</v>
      </c>
      <c r="AB13" s="57" t="str">
        <f>_xll.BDH(L123,$P$3,$P$2,$P$2)</f>
        <v>#N/A Invalid Security</v>
      </c>
      <c r="AC13" s="1" t="str">
        <f>_xll.BDH(M123,$P$3,$P$2,$P$2)</f>
        <v>#N/A Invalid Security</v>
      </c>
      <c r="AD13" s="1" t="str">
        <f>_xll.BDH(N123,$P$3,$P$2,$P$2)</f>
        <v>#N/A Invalid Security</v>
      </c>
    </row>
    <row r="14" spans="1:30" ht="16.5" x14ac:dyDescent="0.3">
      <c r="A14" s="38" t="s">
        <v>761</v>
      </c>
      <c r="B14" s="38" t="s">
        <v>762</v>
      </c>
      <c r="C14" s="38" t="s">
        <v>763</v>
      </c>
      <c r="D14" s="38" t="s">
        <v>764</v>
      </c>
      <c r="E14" s="38" t="s">
        <v>765</v>
      </c>
      <c r="F14" s="38" t="s">
        <v>766</v>
      </c>
      <c r="G14" s="38" t="s">
        <v>767</v>
      </c>
      <c r="H14" s="38" t="s">
        <v>768</v>
      </c>
      <c r="I14" s="38" t="s">
        <v>769</v>
      </c>
      <c r="J14" s="38" t="s">
        <v>770</v>
      </c>
      <c r="K14" s="38" t="s">
        <v>771</v>
      </c>
      <c r="L14" s="38" t="s">
        <v>772</v>
      </c>
      <c r="M14" s="38" t="s">
        <v>773</v>
      </c>
      <c r="N14" s="38" t="s">
        <v>774</v>
      </c>
      <c r="Q14" s="38" t="s">
        <v>761</v>
      </c>
      <c r="R14" s="1" t="str">
        <f>_xll.BDH(B124,$P$3,$P$2,$P$2)</f>
        <v>#N/A Invalid Security</v>
      </c>
      <c r="S14" s="1" t="str">
        <f>_xll.BDH(C124,$P$3,$P$2,$P$2)</f>
        <v>#N/A Invalid Security</v>
      </c>
      <c r="T14" s="1" t="str">
        <f>_xll.BDH(D124,$P$3,$P$2,$P$2)</f>
        <v>#N/A Invalid Security</v>
      </c>
      <c r="U14" s="1" t="str">
        <f>_xll.BDH(E124,$P$3,$P$2,$P$2)</f>
        <v>#N/A Invalid Security</v>
      </c>
      <c r="V14" s="16" t="str">
        <f>_xll.BDH(F124,$P$3,$P$2,$P$2)</f>
        <v>#N/A Invalid Security</v>
      </c>
      <c r="W14" s="27" t="str">
        <f>_xll.BDH(G124,$P$3,$P$2,$P$2)</f>
        <v>#N/A Invalid Security</v>
      </c>
      <c r="X14" s="27" t="str">
        <f>_xll.BDH(H124,$P$3,$P$2,$P$2)</f>
        <v>#N/A Invalid Security</v>
      </c>
      <c r="Y14" s="27" t="str">
        <f>_xll.BDH(I124,$P$3,$P$2,$P$2)</f>
        <v>#N/A Invalid Security</v>
      </c>
      <c r="Z14" s="27" t="str">
        <f>_xll.BDH(J124,$P$3,$P$2,$P$2)</f>
        <v>#N/A Invalid Security</v>
      </c>
      <c r="AA14" s="27" t="str">
        <f>_xll.BDH(K124,$P$3,$P$2,$P$2)</f>
        <v>#N/A Invalid Security</v>
      </c>
      <c r="AB14" s="57" t="str">
        <f>_xll.BDH(L124,$P$3,$P$2,$P$2)</f>
        <v>#N/A Invalid Security</v>
      </c>
      <c r="AC14" s="1" t="str">
        <f>_xll.BDH(M124,$P$3,$P$2,$P$2)</f>
        <v>#N/A Invalid Security</v>
      </c>
      <c r="AD14" s="1" t="str">
        <f>_xll.BDH(N124,$P$3,$P$2,$P$2)</f>
        <v>#N/A Invalid Security</v>
      </c>
    </row>
    <row r="15" spans="1:30" ht="16.5" x14ac:dyDescent="0.3">
      <c r="A15" s="38" t="s">
        <v>775</v>
      </c>
      <c r="B15" s="38" t="s">
        <v>776</v>
      </c>
      <c r="C15" s="38" t="s">
        <v>777</v>
      </c>
      <c r="D15" s="38" t="s">
        <v>778</v>
      </c>
      <c r="E15" s="38" t="s">
        <v>779</v>
      </c>
      <c r="F15" s="38" t="s">
        <v>780</v>
      </c>
      <c r="G15" s="38" t="s">
        <v>781</v>
      </c>
      <c r="H15" s="38" t="s">
        <v>782</v>
      </c>
      <c r="I15" s="38" t="s">
        <v>783</v>
      </c>
      <c r="J15" s="38" t="s">
        <v>784</v>
      </c>
      <c r="K15" s="38" t="s">
        <v>785</v>
      </c>
      <c r="L15" s="38" t="s">
        <v>786</v>
      </c>
      <c r="M15" s="38" t="s">
        <v>787</v>
      </c>
      <c r="N15" s="38" t="s">
        <v>788</v>
      </c>
      <c r="Q15" s="38" t="s">
        <v>775</v>
      </c>
      <c r="R15" s="1" t="str">
        <f>_xll.BDH(B125,$P$3,$P$2,$P$2)</f>
        <v>#N/A Invalid Security</v>
      </c>
      <c r="S15" s="1" t="str">
        <f>_xll.BDH(C125,$P$3,$P$2,$P$2)</f>
        <v>#N/A Invalid Security</v>
      </c>
      <c r="T15" s="1" t="str">
        <f>_xll.BDH(D125,$P$3,$P$2,$P$2)</f>
        <v>#N/A Invalid Security</v>
      </c>
      <c r="U15" s="1" t="str">
        <f>_xll.BDH(E125,$P$3,$P$2,$P$2)</f>
        <v>#N/A Invalid Security</v>
      </c>
      <c r="V15" s="16" t="str">
        <f>_xll.BDH(F125,$P$3,$P$2,$P$2)</f>
        <v>#N/A Invalid Security</v>
      </c>
      <c r="W15" s="27" t="str">
        <f>_xll.BDH(G125,$P$3,$P$2,$P$2)</f>
        <v>#N/A Invalid Security</v>
      </c>
      <c r="X15" s="27" t="str">
        <f>_xll.BDH(H125,$P$3,$P$2,$P$2)</f>
        <v>#N/A Invalid Security</v>
      </c>
      <c r="Y15" s="27" t="str">
        <f>_xll.BDH(I125,$P$3,$P$2,$P$2)</f>
        <v>#N/A Invalid Security</v>
      </c>
      <c r="Z15" s="27" t="str">
        <f>_xll.BDH(J125,$P$3,$P$2,$P$2)</f>
        <v>#N/A Invalid Security</v>
      </c>
      <c r="AA15" s="27" t="str">
        <f>_xll.BDH(K125,$P$3,$P$2,$P$2)</f>
        <v>#N/A Invalid Security</v>
      </c>
      <c r="AB15" s="57" t="str">
        <f>_xll.BDH(L125,$P$3,$P$2,$P$2)</f>
        <v>#N/A Invalid Security</v>
      </c>
      <c r="AC15" s="1" t="str">
        <f>_xll.BDH(M125,$P$3,$P$2,$P$2)</f>
        <v>#N/A Invalid Security</v>
      </c>
      <c r="AD15" s="1" t="str">
        <f>_xll.BDH(N125,$P$3,$P$2,$P$2)</f>
        <v>#N/A Invalid Security</v>
      </c>
    </row>
    <row r="16" spans="1:30" ht="16.5" x14ac:dyDescent="0.3">
      <c r="A16" s="38" t="s">
        <v>789</v>
      </c>
      <c r="B16" s="38" t="s">
        <v>790</v>
      </c>
      <c r="C16" s="38" t="s">
        <v>791</v>
      </c>
      <c r="D16" s="38" t="s">
        <v>792</v>
      </c>
      <c r="E16" s="38" t="s">
        <v>793</v>
      </c>
      <c r="F16" s="38" t="s">
        <v>794</v>
      </c>
      <c r="G16" s="38" t="s">
        <v>795</v>
      </c>
      <c r="H16" s="38" t="s">
        <v>796</v>
      </c>
      <c r="I16" s="38" t="s">
        <v>797</v>
      </c>
      <c r="J16" s="38" t="s">
        <v>798</v>
      </c>
      <c r="K16" s="38" t="s">
        <v>799</v>
      </c>
      <c r="L16" s="38" t="s">
        <v>800</v>
      </c>
      <c r="M16" s="38" t="s">
        <v>801</v>
      </c>
      <c r="N16" s="38" t="s">
        <v>802</v>
      </c>
      <c r="Q16" s="38" t="s">
        <v>789</v>
      </c>
      <c r="R16" s="1" t="str">
        <f>_xll.BDH(B126,$P$3,$P$2,$P$2)</f>
        <v>#N/A Invalid Security</v>
      </c>
      <c r="S16" s="1" t="str">
        <f>_xll.BDH(C126,$P$3,$P$2,$P$2)</f>
        <v>#N/A Invalid Security</v>
      </c>
      <c r="T16" s="1" t="str">
        <f>_xll.BDH(D126,$P$3,$P$2,$P$2)</f>
        <v>#N/A Invalid Security</v>
      </c>
      <c r="U16" s="1" t="str">
        <f>_xll.BDH(E126,$P$3,$P$2,$P$2)</f>
        <v>#N/A Invalid Security</v>
      </c>
      <c r="V16" s="16" t="str">
        <f>_xll.BDH(F126,$P$3,$P$2,$P$2)</f>
        <v>#N/A Invalid Security</v>
      </c>
      <c r="W16" s="27" t="str">
        <f>_xll.BDH(G126,$P$3,$P$2,$P$2)</f>
        <v>#N/A Invalid Security</v>
      </c>
      <c r="X16" s="27" t="str">
        <f>_xll.BDH(H126,$P$3,$P$2,$P$2)</f>
        <v>#N/A Invalid Security</v>
      </c>
      <c r="Y16" s="27" t="str">
        <f>_xll.BDH(I126,$P$3,$P$2,$P$2)</f>
        <v>#N/A Invalid Security</v>
      </c>
      <c r="Z16" s="27" t="str">
        <f>_xll.BDH(J126,$P$3,$P$2,$P$2)</f>
        <v>#N/A Invalid Security</v>
      </c>
      <c r="AA16" s="27" t="str">
        <f>_xll.BDH(K126,$P$3,$P$2,$P$2)</f>
        <v>#N/A Invalid Security</v>
      </c>
      <c r="AB16" s="57" t="str">
        <f>_xll.BDH(L126,$P$3,$P$2,$P$2)</f>
        <v>#N/A Invalid Security</v>
      </c>
      <c r="AC16" s="1" t="str">
        <f>_xll.BDH(M126,$P$3,$P$2,$P$2)</f>
        <v>#N/A Invalid Security</v>
      </c>
      <c r="AD16" s="1" t="str">
        <f>_xll.BDH(N126,$P$3,$P$2,$P$2)</f>
        <v>#N/A Invalid Security</v>
      </c>
    </row>
    <row r="17" spans="1:30" ht="16.5" x14ac:dyDescent="0.3">
      <c r="A17" s="38" t="s">
        <v>803</v>
      </c>
      <c r="B17" s="38" t="s">
        <v>804</v>
      </c>
      <c r="C17" s="38" t="s">
        <v>805</v>
      </c>
      <c r="D17" s="38" t="s">
        <v>806</v>
      </c>
      <c r="E17" s="38" t="s">
        <v>807</v>
      </c>
      <c r="F17" s="38" t="s">
        <v>808</v>
      </c>
      <c r="G17" s="38" t="s">
        <v>809</v>
      </c>
      <c r="H17" s="38" t="s">
        <v>810</v>
      </c>
      <c r="I17" s="38" t="s">
        <v>811</v>
      </c>
      <c r="J17" s="38" t="s">
        <v>812</v>
      </c>
      <c r="K17" s="38" t="s">
        <v>813</v>
      </c>
      <c r="L17" s="38" t="s">
        <v>814</v>
      </c>
      <c r="M17" s="38" t="s">
        <v>815</v>
      </c>
      <c r="N17" s="38" t="s">
        <v>816</v>
      </c>
      <c r="Q17" s="38" t="s">
        <v>803</v>
      </c>
      <c r="R17" s="1" t="str">
        <f>_xll.BDH(B127,$P$3,$P$2,$P$2)</f>
        <v>#N/A Invalid Security</v>
      </c>
      <c r="S17" s="1" t="str">
        <f>_xll.BDH(C127,$P$3,$P$2,$P$2)</f>
        <v>#N/A Invalid Security</v>
      </c>
      <c r="T17" s="1" t="str">
        <f>_xll.BDH(D127,$P$3,$P$2,$P$2)</f>
        <v>#N/A Invalid Security</v>
      </c>
      <c r="U17" s="1" t="str">
        <f>_xll.BDH(E127,$P$3,$P$2,$P$2)</f>
        <v>#N/A Invalid Security</v>
      </c>
      <c r="V17" s="16" t="str">
        <f>_xll.BDH(F127,$P$3,$P$2,$P$2)</f>
        <v>#N/A Invalid Security</v>
      </c>
      <c r="W17" s="27" t="str">
        <f>_xll.BDH(G127,$P$3,$P$2,$P$2)</f>
        <v>#N/A Invalid Security</v>
      </c>
      <c r="X17" s="27" t="str">
        <f>_xll.BDH(H127,$P$3,$P$2,$P$2)</f>
        <v>#N/A Invalid Security</v>
      </c>
      <c r="Y17" s="27" t="str">
        <f>_xll.BDH(I127,$P$3,$P$2,$P$2)</f>
        <v>#N/A Invalid Security</v>
      </c>
      <c r="Z17" s="27" t="str">
        <f>_xll.BDH(J127,$P$3,$P$2,$P$2)</f>
        <v>#N/A Invalid Security</v>
      </c>
      <c r="AA17" s="27" t="str">
        <f>_xll.BDH(K127,$P$3,$P$2,$P$2)</f>
        <v>#N/A Invalid Security</v>
      </c>
      <c r="AB17" s="57" t="str">
        <f>_xll.BDH(L127,$P$3,$P$2,$P$2)</f>
        <v>#N/A Invalid Security</v>
      </c>
      <c r="AC17" s="1" t="str">
        <f>_xll.BDH(M127,$P$3,$P$2,$P$2)</f>
        <v>#N/A Invalid Security</v>
      </c>
      <c r="AD17" s="1" t="str">
        <f>_xll.BDH(N127,$P$3,$P$2,$P$2)</f>
        <v>#N/A Invalid Security</v>
      </c>
    </row>
    <row r="18" spans="1:30" ht="16.5" x14ac:dyDescent="0.3">
      <c r="A18" s="38" t="s">
        <v>817</v>
      </c>
      <c r="B18" s="38" t="s">
        <v>818</v>
      </c>
      <c r="C18" s="38" t="s">
        <v>819</v>
      </c>
      <c r="D18" s="38" t="s">
        <v>820</v>
      </c>
      <c r="E18" s="38" t="s">
        <v>821</v>
      </c>
      <c r="F18" s="38" t="s">
        <v>822</v>
      </c>
      <c r="G18" s="38" t="s">
        <v>823</v>
      </c>
      <c r="H18" s="38" t="s">
        <v>824</v>
      </c>
      <c r="I18" s="38" t="s">
        <v>825</v>
      </c>
      <c r="J18" s="38" t="s">
        <v>826</v>
      </c>
      <c r="K18" s="38" t="s">
        <v>827</v>
      </c>
      <c r="L18" s="38" t="s">
        <v>828</v>
      </c>
      <c r="M18" s="38" t="s">
        <v>829</v>
      </c>
      <c r="N18" s="38" t="s">
        <v>830</v>
      </c>
      <c r="Q18" s="38" t="s">
        <v>817</v>
      </c>
      <c r="R18" s="1" t="str">
        <f>_xll.BDH(B128,$P$3,$P$2,$P$2)</f>
        <v>#N/A Invalid Security</v>
      </c>
      <c r="S18" s="1" t="str">
        <f>_xll.BDH(C128,$P$3,$P$2,$P$2)</f>
        <v>#N/A Invalid Security</v>
      </c>
      <c r="T18" s="1" t="str">
        <f>_xll.BDH(D128,$P$3,$P$2,$P$2)</f>
        <v>#N/A Invalid Security</v>
      </c>
      <c r="U18" s="1" t="str">
        <f>_xll.BDH(E128,$P$3,$P$2,$P$2)</f>
        <v>#N/A Invalid Security</v>
      </c>
      <c r="V18" s="16" t="str">
        <f>_xll.BDH(F128,$P$3,$P$2,$P$2)</f>
        <v>#N/A Invalid Security</v>
      </c>
      <c r="W18" s="27" t="str">
        <f>_xll.BDH(G128,$P$3,$P$2,$P$2)</f>
        <v>#N/A Invalid Security</v>
      </c>
      <c r="X18" s="27" t="str">
        <f>_xll.BDH(H128,$P$3,$P$2,$P$2)</f>
        <v>#N/A Invalid Security</v>
      </c>
      <c r="Y18" s="27" t="str">
        <f>_xll.BDH(I128,$P$3,$P$2,$P$2)</f>
        <v>#N/A Invalid Security</v>
      </c>
      <c r="Z18" s="27" t="str">
        <f>_xll.BDH(J128,$P$3,$P$2,$P$2)</f>
        <v>#N/A Invalid Security</v>
      </c>
      <c r="AA18" s="27" t="str">
        <f>_xll.BDH(K128,$P$3,$P$2,$P$2)</f>
        <v>#N/A Invalid Security</v>
      </c>
      <c r="AB18" s="57" t="str">
        <f>_xll.BDH(L128,$P$3,$P$2,$P$2)</f>
        <v>#N/A Invalid Security</v>
      </c>
      <c r="AC18" s="1" t="str">
        <f>_xll.BDH(M128,$P$3,$P$2,$P$2)</f>
        <v>#N/A Invalid Security</v>
      </c>
      <c r="AD18" s="1" t="str">
        <f>_xll.BDH(N128,$P$3,$P$2,$P$2)</f>
        <v>#N/A Invalid Security</v>
      </c>
    </row>
    <row r="19" spans="1:30" ht="16.5" x14ac:dyDescent="0.3">
      <c r="A19" s="38" t="s">
        <v>831</v>
      </c>
      <c r="B19" s="38" t="s">
        <v>832</v>
      </c>
      <c r="C19" s="38" t="s">
        <v>833</v>
      </c>
      <c r="D19" s="38" t="s">
        <v>834</v>
      </c>
      <c r="E19" s="38" t="s">
        <v>835</v>
      </c>
      <c r="F19" s="38" t="s">
        <v>836</v>
      </c>
      <c r="G19" s="38" t="s">
        <v>837</v>
      </c>
      <c r="H19" s="38" t="s">
        <v>838</v>
      </c>
      <c r="I19" s="38" t="s">
        <v>839</v>
      </c>
      <c r="J19" s="38" t="s">
        <v>840</v>
      </c>
      <c r="K19" s="38" t="s">
        <v>841</v>
      </c>
      <c r="L19" s="38" t="s">
        <v>842</v>
      </c>
      <c r="M19" s="38" t="s">
        <v>843</v>
      </c>
      <c r="N19" s="38" t="s">
        <v>844</v>
      </c>
      <c r="Q19" s="38" t="s">
        <v>831</v>
      </c>
      <c r="R19" s="1" t="str">
        <f>_xll.BDH(B129,$P$3,$P$2,$P$2)</f>
        <v>#N/A Invalid Security</v>
      </c>
      <c r="S19" s="1" t="str">
        <f>_xll.BDH(C129,$P$3,$P$2,$P$2)</f>
        <v>#N/A Invalid Security</v>
      </c>
      <c r="T19" s="1" t="str">
        <f>_xll.BDH(D129,$P$3,$P$2,$P$2)</f>
        <v>#N/A Invalid Security</v>
      </c>
      <c r="U19" s="1" t="str">
        <f>_xll.BDH(E129,$P$3,$P$2,$P$2)</f>
        <v>#N/A Invalid Security</v>
      </c>
      <c r="V19" s="16" t="str">
        <f>_xll.BDH(F129,$P$3,$P$2,$P$2)</f>
        <v>#N/A Invalid Security</v>
      </c>
      <c r="W19" s="27" t="str">
        <f>_xll.BDH(G129,$P$3,$P$2,$P$2)</f>
        <v>#N/A Invalid Security</v>
      </c>
      <c r="X19" s="27" t="str">
        <f>_xll.BDH(H129,$P$3,$P$2,$P$2)</f>
        <v>#N/A Invalid Security</v>
      </c>
      <c r="Y19" s="27" t="str">
        <f>_xll.BDH(I129,$P$3,$P$2,$P$2)</f>
        <v>#N/A Invalid Security</v>
      </c>
      <c r="Z19" s="27" t="str">
        <f>_xll.BDH(J129,$P$3,$P$2,$P$2)</f>
        <v>#N/A Invalid Security</v>
      </c>
      <c r="AA19" s="27" t="str">
        <f>_xll.BDH(K129,$P$3,$P$2,$P$2)</f>
        <v>#N/A Invalid Security</v>
      </c>
      <c r="AB19" s="57" t="str">
        <f>_xll.BDH(L129,$P$3,$P$2,$P$2)</f>
        <v>#N/A Invalid Security</v>
      </c>
      <c r="AC19" s="1" t="str">
        <f>_xll.BDH(M129,$P$3,$P$2,$P$2)</f>
        <v>#N/A Invalid Security</v>
      </c>
      <c r="AD19" s="1" t="str">
        <f>_xll.BDH(N129,$P$3,$P$2,$P$2)</f>
        <v>#N/A Invalid Security</v>
      </c>
    </row>
    <row r="20" spans="1:30" ht="16.5" x14ac:dyDescent="0.3">
      <c r="A20" s="38" t="s">
        <v>845</v>
      </c>
      <c r="B20" s="38" t="s">
        <v>846</v>
      </c>
      <c r="C20" s="38" t="s">
        <v>847</v>
      </c>
      <c r="D20" s="38" t="s">
        <v>848</v>
      </c>
      <c r="E20" s="38" t="s">
        <v>849</v>
      </c>
      <c r="F20" s="38" t="s">
        <v>850</v>
      </c>
      <c r="G20" s="38" t="s">
        <v>851</v>
      </c>
      <c r="H20" s="38" t="s">
        <v>852</v>
      </c>
      <c r="I20" s="38" t="s">
        <v>853</v>
      </c>
      <c r="J20" s="38" t="s">
        <v>854</v>
      </c>
      <c r="K20" s="38" t="s">
        <v>855</v>
      </c>
      <c r="L20" s="38" t="s">
        <v>856</v>
      </c>
      <c r="M20" s="38" t="s">
        <v>857</v>
      </c>
      <c r="N20" s="38" t="s">
        <v>858</v>
      </c>
      <c r="Q20" s="38" t="s">
        <v>845</v>
      </c>
      <c r="R20" s="1" t="str">
        <f>_xll.BDH(B130,$P$3,$P$2,$P$2)</f>
        <v>#N/A Invalid Security</v>
      </c>
      <c r="S20" s="1" t="str">
        <f>_xll.BDH(C130,$P$3,$P$2,$P$2)</f>
        <v>#N/A Invalid Security</v>
      </c>
      <c r="T20" s="1" t="str">
        <f>_xll.BDH(D130,$P$3,$P$2,$P$2)</f>
        <v>#N/A Invalid Security</v>
      </c>
      <c r="U20" s="1" t="str">
        <f>_xll.BDH(E130,$P$3,$P$2,$P$2)</f>
        <v>#N/A Invalid Security</v>
      </c>
      <c r="V20" s="16" t="str">
        <f>_xll.BDH(F130,$P$3,$P$2,$P$2)</f>
        <v>#N/A Invalid Security</v>
      </c>
      <c r="W20" s="27" t="str">
        <f>_xll.BDH(G130,$P$3,$P$2,$P$2)</f>
        <v>#N/A Invalid Security</v>
      </c>
      <c r="X20" s="27" t="str">
        <f>_xll.BDH(H130,$P$3,$P$2,$P$2)</f>
        <v>#N/A Invalid Security</v>
      </c>
      <c r="Y20" s="27" t="str">
        <f>_xll.BDH(I130,$P$3,$P$2,$P$2)</f>
        <v>#N/A Invalid Security</v>
      </c>
      <c r="Z20" s="27" t="str">
        <f>_xll.BDH(J130,$P$3,$P$2,$P$2)</f>
        <v>#N/A Invalid Security</v>
      </c>
      <c r="AA20" s="27" t="str">
        <f>_xll.BDH(K130,$P$3,$P$2,$P$2)</f>
        <v>#N/A Invalid Security</v>
      </c>
      <c r="AB20" s="57" t="str">
        <f>_xll.BDH(L130,$P$3,$P$2,$P$2)</f>
        <v>#N/A Invalid Security</v>
      </c>
      <c r="AC20" s="1" t="str">
        <f>_xll.BDH(M130,$P$3,$P$2,$P$2)</f>
        <v>#N/A Invalid Security</v>
      </c>
      <c r="AD20" s="1" t="str">
        <f>_xll.BDH(N130,$P$3,$P$2,$P$2)</f>
        <v>#N/A Invalid Security</v>
      </c>
    </row>
    <row r="21" spans="1:30" ht="16.5" x14ac:dyDescent="0.3">
      <c r="A21" s="38" t="s">
        <v>859</v>
      </c>
      <c r="B21" s="38" t="s">
        <v>860</v>
      </c>
      <c r="C21" s="38" t="s">
        <v>861</v>
      </c>
      <c r="D21" s="38" t="s">
        <v>862</v>
      </c>
      <c r="E21" s="38" t="s">
        <v>863</v>
      </c>
      <c r="F21" s="38" t="s">
        <v>864</v>
      </c>
      <c r="G21" s="38" t="s">
        <v>865</v>
      </c>
      <c r="H21" s="38" t="s">
        <v>866</v>
      </c>
      <c r="I21" s="38" t="s">
        <v>867</v>
      </c>
      <c r="J21" s="38" t="s">
        <v>868</v>
      </c>
      <c r="K21" s="38" t="s">
        <v>869</v>
      </c>
      <c r="L21" s="38" t="s">
        <v>870</v>
      </c>
      <c r="M21" s="38" t="s">
        <v>871</v>
      </c>
      <c r="N21" s="38" t="s">
        <v>872</v>
      </c>
      <c r="Q21" s="38" t="s">
        <v>859</v>
      </c>
      <c r="R21" s="1" t="str">
        <f>_xll.BDH(B131,$P$3,$P$2,$P$2)</f>
        <v>#N/A Invalid Security</v>
      </c>
      <c r="S21" s="1" t="str">
        <f>_xll.BDH(C131,$P$3,$P$2,$P$2)</f>
        <v>#N/A Invalid Security</v>
      </c>
      <c r="T21" s="1" t="str">
        <f>_xll.BDH(D131,$P$3,$P$2,$P$2)</f>
        <v>#N/A Invalid Security</v>
      </c>
      <c r="U21" s="1" t="str">
        <f>_xll.BDH(E131,$P$3,$P$2,$P$2)</f>
        <v>#N/A Invalid Security</v>
      </c>
      <c r="V21" s="16" t="str">
        <f>_xll.BDH(F131,$P$3,$P$2,$P$2)</f>
        <v>#N/A Invalid Security</v>
      </c>
      <c r="W21" s="27" t="str">
        <f>_xll.BDH(G131,$P$3,$P$2,$P$2)</f>
        <v>#N/A Invalid Security</v>
      </c>
      <c r="X21" s="27" t="str">
        <f>_xll.BDH(H131,$P$3,$P$2,$P$2)</f>
        <v>#N/A Invalid Security</v>
      </c>
      <c r="Y21" s="27" t="str">
        <f>_xll.BDH(I131,$P$3,$P$2,$P$2)</f>
        <v>#N/A Invalid Security</v>
      </c>
      <c r="Z21" s="27" t="str">
        <f>_xll.BDH(J131,$P$3,$P$2,$P$2)</f>
        <v>#N/A Invalid Security</v>
      </c>
      <c r="AA21" s="27" t="str">
        <f>_xll.BDH(K131,$P$3,$P$2,$P$2)</f>
        <v>#N/A Invalid Security</v>
      </c>
      <c r="AB21" s="57" t="str">
        <f>_xll.BDH(L131,$P$3,$P$2,$P$2)</f>
        <v>#N/A Invalid Security</v>
      </c>
      <c r="AC21" s="1" t="str">
        <f>_xll.BDH(M131,$P$3,$P$2,$P$2)</f>
        <v>#N/A Invalid Security</v>
      </c>
      <c r="AD21" s="1" t="str">
        <f>_xll.BDH(N131,$P$3,$P$2,$P$2)</f>
        <v>#N/A Invalid Security</v>
      </c>
    </row>
    <row r="22" spans="1:30" ht="16.5" x14ac:dyDescent="0.3">
      <c r="A22" s="38" t="s">
        <v>873</v>
      </c>
      <c r="B22" s="38" t="s">
        <v>874</v>
      </c>
      <c r="C22" s="38" t="s">
        <v>875</v>
      </c>
      <c r="D22" s="38" t="s">
        <v>876</v>
      </c>
      <c r="E22" s="38" t="s">
        <v>877</v>
      </c>
      <c r="F22" s="38" t="s">
        <v>878</v>
      </c>
      <c r="G22" s="38" t="s">
        <v>879</v>
      </c>
      <c r="H22" s="38" t="s">
        <v>880</v>
      </c>
      <c r="I22" s="38" t="s">
        <v>881</v>
      </c>
      <c r="J22" s="38" t="s">
        <v>882</v>
      </c>
      <c r="K22" s="38" t="s">
        <v>883</v>
      </c>
      <c r="L22" s="38" t="s">
        <v>884</v>
      </c>
      <c r="M22" s="38" t="s">
        <v>885</v>
      </c>
      <c r="N22" s="38" t="s">
        <v>886</v>
      </c>
      <c r="Q22" s="38" t="s">
        <v>873</v>
      </c>
      <c r="R22" s="1" t="str">
        <f>_xll.BDH(B132,$P$3,$P$2,$P$2)</f>
        <v>#N/A Invalid Security</v>
      </c>
      <c r="S22" s="1" t="str">
        <f>_xll.BDH(C132,$P$3,$P$2,$P$2)</f>
        <v>#N/A Invalid Security</v>
      </c>
      <c r="T22" s="1" t="str">
        <f>_xll.BDH(D132,$P$3,$P$2,$P$2)</f>
        <v>#N/A Invalid Security</v>
      </c>
      <c r="U22" s="1" t="str">
        <f>_xll.BDH(E132,$P$3,$P$2,$P$2)</f>
        <v>#N/A Invalid Security</v>
      </c>
      <c r="V22" s="16" t="str">
        <f>_xll.BDH(F132,$P$3,$P$2,$P$2)</f>
        <v>#N/A Invalid Security</v>
      </c>
      <c r="W22" s="27" t="str">
        <f>_xll.BDH(G132,$P$3,$P$2,$P$2)</f>
        <v>#N/A Invalid Security</v>
      </c>
      <c r="X22" s="27" t="str">
        <f>_xll.BDH(H132,$P$3,$P$2,$P$2)</f>
        <v>#N/A Invalid Security</v>
      </c>
      <c r="Y22" s="27" t="str">
        <f>_xll.BDH(I132,$P$3,$P$2,$P$2)</f>
        <v>#N/A Invalid Security</v>
      </c>
      <c r="Z22" s="27" t="str">
        <f>_xll.BDH(J132,$P$3,$P$2,$P$2)</f>
        <v>#N/A Invalid Security</v>
      </c>
      <c r="AA22" s="27" t="str">
        <f>_xll.BDH(K132,$P$3,$P$2,$P$2)</f>
        <v>#N/A Invalid Security</v>
      </c>
      <c r="AB22" s="57" t="str">
        <f>_xll.BDH(L132,$P$3,$P$2,$P$2)</f>
        <v>#N/A Invalid Security</v>
      </c>
      <c r="AC22" s="1" t="str">
        <f>_xll.BDH(M132,$P$3,$P$2,$P$2)</f>
        <v>#N/A Invalid Security</v>
      </c>
      <c r="AD22" s="1" t="str">
        <f>_xll.BDH(N132,$P$3,$P$2,$P$2)</f>
        <v>#N/A Invalid Security</v>
      </c>
    </row>
    <row r="23" spans="1:30" ht="16.5" x14ac:dyDescent="0.3">
      <c r="A23" s="38" t="s">
        <v>887</v>
      </c>
      <c r="B23" s="38" t="s">
        <v>888</v>
      </c>
      <c r="C23" s="38" t="s">
        <v>889</v>
      </c>
      <c r="D23" s="38" t="s">
        <v>890</v>
      </c>
      <c r="E23" s="38" t="s">
        <v>891</v>
      </c>
      <c r="F23" s="38" t="s">
        <v>892</v>
      </c>
      <c r="G23" s="38" t="s">
        <v>893</v>
      </c>
      <c r="H23" s="38" t="s">
        <v>894</v>
      </c>
      <c r="I23" s="38" t="s">
        <v>895</v>
      </c>
      <c r="J23" s="38" t="s">
        <v>896</v>
      </c>
      <c r="K23" s="38" t="s">
        <v>897</v>
      </c>
      <c r="L23" s="38" t="s">
        <v>898</v>
      </c>
      <c r="M23" s="38" t="s">
        <v>899</v>
      </c>
      <c r="N23" s="38" t="s">
        <v>900</v>
      </c>
      <c r="Q23" s="38" t="s">
        <v>887</v>
      </c>
      <c r="R23" s="1" t="str">
        <f>_xll.BDH(B133,$P$3,$P$2,$P$2)</f>
        <v>#N/A Invalid Security</v>
      </c>
      <c r="S23" s="1" t="str">
        <f>_xll.BDH(C133,$P$3,$P$2,$P$2)</f>
        <v>#N/A Invalid Security</v>
      </c>
      <c r="T23" s="1" t="str">
        <f>_xll.BDH(D133,$P$3,$P$2,$P$2)</f>
        <v>#N/A Invalid Security</v>
      </c>
      <c r="U23" s="1" t="str">
        <f>_xll.BDH(E133,$P$3,$P$2,$P$2)</f>
        <v>#N/A Invalid Security</v>
      </c>
      <c r="V23" s="16" t="str">
        <f>_xll.BDH(F133,$P$3,$P$2,$P$2)</f>
        <v>#N/A Invalid Security</v>
      </c>
      <c r="W23" s="27" t="str">
        <f>_xll.BDH(G133,$P$3,$P$2,$P$2)</f>
        <v>#N/A Invalid Security</v>
      </c>
      <c r="X23" s="27" t="str">
        <f>_xll.BDH(H133,$P$3,$P$2,$P$2)</f>
        <v>#N/A Invalid Security</v>
      </c>
      <c r="Y23" s="27" t="str">
        <f>_xll.BDH(I133,$P$3,$P$2,$P$2)</f>
        <v>#N/A Invalid Security</v>
      </c>
      <c r="Z23" s="27" t="str">
        <f>_xll.BDH(J133,$P$3,$P$2,$P$2)</f>
        <v>#N/A Invalid Security</v>
      </c>
      <c r="AA23" s="27" t="str">
        <f>_xll.BDH(K133,$P$3,$P$2,$P$2)</f>
        <v>#N/A Invalid Security</v>
      </c>
      <c r="AB23" s="57" t="str">
        <f>_xll.BDH(L133,$P$3,$P$2,$P$2)</f>
        <v>#N/A Invalid Security</v>
      </c>
      <c r="AC23" s="1" t="str">
        <f>_xll.BDH(M133,$P$3,$P$2,$P$2)</f>
        <v>#N/A Invalid Security</v>
      </c>
      <c r="AD23" s="1" t="str">
        <f>_xll.BDH(N133,$P$3,$P$2,$P$2)</f>
        <v>#N/A Invalid Security</v>
      </c>
    </row>
    <row r="24" spans="1:30" ht="16.5" x14ac:dyDescent="0.3">
      <c r="A24" s="38" t="s">
        <v>901</v>
      </c>
      <c r="B24" s="38" t="s">
        <v>902</v>
      </c>
      <c r="C24" s="38" t="s">
        <v>903</v>
      </c>
      <c r="D24" s="38" t="s">
        <v>904</v>
      </c>
      <c r="E24" s="38" t="s">
        <v>905</v>
      </c>
      <c r="F24" s="38" t="s">
        <v>906</v>
      </c>
      <c r="G24" s="38" t="s">
        <v>907</v>
      </c>
      <c r="H24" s="38" t="s">
        <v>908</v>
      </c>
      <c r="I24" s="38" t="s">
        <v>909</v>
      </c>
      <c r="J24" s="38" t="s">
        <v>910</v>
      </c>
      <c r="K24" s="38" t="s">
        <v>911</v>
      </c>
      <c r="L24" s="38" t="s">
        <v>912</v>
      </c>
      <c r="M24" s="38" t="s">
        <v>913</v>
      </c>
      <c r="N24" s="38" t="s">
        <v>914</v>
      </c>
      <c r="Q24" s="38" t="s">
        <v>901</v>
      </c>
      <c r="R24" s="1" t="str">
        <f>_xll.BDH(B134,$P$3,$P$2,$P$2)</f>
        <v>#N/A Invalid Security</v>
      </c>
      <c r="S24" s="1" t="str">
        <f>_xll.BDH(C134,$P$3,$P$2,$P$2)</f>
        <v>#N/A Invalid Security</v>
      </c>
      <c r="T24" s="1" t="str">
        <f>_xll.BDH(D134,$P$3,$P$2,$P$2)</f>
        <v>#N/A Invalid Security</v>
      </c>
      <c r="U24" s="1" t="str">
        <f>_xll.BDH(E134,$P$3,$P$2,$P$2)</f>
        <v>#N/A Invalid Security</v>
      </c>
      <c r="V24" s="16" t="str">
        <f>_xll.BDH(F134,$P$3,$P$2,$P$2)</f>
        <v>#N/A Invalid Security</v>
      </c>
      <c r="W24" s="27" t="str">
        <f>_xll.BDH(G134,$P$3,$P$2,$P$2)</f>
        <v>#N/A Invalid Security</v>
      </c>
      <c r="X24" s="27" t="str">
        <f>_xll.BDH(H134,$P$3,$P$2,$P$2)</f>
        <v>#N/A Invalid Security</v>
      </c>
      <c r="Y24" s="27" t="str">
        <f>_xll.BDH(I134,$P$3,$P$2,$P$2)</f>
        <v>#N/A Invalid Security</v>
      </c>
      <c r="Z24" s="27" t="str">
        <f>_xll.BDH(J134,$P$3,$P$2,$P$2)</f>
        <v>#N/A Invalid Security</v>
      </c>
      <c r="AA24" s="27" t="str">
        <f>_xll.BDH(K134,$P$3,$P$2,$P$2)</f>
        <v>#N/A Invalid Security</v>
      </c>
      <c r="AB24" s="57" t="str">
        <f>_xll.BDH(L134,$P$3,$P$2,$P$2)</f>
        <v>#N/A Invalid Security</v>
      </c>
      <c r="AC24" s="1" t="str">
        <f>_xll.BDH(M134,$P$3,$P$2,$P$2)</f>
        <v>#N/A Invalid Security</v>
      </c>
      <c r="AD24" s="1" t="str">
        <f>_xll.BDH(N134,$P$3,$P$2,$P$2)</f>
        <v>#N/A Invalid Security</v>
      </c>
    </row>
    <row r="25" spans="1:30" ht="16.5" x14ac:dyDescent="0.3">
      <c r="A25" s="38" t="s">
        <v>915</v>
      </c>
      <c r="B25" s="38" t="s">
        <v>916</v>
      </c>
      <c r="C25" s="38" t="s">
        <v>917</v>
      </c>
      <c r="D25" s="38" t="s">
        <v>918</v>
      </c>
      <c r="E25" s="38" t="s">
        <v>919</v>
      </c>
      <c r="F25" s="38" t="s">
        <v>920</v>
      </c>
      <c r="G25" s="38" t="s">
        <v>921</v>
      </c>
      <c r="H25" s="38" t="s">
        <v>922</v>
      </c>
      <c r="I25" s="38" t="s">
        <v>923</v>
      </c>
      <c r="J25" s="38" t="s">
        <v>924</v>
      </c>
      <c r="K25" s="38" t="s">
        <v>925</v>
      </c>
      <c r="L25" s="38" t="s">
        <v>926</v>
      </c>
      <c r="M25" s="38" t="s">
        <v>927</v>
      </c>
      <c r="N25" s="38" t="s">
        <v>928</v>
      </c>
      <c r="Q25" s="38" t="s">
        <v>915</v>
      </c>
      <c r="R25" s="1" t="str">
        <f>_xll.BDH(B135,$P$3,$P$2,$P$2)</f>
        <v>#N/A Invalid Security</v>
      </c>
      <c r="S25" s="1" t="str">
        <f>_xll.BDH(C135,$P$3,$P$2,$P$2)</f>
        <v>#N/A Invalid Security</v>
      </c>
      <c r="T25" s="1" t="str">
        <f>_xll.BDH(D135,$P$3,$P$2,$P$2)</f>
        <v>#N/A Invalid Security</v>
      </c>
      <c r="U25" s="1" t="str">
        <f>_xll.BDH(E135,$P$3,$P$2,$P$2)</f>
        <v>#N/A Invalid Security</v>
      </c>
      <c r="V25" s="16" t="str">
        <f>_xll.BDH(F135,$P$3,$P$2,$P$2)</f>
        <v>#N/A Invalid Security</v>
      </c>
      <c r="W25" s="27" t="str">
        <f>_xll.BDH(G135,$P$3,$P$2,$P$2)</f>
        <v>#N/A Invalid Security</v>
      </c>
      <c r="X25" s="27" t="str">
        <f>_xll.BDH(H135,$P$3,$P$2,$P$2)</f>
        <v>#N/A Invalid Security</v>
      </c>
      <c r="Y25" s="27" t="str">
        <f>_xll.BDH(I135,$P$3,$P$2,$P$2)</f>
        <v>#N/A Invalid Security</v>
      </c>
      <c r="Z25" s="27" t="str">
        <f>_xll.BDH(J135,$P$3,$P$2,$P$2)</f>
        <v>#N/A Invalid Security</v>
      </c>
      <c r="AA25" s="27" t="str">
        <f>_xll.BDH(K135,$P$3,$P$2,$P$2)</f>
        <v>#N/A Invalid Security</v>
      </c>
      <c r="AB25" s="57" t="str">
        <f>_xll.BDH(L135,$P$3,$P$2,$P$2)</f>
        <v>#N/A Invalid Security</v>
      </c>
      <c r="AC25" s="1" t="str">
        <f>_xll.BDH(M135,$P$3,$P$2,$P$2)</f>
        <v>#N/A Invalid Security</v>
      </c>
      <c r="AD25" s="1" t="str">
        <f>_xll.BDH(N135,$P$3,$P$2,$P$2)</f>
        <v>#N/A Invalid Security</v>
      </c>
    </row>
    <row r="26" spans="1:30" ht="16.5" x14ac:dyDescent="0.3">
      <c r="A26" s="38" t="s">
        <v>929</v>
      </c>
      <c r="B26" s="38" t="s">
        <v>930</v>
      </c>
      <c r="C26" s="38" t="s">
        <v>931</v>
      </c>
      <c r="D26" s="38" t="s">
        <v>932</v>
      </c>
      <c r="E26" s="38" t="s">
        <v>933</v>
      </c>
      <c r="F26" s="38" t="s">
        <v>934</v>
      </c>
      <c r="G26" s="38" t="s">
        <v>935</v>
      </c>
      <c r="H26" s="38" t="s">
        <v>936</v>
      </c>
      <c r="I26" s="38" t="s">
        <v>937</v>
      </c>
      <c r="J26" s="38" t="s">
        <v>938</v>
      </c>
      <c r="K26" s="38" t="s">
        <v>939</v>
      </c>
      <c r="L26" s="38" t="s">
        <v>940</v>
      </c>
      <c r="M26" s="38" t="s">
        <v>941</v>
      </c>
      <c r="N26" s="38" t="s">
        <v>942</v>
      </c>
      <c r="Q26" s="38" t="s">
        <v>929</v>
      </c>
      <c r="R26" s="1" t="str">
        <f>_xll.BDH(B136,$P$3,$P$2,$P$2)</f>
        <v>#N/A Invalid Security</v>
      </c>
      <c r="S26" s="1" t="str">
        <f>_xll.BDH(C136,$P$3,$P$2,$P$2)</f>
        <v>#N/A Invalid Security</v>
      </c>
      <c r="T26" s="1" t="str">
        <f>_xll.BDH(D136,$P$3,$P$2,$P$2)</f>
        <v>#N/A Invalid Security</v>
      </c>
      <c r="U26" s="1" t="str">
        <f>_xll.BDH(E136,$P$3,$P$2,$P$2)</f>
        <v>#N/A Invalid Security</v>
      </c>
      <c r="V26" s="16" t="str">
        <f>_xll.BDH(F136,$P$3,$P$2,$P$2)</f>
        <v>#N/A Invalid Security</v>
      </c>
      <c r="W26" s="27" t="str">
        <f>_xll.BDH(G136,$P$3,$P$2,$P$2)</f>
        <v>#N/A Invalid Security</v>
      </c>
      <c r="X26" s="27" t="str">
        <f>_xll.BDH(H136,$P$3,$P$2,$P$2)</f>
        <v>#N/A Invalid Security</v>
      </c>
      <c r="Y26" s="27" t="str">
        <f>_xll.BDH(I136,$P$3,$P$2,$P$2)</f>
        <v>#N/A Invalid Security</v>
      </c>
      <c r="Z26" s="27" t="str">
        <f>_xll.BDH(J136,$P$3,$P$2,$P$2)</f>
        <v>#N/A Invalid Security</v>
      </c>
      <c r="AA26" s="27" t="str">
        <f>_xll.BDH(K136,$P$3,$P$2,$P$2)</f>
        <v>#N/A Invalid Security</v>
      </c>
      <c r="AB26" s="57" t="str">
        <f>_xll.BDH(L136,$P$3,$P$2,$P$2)</f>
        <v>#N/A Invalid Security</v>
      </c>
      <c r="AC26" s="1" t="str">
        <f>_xll.BDH(M136,$P$3,$P$2,$P$2)</f>
        <v>#N/A Invalid Security</v>
      </c>
      <c r="AD26" s="1" t="str">
        <f>_xll.BDH(N136,$P$3,$P$2,$P$2)</f>
        <v>#N/A Invalid Security</v>
      </c>
    </row>
    <row r="27" spans="1:30" ht="16.5" x14ac:dyDescent="0.3">
      <c r="A27" s="38" t="s">
        <v>943</v>
      </c>
      <c r="B27" s="38" t="s">
        <v>944</v>
      </c>
      <c r="C27" s="38" t="s">
        <v>945</v>
      </c>
      <c r="D27" s="38" t="s">
        <v>946</v>
      </c>
      <c r="E27" s="38" t="s">
        <v>947</v>
      </c>
      <c r="F27" s="38" t="s">
        <v>948</v>
      </c>
      <c r="G27" s="38" t="s">
        <v>949</v>
      </c>
      <c r="H27" s="38" t="s">
        <v>950</v>
      </c>
      <c r="I27" s="38" t="s">
        <v>951</v>
      </c>
      <c r="J27" s="38" t="s">
        <v>952</v>
      </c>
      <c r="K27" s="38" t="s">
        <v>953</v>
      </c>
      <c r="L27" s="38" t="s">
        <v>954</v>
      </c>
      <c r="M27" s="38" t="s">
        <v>955</v>
      </c>
      <c r="N27" s="38" t="s">
        <v>956</v>
      </c>
      <c r="Q27" s="38" t="s">
        <v>943</v>
      </c>
      <c r="R27" s="1" t="str">
        <f>_xll.BDH(B137,$P$3,$P$2,$P$2)</f>
        <v>#N/A Invalid Security</v>
      </c>
      <c r="S27" s="1" t="str">
        <f>_xll.BDH(C137,$P$3,$P$2,$P$2)</f>
        <v>#N/A Invalid Security</v>
      </c>
      <c r="T27" s="1" t="str">
        <f>_xll.BDH(D137,$P$3,$P$2,$P$2)</f>
        <v>#N/A Invalid Security</v>
      </c>
      <c r="U27" s="1" t="str">
        <f>_xll.BDH(E137,$P$3,$P$2,$P$2)</f>
        <v>#N/A Invalid Security</v>
      </c>
      <c r="V27" s="16" t="str">
        <f>_xll.BDH(F137,$P$3,$P$2,$P$2)</f>
        <v>#N/A Invalid Security</v>
      </c>
      <c r="W27" s="27" t="str">
        <f>_xll.BDH(G137,$P$3,$P$2,$P$2)</f>
        <v>#N/A Invalid Security</v>
      </c>
      <c r="X27" s="27" t="str">
        <f>_xll.BDH(H137,$P$3,$P$2,$P$2)</f>
        <v>#N/A Invalid Security</v>
      </c>
      <c r="Y27" s="27" t="str">
        <f>_xll.BDH(I137,$P$3,$P$2,$P$2)</f>
        <v>#N/A Invalid Security</v>
      </c>
      <c r="Z27" s="27" t="str">
        <f>_xll.BDH(J137,$P$3,$P$2,$P$2)</f>
        <v>#N/A Invalid Security</v>
      </c>
      <c r="AA27" s="27" t="str">
        <f>_xll.BDH(K137,$P$3,$P$2,$P$2)</f>
        <v>#N/A Invalid Security</v>
      </c>
      <c r="AB27" s="57" t="str">
        <f>_xll.BDH(L137,$P$3,$P$2,$P$2)</f>
        <v>#N/A Invalid Security</v>
      </c>
      <c r="AC27" s="1" t="str">
        <f>_xll.BDH(M137,$P$3,$P$2,$P$2)</f>
        <v>#N/A Invalid Security</v>
      </c>
      <c r="AD27" s="1" t="str">
        <f>_xll.BDH(N137,$P$3,$P$2,$P$2)</f>
        <v>#N/A Invalid Security</v>
      </c>
    </row>
    <row r="28" spans="1:30" ht="16.5" x14ac:dyDescent="0.3">
      <c r="A28" s="38" t="s">
        <v>957</v>
      </c>
      <c r="B28" s="38" t="s">
        <v>958</v>
      </c>
      <c r="C28" s="38" t="s">
        <v>959</v>
      </c>
      <c r="D28" s="38" t="s">
        <v>960</v>
      </c>
      <c r="E28" s="38" t="s">
        <v>961</v>
      </c>
      <c r="F28" s="38" t="s">
        <v>962</v>
      </c>
      <c r="G28" s="38" t="s">
        <v>963</v>
      </c>
      <c r="H28" s="38" t="s">
        <v>964</v>
      </c>
      <c r="I28" s="38" t="s">
        <v>965</v>
      </c>
      <c r="J28" s="38" t="s">
        <v>966</v>
      </c>
      <c r="K28" s="38" t="s">
        <v>967</v>
      </c>
      <c r="L28" s="38" t="s">
        <v>968</v>
      </c>
      <c r="M28" s="38" t="s">
        <v>969</v>
      </c>
      <c r="N28" s="38" t="s">
        <v>970</v>
      </c>
      <c r="Q28" s="38" t="s">
        <v>957</v>
      </c>
      <c r="R28" s="1" t="str">
        <f>_xll.BDH(B138,$P$3,$P$2,$P$2)</f>
        <v>#N/A Invalid Security</v>
      </c>
      <c r="S28" s="1" t="str">
        <f>_xll.BDH(C138,$P$3,$P$2,$P$2)</f>
        <v>#N/A Invalid Security</v>
      </c>
      <c r="T28" s="1" t="str">
        <f>_xll.BDH(D138,$P$3,$P$2,$P$2)</f>
        <v>#N/A Invalid Security</v>
      </c>
      <c r="U28" s="1" t="str">
        <f>_xll.BDH(E138,$P$3,$P$2,$P$2)</f>
        <v>#N/A Invalid Security</v>
      </c>
      <c r="V28" s="16" t="str">
        <f>_xll.BDH(F138,$P$3,$P$2,$P$2)</f>
        <v>#N/A Invalid Security</v>
      </c>
      <c r="W28" s="27" t="str">
        <f>_xll.BDH(G138,$P$3,$P$2,$P$2)</f>
        <v>#N/A Invalid Security</v>
      </c>
      <c r="X28" s="27" t="str">
        <f>_xll.BDH(H138,$P$3,$P$2,$P$2)</f>
        <v>#N/A Invalid Security</v>
      </c>
      <c r="Y28" s="27" t="str">
        <f>_xll.BDH(I138,$P$3,$P$2,$P$2)</f>
        <v>#N/A Invalid Security</v>
      </c>
      <c r="Z28" s="27" t="str">
        <f>_xll.BDH(J138,$P$3,$P$2,$P$2)</f>
        <v>#N/A Invalid Security</v>
      </c>
      <c r="AA28" s="27" t="str">
        <f>_xll.BDH(K138,$P$3,$P$2,$P$2)</f>
        <v>#N/A Invalid Security</v>
      </c>
      <c r="AB28" s="57" t="str">
        <f>_xll.BDH(L138,$P$3,$P$2,$P$2)</f>
        <v>#N/A Invalid Security</v>
      </c>
      <c r="AC28" s="1" t="str">
        <f>_xll.BDH(M138,$P$3,$P$2,$P$2)</f>
        <v>#N/A Invalid Security</v>
      </c>
      <c r="AD28" s="1" t="str">
        <f>_xll.BDH(N138,$P$3,$P$2,$P$2)</f>
        <v>#N/A Invalid Security</v>
      </c>
    </row>
    <row r="29" spans="1:30" ht="16.5" x14ac:dyDescent="0.3">
      <c r="A29" s="38" t="s">
        <v>971</v>
      </c>
      <c r="B29" s="38" t="s">
        <v>972</v>
      </c>
      <c r="C29" s="38" t="s">
        <v>973</v>
      </c>
      <c r="D29" s="38" t="s">
        <v>974</v>
      </c>
      <c r="E29" s="38" t="s">
        <v>975</v>
      </c>
      <c r="F29" s="38" t="s">
        <v>976</v>
      </c>
      <c r="G29" s="38" t="s">
        <v>977</v>
      </c>
      <c r="H29" s="38" t="s">
        <v>978</v>
      </c>
      <c r="I29" s="38" t="s">
        <v>979</v>
      </c>
      <c r="J29" s="38" t="s">
        <v>980</v>
      </c>
      <c r="K29" s="38" t="s">
        <v>981</v>
      </c>
      <c r="L29" s="38" t="s">
        <v>982</v>
      </c>
      <c r="M29" s="38" t="s">
        <v>983</v>
      </c>
      <c r="N29" s="38" t="s">
        <v>984</v>
      </c>
      <c r="Q29" s="38" t="s">
        <v>971</v>
      </c>
      <c r="R29" s="1" t="str">
        <f>_xll.BDH(B139,$P$3,$P$2,$P$2)</f>
        <v>#N/A Invalid Security</v>
      </c>
      <c r="S29" s="1" t="str">
        <f>_xll.BDH(C139,$P$3,$P$2,$P$2)</f>
        <v>#N/A Invalid Security</v>
      </c>
      <c r="T29" s="1" t="str">
        <f>_xll.BDH(D139,$P$3,$P$2,$P$2)</f>
        <v>#N/A Invalid Security</v>
      </c>
      <c r="U29" s="1" t="str">
        <f>_xll.BDH(E139,$P$3,$P$2,$P$2)</f>
        <v>#N/A Invalid Security</v>
      </c>
      <c r="V29" s="16" t="str">
        <f>_xll.BDH(F139,$P$3,$P$2,$P$2)</f>
        <v>#N/A Invalid Security</v>
      </c>
      <c r="W29" s="27" t="str">
        <f>_xll.BDH(G139,$P$3,$P$2,$P$2)</f>
        <v>#N/A Invalid Security</v>
      </c>
      <c r="X29" s="27" t="str">
        <f>_xll.BDH(H139,$P$3,$P$2,$P$2)</f>
        <v>#N/A Invalid Security</v>
      </c>
      <c r="Y29" s="27" t="str">
        <f>_xll.BDH(I139,$P$3,$P$2,$P$2)</f>
        <v>#N/A Invalid Security</v>
      </c>
      <c r="Z29" s="27" t="str">
        <f>_xll.BDH(J139,$P$3,$P$2,$P$2)</f>
        <v>#N/A Invalid Security</v>
      </c>
      <c r="AA29" s="27" t="str">
        <f>_xll.BDH(K139,$P$3,$P$2,$P$2)</f>
        <v>#N/A Invalid Security</v>
      </c>
      <c r="AB29" s="57" t="str">
        <f>_xll.BDH(L139,$P$3,$P$2,$P$2)</f>
        <v>#N/A Invalid Security</v>
      </c>
      <c r="AC29" s="1" t="str">
        <f>_xll.BDH(M139,$P$3,$P$2,$P$2)</f>
        <v>#N/A Invalid Security</v>
      </c>
      <c r="AD29" s="1" t="str">
        <f>_xll.BDH(N139,$P$3,$P$2,$P$2)</f>
        <v>#N/A Invalid Security</v>
      </c>
    </row>
    <row r="30" spans="1:30" ht="16.5" x14ac:dyDescent="0.3">
      <c r="A30" s="38" t="s">
        <v>985</v>
      </c>
      <c r="B30" s="38" t="s">
        <v>986</v>
      </c>
      <c r="C30" s="38" t="s">
        <v>987</v>
      </c>
      <c r="D30" s="38" t="s">
        <v>988</v>
      </c>
      <c r="E30" s="38" t="s">
        <v>989</v>
      </c>
      <c r="F30" s="38" t="s">
        <v>990</v>
      </c>
      <c r="G30" s="38" t="s">
        <v>991</v>
      </c>
      <c r="H30" s="38" t="s">
        <v>992</v>
      </c>
      <c r="I30" s="38" t="s">
        <v>993</v>
      </c>
      <c r="J30" s="38" t="s">
        <v>994</v>
      </c>
      <c r="K30" s="38" t="s">
        <v>995</v>
      </c>
      <c r="L30" s="38" t="s">
        <v>996</v>
      </c>
      <c r="M30" s="38" t="s">
        <v>997</v>
      </c>
      <c r="N30" s="38" t="s">
        <v>998</v>
      </c>
      <c r="Q30" s="38" t="s">
        <v>985</v>
      </c>
      <c r="R30" s="1" t="str">
        <f>_xll.BDH(B140,$P$3,$P$2,$P$2)</f>
        <v>#N/A Invalid Security</v>
      </c>
      <c r="S30" s="1" t="str">
        <f>_xll.BDH(C140,$P$3,$P$2,$P$2)</f>
        <v>#N/A Invalid Security</v>
      </c>
      <c r="T30" s="1" t="str">
        <f>_xll.BDH(D140,$P$3,$P$2,$P$2)</f>
        <v>#N/A Invalid Security</v>
      </c>
      <c r="U30" s="1" t="str">
        <f>_xll.BDH(E140,$P$3,$P$2,$P$2)</f>
        <v>#N/A Invalid Security</v>
      </c>
      <c r="V30" s="16" t="str">
        <f>_xll.BDH(F140,$P$3,$P$2,$P$2)</f>
        <v>#N/A Invalid Security</v>
      </c>
      <c r="W30" s="27" t="str">
        <f>_xll.BDH(G140,$P$3,$P$2,$P$2)</f>
        <v>#N/A Invalid Security</v>
      </c>
      <c r="X30" s="27" t="str">
        <f>_xll.BDH(H140,$P$3,$P$2,$P$2)</f>
        <v>#N/A Invalid Security</v>
      </c>
      <c r="Y30" s="27" t="str">
        <f>_xll.BDH(I140,$P$3,$P$2,$P$2)</f>
        <v>#N/A Invalid Security</v>
      </c>
      <c r="Z30" s="27" t="str">
        <f>_xll.BDH(J140,$P$3,$P$2,$P$2)</f>
        <v>#N/A Invalid Security</v>
      </c>
      <c r="AA30" s="27" t="str">
        <f>_xll.BDH(K140,$P$3,$P$2,$P$2)</f>
        <v>#N/A Invalid Security</v>
      </c>
      <c r="AB30" s="57" t="str">
        <f>_xll.BDH(L140,$P$3,$P$2,$P$2)</f>
        <v>#N/A Invalid Security</v>
      </c>
      <c r="AC30" s="1" t="str">
        <f>_xll.BDH(M140,$P$3,$P$2,$P$2)</f>
        <v>#N/A Invalid Security</v>
      </c>
      <c r="AD30" s="1" t="str">
        <f>_xll.BDH(N140,$P$3,$P$2,$P$2)</f>
        <v>#N/A Invalid Security</v>
      </c>
    </row>
    <row r="31" spans="1:30" ht="16.5" x14ac:dyDescent="0.3">
      <c r="A31" s="38" t="s">
        <v>999</v>
      </c>
      <c r="B31" s="38" t="s">
        <v>1000</v>
      </c>
      <c r="C31" s="38" t="s">
        <v>1001</v>
      </c>
      <c r="D31" s="38" t="s">
        <v>1002</v>
      </c>
      <c r="E31" s="38" t="s">
        <v>1003</v>
      </c>
      <c r="F31" s="38" t="s">
        <v>1004</v>
      </c>
      <c r="G31" s="38" t="s">
        <v>1005</v>
      </c>
      <c r="H31" s="38" t="s">
        <v>1006</v>
      </c>
      <c r="I31" s="38" t="s">
        <v>1007</v>
      </c>
      <c r="J31" s="38" t="s">
        <v>1008</v>
      </c>
      <c r="K31" s="38" t="s">
        <v>1009</v>
      </c>
      <c r="L31" s="38" t="s">
        <v>1010</v>
      </c>
      <c r="M31" s="38" t="s">
        <v>1011</v>
      </c>
      <c r="N31" s="38" t="s">
        <v>1012</v>
      </c>
      <c r="Q31" s="38" t="s">
        <v>999</v>
      </c>
      <c r="R31" s="1" t="str">
        <f>_xll.BDH(B141,$P$3,$P$2,$P$2)</f>
        <v>#N/A Invalid Security</v>
      </c>
      <c r="S31" s="1" t="str">
        <f>_xll.BDH(C141,$P$3,$P$2,$P$2)</f>
        <v>#N/A Invalid Security</v>
      </c>
      <c r="T31" s="1" t="str">
        <f>_xll.BDH(D141,$P$3,$P$2,$P$2)</f>
        <v>#N/A Invalid Security</v>
      </c>
      <c r="U31" s="1" t="str">
        <f>_xll.BDH(E141,$P$3,$P$2,$P$2)</f>
        <v>#N/A Invalid Security</v>
      </c>
      <c r="V31" s="16" t="str">
        <f>_xll.BDH(F141,$P$3,$P$2,$P$2)</f>
        <v>#N/A Invalid Security</v>
      </c>
      <c r="W31" s="27" t="str">
        <f>_xll.BDH(G141,$P$3,$P$2,$P$2)</f>
        <v>#N/A Invalid Security</v>
      </c>
      <c r="X31" s="27" t="str">
        <f>_xll.BDH(H141,$P$3,$P$2,$P$2)</f>
        <v>#N/A Invalid Security</v>
      </c>
      <c r="Y31" s="27" t="str">
        <f>_xll.BDH(I141,$P$3,$P$2,$P$2)</f>
        <v>#N/A Invalid Security</v>
      </c>
      <c r="Z31" s="27" t="str">
        <f>_xll.BDH(J141,$P$3,$P$2,$P$2)</f>
        <v>#N/A Invalid Security</v>
      </c>
      <c r="AA31" s="27" t="str">
        <f>_xll.BDH(K141,$P$3,$P$2,$P$2)</f>
        <v>#N/A Invalid Security</v>
      </c>
      <c r="AB31" s="57" t="str">
        <f>_xll.BDH(L141,$P$3,$P$2,$P$2)</f>
        <v>#N/A Invalid Security</v>
      </c>
      <c r="AC31" s="1" t="str">
        <f>_xll.BDH(M141,$P$3,$P$2,$P$2)</f>
        <v>#N/A Invalid Security</v>
      </c>
      <c r="AD31" s="1" t="str">
        <f>_xll.BDH(N141,$P$3,$P$2,$P$2)</f>
        <v>#N/A Invalid Security</v>
      </c>
    </row>
    <row r="32" spans="1:30" ht="16.5" x14ac:dyDescent="0.3">
      <c r="A32" s="38" t="s">
        <v>1013</v>
      </c>
      <c r="B32" s="38" t="s">
        <v>1014</v>
      </c>
      <c r="C32" s="38" t="s">
        <v>1015</v>
      </c>
      <c r="D32" s="38" t="s">
        <v>1016</v>
      </c>
      <c r="E32" s="38" t="s">
        <v>1017</v>
      </c>
      <c r="F32" s="38" t="s">
        <v>1018</v>
      </c>
      <c r="G32" s="38" t="s">
        <v>1019</v>
      </c>
      <c r="H32" s="38" t="s">
        <v>1020</v>
      </c>
      <c r="I32" s="38" t="s">
        <v>1021</v>
      </c>
      <c r="J32" s="38" t="s">
        <v>1022</v>
      </c>
      <c r="K32" s="38" t="s">
        <v>1023</v>
      </c>
      <c r="L32" s="38" t="s">
        <v>1024</v>
      </c>
      <c r="M32" s="38" t="s">
        <v>1025</v>
      </c>
      <c r="N32" s="38" t="s">
        <v>1026</v>
      </c>
      <c r="Q32" s="38" t="s">
        <v>1013</v>
      </c>
      <c r="R32" s="1" t="str">
        <f>_xll.BDH(B142,$P$3,$P$2,$P$2)</f>
        <v>#N/A Invalid Security</v>
      </c>
      <c r="S32" s="1" t="str">
        <f>_xll.BDH(C142,$P$3,$P$2,$P$2)</f>
        <v>#N/A Invalid Security</v>
      </c>
      <c r="T32" s="1" t="str">
        <f>_xll.BDH(D142,$P$3,$P$2,$P$2)</f>
        <v>#N/A Invalid Security</v>
      </c>
      <c r="U32" s="1" t="str">
        <f>_xll.BDH(E142,$P$3,$P$2,$P$2)</f>
        <v>#N/A Invalid Security</v>
      </c>
      <c r="V32" s="16" t="str">
        <f>_xll.BDH(F142,$P$3,$P$2,$P$2)</f>
        <v>#N/A Invalid Security</v>
      </c>
      <c r="W32" s="27" t="str">
        <f>_xll.BDH(G142,$P$3,$P$2,$P$2)</f>
        <v>#N/A Invalid Security</v>
      </c>
      <c r="X32" s="27" t="str">
        <f>_xll.BDH(H142,$P$3,$P$2,$P$2)</f>
        <v>#N/A Invalid Security</v>
      </c>
      <c r="Y32" s="27" t="str">
        <f>_xll.BDH(I142,$P$3,$P$2,$P$2)</f>
        <v>#N/A Invalid Security</v>
      </c>
      <c r="Z32" s="27" t="str">
        <f>_xll.BDH(J142,$P$3,$P$2,$P$2)</f>
        <v>#N/A Invalid Security</v>
      </c>
      <c r="AA32" s="27" t="str">
        <f>_xll.BDH(K142,$P$3,$P$2,$P$2)</f>
        <v>#N/A Invalid Security</v>
      </c>
      <c r="AB32" s="57" t="str">
        <f>_xll.BDH(L142,$P$3,$P$2,$P$2)</f>
        <v>#N/A Invalid Security</v>
      </c>
      <c r="AC32" s="1" t="str">
        <f>_xll.BDH(M142,$P$3,$P$2,$P$2)</f>
        <v>#N/A Invalid Security</v>
      </c>
      <c r="AD32" s="1" t="str">
        <f>_xll.BDH(N142,$P$3,$P$2,$P$2)</f>
        <v>#N/A Invalid Security</v>
      </c>
    </row>
    <row r="33" spans="1:30" ht="16.5" x14ac:dyDescent="0.3">
      <c r="A33" s="38" t="s">
        <v>1027</v>
      </c>
      <c r="B33" s="38" t="s">
        <v>1028</v>
      </c>
      <c r="C33" s="38" t="s">
        <v>1029</v>
      </c>
      <c r="D33" s="38" t="s">
        <v>1030</v>
      </c>
      <c r="E33" s="38" t="s">
        <v>1031</v>
      </c>
      <c r="F33" s="38" t="s">
        <v>1032</v>
      </c>
      <c r="G33" s="38" t="s">
        <v>1033</v>
      </c>
      <c r="H33" s="38" t="s">
        <v>1034</v>
      </c>
      <c r="I33" s="38" t="s">
        <v>1035</v>
      </c>
      <c r="J33" s="38" t="s">
        <v>1036</v>
      </c>
      <c r="K33" s="38" t="s">
        <v>1037</v>
      </c>
      <c r="L33" s="38" t="s">
        <v>1038</v>
      </c>
      <c r="M33" s="38" t="s">
        <v>1039</v>
      </c>
      <c r="N33" s="38" t="s">
        <v>1040</v>
      </c>
      <c r="Q33" s="38" t="s">
        <v>1027</v>
      </c>
      <c r="R33" s="1" t="str">
        <f>_xll.BDH(B143,$P$3,$P$2,$P$2)</f>
        <v>#N/A Invalid Security</v>
      </c>
      <c r="S33" s="1" t="str">
        <f>_xll.BDH(C143,$P$3,$P$2,$P$2)</f>
        <v>#N/A Invalid Security</v>
      </c>
      <c r="T33" s="1" t="str">
        <f>_xll.BDH(D143,$P$3,$P$2,$P$2)</f>
        <v>#N/A Invalid Security</v>
      </c>
      <c r="U33" s="1" t="str">
        <f>_xll.BDH(E143,$P$3,$P$2,$P$2)</f>
        <v>#N/A Invalid Security</v>
      </c>
      <c r="V33" s="16" t="str">
        <f>_xll.BDH(F143,$P$3,$P$2,$P$2)</f>
        <v>#N/A Invalid Security</v>
      </c>
      <c r="W33" s="27" t="str">
        <f>_xll.BDH(G143,$P$3,$P$2,$P$2)</f>
        <v>#N/A Invalid Security</v>
      </c>
      <c r="X33" s="27" t="str">
        <f>_xll.BDH(H143,$P$3,$P$2,$P$2)</f>
        <v>#N/A Invalid Security</v>
      </c>
      <c r="Y33" s="27" t="str">
        <f>_xll.BDH(I143,$P$3,$P$2,$P$2)</f>
        <v>#N/A Invalid Security</v>
      </c>
      <c r="Z33" s="27" t="str">
        <f>_xll.BDH(J143,$P$3,$P$2,$P$2)</f>
        <v>#N/A Invalid Security</v>
      </c>
      <c r="AA33" s="27" t="str">
        <f>_xll.BDH(K143,$P$3,$P$2,$P$2)</f>
        <v>#N/A Invalid Security</v>
      </c>
      <c r="AB33" s="57" t="str">
        <f>_xll.BDH(L143,$P$3,$P$2,$P$2)</f>
        <v>#N/A Invalid Security</v>
      </c>
      <c r="AC33" s="1" t="str">
        <f>_xll.BDH(M143,$P$3,$P$2,$P$2)</f>
        <v>#N/A Invalid Security</v>
      </c>
      <c r="AD33" s="1" t="str">
        <f>_xll.BDH(N143,$P$3,$P$2,$P$2)</f>
        <v>#N/A Invalid Security</v>
      </c>
    </row>
    <row r="34" spans="1:30" ht="16.5" x14ac:dyDescent="0.3">
      <c r="A34" s="38" t="s">
        <v>1041</v>
      </c>
      <c r="B34" s="38" t="s">
        <v>1042</v>
      </c>
      <c r="C34" s="38" t="s">
        <v>1043</v>
      </c>
      <c r="D34" s="38" t="s">
        <v>1044</v>
      </c>
      <c r="E34" s="38" t="s">
        <v>1045</v>
      </c>
      <c r="F34" s="38" t="s">
        <v>1046</v>
      </c>
      <c r="G34" s="38" t="s">
        <v>1047</v>
      </c>
      <c r="H34" s="38" t="s">
        <v>1048</v>
      </c>
      <c r="I34" s="38" t="s">
        <v>1049</v>
      </c>
      <c r="J34" s="38" t="s">
        <v>1050</v>
      </c>
      <c r="K34" s="38" t="s">
        <v>1051</v>
      </c>
      <c r="L34" s="38" t="s">
        <v>1052</v>
      </c>
      <c r="M34" s="38" t="s">
        <v>1053</v>
      </c>
      <c r="N34" s="38" t="s">
        <v>1054</v>
      </c>
      <c r="Q34" s="38" t="s">
        <v>1041</v>
      </c>
      <c r="R34" s="1" t="str">
        <f>_xll.BDH(B144,$P$3,$P$2,$P$2)</f>
        <v>#N/A Invalid Security</v>
      </c>
      <c r="S34" s="1" t="str">
        <f>_xll.BDH(C144,$P$3,$P$2,$P$2)</f>
        <v>#N/A Invalid Security</v>
      </c>
      <c r="T34" s="1" t="str">
        <f>_xll.BDH(D144,$P$3,$P$2,$P$2)</f>
        <v>#N/A Invalid Security</v>
      </c>
      <c r="U34" s="1" t="str">
        <f>_xll.BDH(E144,$P$3,$P$2,$P$2)</f>
        <v>#N/A Invalid Security</v>
      </c>
      <c r="V34" s="16" t="str">
        <f>_xll.BDH(F144,$P$3,$P$2,$P$2)</f>
        <v>#N/A Invalid Security</v>
      </c>
      <c r="W34" s="27" t="str">
        <f>_xll.BDH(G144,$P$3,$P$2,$P$2)</f>
        <v>#N/A Invalid Security</v>
      </c>
      <c r="X34" s="27" t="str">
        <f>_xll.BDH(H144,$P$3,$P$2,$P$2)</f>
        <v>#N/A Invalid Security</v>
      </c>
      <c r="Y34" s="27" t="str">
        <f>_xll.BDH(I144,$P$3,$P$2,$P$2)</f>
        <v>#N/A Invalid Security</v>
      </c>
      <c r="Z34" s="27" t="str">
        <f>_xll.BDH(J144,$P$3,$P$2,$P$2)</f>
        <v>#N/A Invalid Security</v>
      </c>
      <c r="AA34" s="27" t="str">
        <f>_xll.BDH(K144,$P$3,$P$2,$P$2)</f>
        <v>#N/A Invalid Security</v>
      </c>
      <c r="AB34" s="57" t="str">
        <f>_xll.BDH(L144,$P$3,$P$2,$P$2)</f>
        <v>#N/A Invalid Security</v>
      </c>
      <c r="AC34" s="1" t="str">
        <f>_xll.BDH(M144,$P$3,$P$2,$P$2)</f>
        <v>#N/A Invalid Security</v>
      </c>
      <c r="AD34" s="1" t="str">
        <f>_xll.BDH(N144,$P$3,$P$2,$P$2)</f>
        <v>#N/A Invalid Security</v>
      </c>
    </row>
    <row r="35" spans="1:30" ht="16.5" x14ac:dyDescent="0.3">
      <c r="A35" s="38" t="s">
        <v>1055</v>
      </c>
      <c r="B35" s="38" t="s">
        <v>1056</v>
      </c>
      <c r="C35" s="38" t="s">
        <v>1057</v>
      </c>
      <c r="D35" s="38" t="s">
        <v>1058</v>
      </c>
      <c r="E35" s="38" t="s">
        <v>1059</v>
      </c>
      <c r="F35" s="38" t="s">
        <v>1060</v>
      </c>
      <c r="G35" s="38" t="s">
        <v>1061</v>
      </c>
      <c r="H35" s="38" t="s">
        <v>1062</v>
      </c>
      <c r="I35" s="38" t="s">
        <v>1063</v>
      </c>
      <c r="J35" s="38" t="s">
        <v>1064</v>
      </c>
      <c r="K35" s="38" t="s">
        <v>1065</v>
      </c>
      <c r="L35" s="38" t="s">
        <v>1066</v>
      </c>
      <c r="M35" s="38" t="s">
        <v>1067</v>
      </c>
      <c r="N35" s="38" t="s">
        <v>1068</v>
      </c>
      <c r="Q35" s="38" t="s">
        <v>1055</v>
      </c>
      <c r="R35" s="1" t="str">
        <f>_xll.BDH(B145,$P$3,$P$2,$P$2)</f>
        <v>#N/A Invalid Security</v>
      </c>
      <c r="S35" s="1" t="str">
        <f>_xll.BDH(C145,$P$3,$P$2,$P$2)</f>
        <v>#N/A Invalid Security</v>
      </c>
      <c r="T35" s="1" t="str">
        <f>_xll.BDH(D145,$P$3,$P$2,$P$2)</f>
        <v>#N/A Invalid Security</v>
      </c>
      <c r="U35" s="1" t="str">
        <f>_xll.BDH(E145,$P$3,$P$2,$P$2)</f>
        <v>#N/A Invalid Security</v>
      </c>
      <c r="V35" s="16" t="str">
        <f>_xll.BDH(F145,$P$3,$P$2,$P$2)</f>
        <v>#N/A Invalid Security</v>
      </c>
      <c r="W35" s="27" t="str">
        <f>_xll.BDH(G145,$P$3,$P$2,$P$2)</f>
        <v>#N/A Invalid Security</v>
      </c>
      <c r="X35" s="27" t="str">
        <f>_xll.BDH(H145,$P$3,$P$2,$P$2)</f>
        <v>#N/A Invalid Security</v>
      </c>
      <c r="Y35" s="27" t="str">
        <f>_xll.BDH(I145,$P$3,$P$2,$P$2)</f>
        <v>#N/A Invalid Security</v>
      </c>
      <c r="Z35" s="27" t="str">
        <f>_xll.BDH(J145,$P$3,$P$2,$P$2)</f>
        <v>#N/A Invalid Security</v>
      </c>
      <c r="AA35" s="27" t="str">
        <f>_xll.BDH(K145,$P$3,$P$2,$P$2)</f>
        <v>#N/A Invalid Security</v>
      </c>
      <c r="AB35" s="57" t="str">
        <f>_xll.BDH(L145,$P$3,$P$2,$P$2)</f>
        <v>#N/A Invalid Security</v>
      </c>
      <c r="AC35" s="1" t="str">
        <f>_xll.BDH(M145,$P$3,$P$2,$P$2)</f>
        <v>#N/A Invalid Security</v>
      </c>
      <c r="AD35" s="1" t="str">
        <f>_xll.BDH(N145,$P$3,$P$2,$P$2)</f>
        <v>#N/A Invalid Security</v>
      </c>
    </row>
    <row r="36" spans="1:30" ht="16.5" x14ac:dyDescent="0.3">
      <c r="A36" s="38" t="s">
        <v>1069</v>
      </c>
      <c r="B36" s="38" t="s">
        <v>1070</v>
      </c>
      <c r="C36" s="38" t="s">
        <v>1071</v>
      </c>
      <c r="D36" s="38" t="s">
        <v>1072</v>
      </c>
      <c r="E36" s="38" t="s">
        <v>1073</v>
      </c>
      <c r="F36" s="38" t="s">
        <v>1074</v>
      </c>
      <c r="G36" s="38" t="s">
        <v>1075</v>
      </c>
      <c r="H36" s="38" t="s">
        <v>1076</v>
      </c>
      <c r="I36" s="38" t="s">
        <v>1077</v>
      </c>
      <c r="J36" s="38" t="s">
        <v>1078</v>
      </c>
      <c r="K36" s="38" t="s">
        <v>1079</v>
      </c>
      <c r="L36" s="38" t="s">
        <v>1080</v>
      </c>
      <c r="M36" s="38" t="s">
        <v>1081</v>
      </c>
      <c r="N36" s="38" t="s">
        <v>1082</v>
      </c>
      <c r="Q36" s="38" t="s">
        <v>1069</v>
      </c>
      <c r="R36" s="1" t="str">
        <f>_xll.BDH(B146,$P$3,$P$2,$P$2)</f>
        <v>#N/A Invalid Security</v>
      </c>
      <c r="S36" s="1" t="str">
        <f>_xll.BDH(C146,$P$3,$P$2,$P$2)</f>
        <v>#N/A Invalid Security</v>
      </c>
      <c r="T36" s="1" t="str">
        <f>_xll.BDH(D146,$P$3,$P$2,$P$2)</f>
        <v>#N/A Invalid Security</v>
      </c>
      <c r="U36" s="1" t="str">
        <f>_xll.BDH(E146,$P$3,$P$2,$P$2)</f>
        <v>#N/A Invalid Security</v>
      </c>
      <c r="V36" s="16" t="str">
        <f>_xll.BDH(F146,$P$3,$P$2,$P$2)</f>
        <v>#N/A Invalid Security</v>
      </c>
      <c r="W36" s="27" t="str">
        <f>_xll.BDH(G146,$P$3,$P$2,$P$2)</f>
        <v>#N/A Invalid Security</v>
      </c>
      <c r="X36" s="27" t="str">
        <f>_xll.BDH(H146,$P$3,$P$2,$P$2)</f>
        <v>#N/A Invalid Security</v>
      </c>
      <c r="Y36" s="27" t="str">
        <f>_xll.BDH(I146,$P$3,$P$2,$P$2)</f>
        <v>#N/A Invalid Security</v>
      </c>
      <c r="Z36" s="27" t="str">
        <f>_xll.BDH(J146,$P$3,$P$2,$P$2)</f>
        <v>#N/A Invalid Security</v>
      </c>
      <c r="AA36" s="27" t="str">
        <f>_xll.BDH(K146,$P$3,$P$2,$P$2)</f>
        <v>#N/A Invalid Security</v>
      </c>
      <c r="AB36" s="57" t="str">
        <f>_xll.BDH(L146,$P$3,$P$2,$P$2)</f>
        <v>#N/A Invalid Security</v>
      </c>
      <c r="AC36" s="1" t="str">
        <f>_xll.BDH(M146,$P$3,$P$2,$P$2)</f>
        <v>#N/A Invalid Security</v>
      </c>
      <c r="AD36" s="1" t="str">
        <f>_xll.BDH(N146,$P$3,$P$2,$P$2)</f>
        <v>#N/A Invalid Security</v>
      </c>
    </row>
    <row r="37" spans="1:30" ht="16.5" x14ac:dyDescent="0.3">
      <c r="A37" s="38" t="s">
        <v>1083</v>
      </c>
      <c r="B37" s="38" t="s">
        <v>1084</v>
      </c>
      <c r="C37" s="38" t="s">
        <v>1085</v>
      </c>
      <c r="D37" s="38" t="s">
        <v>1086</v>
      </c>
      <c r="E37" s="38" t="s">
        <v>1087</v>
      </c>
      <c r="F37" s="38" t="s">
        <v>1088</v>
      </c>
      <c r="G37" s="38" t="s">
        <v>1089</v>
      </c>
      <c r="H37" s="38" t="s">
        <v>1090</v>
      </c>
      <c r="I37" s="38" t="s">
        <v>1091</v>
      </c>
      <c r="J37" s="38" t="s">
        <v>1092</v>
      </c>
      <c r="K37" s="38" t="s">
        <v>1093</v>
      </c>
      <c r="L37" s="38" t="s">
        <v>1094</v>
      </c>
      <c r="M37" s="38" t="s">
        <v>1095</v>
      </c>
      <c r="N37" s="38" t="s">
        <v>1096</v>
      </c>
      <c r="Q37" s="38" t="s">
        <v>1083</v>
      </c>
      <c r="R37" s="1" t="str">
        <f>_xll.BDH(B147,$P$3,$P$2,$P$2)</f>
        <v>#N/A Invalid Security</v>
      </c>
      <c r="S37" s="1" t="str">
        <f>_xll.BDH(C147,$P$3,$P$2,$P$2)</f>
        <v>#N/A Invalid Security</v>
      </c>
      <c r="T37" s="1" t="str">
        <f>_xll.BDH(D147,$P$3,$P$2,$P$2)</f>
        <v>#N/A Invalid Security</v>
      </c>
      <c r="U37" s="1" t="str">
        <f>_xll.BDH(E147,$P$3,$P$2,$P$2)</f>
        <v>#N/A Invalid Security</v>
      </c>
      <c r="V37" s="16" t="str">
        <f>_xll.BDH(F147,$P$3,$P$2,$P$2)</f>
        <v>#N/A Invalid Security</v>
      </c>
      <c r="W37" s="27" t="str">
        <f>_xll.BDH(G147,$P$3,$P$2,$P$2)</f>
        <v>#N/A Invalid Security</v>
      </c>
      <c r="X37" s="27" t="str">
        <f>_xll.BDH(H147,$P$3,$P$2,$P$2)</f>
        <v>#N/A Invalid Security</v>
      </c>
      <c r="Y37" s="27" t="str">
        <f>_xll.BDH(I147,$P$3,$P$2,$P$2)</f>
        <v>#N/A Invalid Security</v>
      </c>
      <c r="Z37" s="27" t="str">
        <f>_xll.BDH(J147,$P$3,$P$2,$P$2)</f>
        <v>#N/A Invalid Security</v>
      </c>
      <c r="AA37" s="27" t="str">
        <f>_xll.BDH(K147,$P$3,$P$2,$P$2)</f>
        <v>#N/A Invalid Security</v>
      </c>
      <c r="AB37" s="57" t="str">
        <f>_xll.BDH(L147,$P$3,$P$2,$P$2)</f>
        <v>#N/A Invalid Security</v>
      </c>
      <c r="AC37" s="1" t="str">
        <f>_xll.BDH(M147,$P$3,$P$2,$P$2)</f>
        <v>#N/A Invalid Security</v>
      </c>
      <c r="AD37" s="1" t="str">
        <f>_xll.BDH(N147,$P$3,$P$2,$P$2)</f>
        <v>#N/A Invalid Security</v>
      </c>
    </row>
    <row r="38" spans="1:30" ht="16.5" x14ac:dyDescent="0.3">
      <c r="A38" s="38" t="s">
        <v>1097</v>
      </c>
      <c r="B38" s="38" t="s">
        <v>1098</v>
      </c>
      <c r="C38" s="38" t="s">
        <v>1099</v>
      </c>
      <c r="D38" s="38" t="s">
        <v>1100</v>
      </c>
      <c r="E38" s="38" t="s">
        <v>1101</v>
      </c>
      <c r="F38" s="38" t="s">
        <v>1102</v>
      </c>
      <c r="G38" s="38" t="s">
        <v>1103</v>
      </c>
      <c r="H38" s="38" t="s">
        <v>1104</v>
      </c>
      <c r="I38" s="38" t="s">
        <v>1105</v>
      </c>
      <c r="J38" s="38" t="s">
        <v>1106</v>
      </c>
      <c r="K38" s="38" t="s">
        <v>1107</v>
      </c>
      <c r="L38" s="38" t="s">
        <v>1108</v>
      </c>
      <c r="M38" s="38" t="s">
        <v>1109</v>
      </c>
      <c r="N38" s="38" t="s">
        <v>1110</v>
      </c>
      <c r="Q38" s="38" t="s">
        <v>1097</v>
      </c>
      <c r="R38" s="1" t="str">
        <f>_xll.BDH(B148,$P$3,$P$2,$P$2)</f>
        <v>#N/A Invalid Security</v>
      </c>
      <c r="S38" s="1" t="str">
        <f>_xll.BDH(C148,$P$3,$P$2,$P$2)</f>
        <v>#N/A Invalid Security</v>
      </c>
      <c r="T38" s="1" t="str">
        <f>_xll.BDH(D148,$P$3,$P$2,$P$2)</f>
        <v>#N/A Invalid Security</v>
      </c>
      <c r="U38" s="1" t="str">
        <f>_xll.BDH(E148,$P$3,$P$2,$P$2)</f>
        <v>#N/A Invalid Security</v>
      </c>
      <c r="V38" s="16" t="str">
        <f>_xll.BDH(F148,$P$3,$P$2,$P$2)</f>
        <v>#N/A Invalid Security</v>
      </c>
      <c r="W38" s="27" t="str">
        <f>_xll.BDH(G148,$P$3,$P$2,$P$2)</f>
        <v>#N/A Invalid Security</v>
      </c>
      <c r="X38" s="27" t="str">
        <f>_xll.BDH(H148,$P$3,$P$2,$P$2)</f>
        <v>#N/A Invalid Security</v>
      </c>
      <c r="Y38" s="27" t="str">
        <f>_xll.BDH(I148,$P$3,$P$2,$P$2)</f>
        <v>#N/A Invalid Security</v>
      </c>
      <c r="Z38" s="27" t="str">
        <f>_xll.BDH(J148,$P$3,$P$2,$P$2)</f>
        <v>#N/A Invalid Security</v>
      </c>
      <c r="AA38" s="27" t="str">
        <f>_xll.BDH(K148,$P$3,$P$2,$P$2)</f>
        <v>#N/A Invalid Security</v>
      </c>
      <c r="AB38" s="57" t="str">
        <f>_xll.BDH(L148,$P$3,$P$2,$P$2)</f>
        <v>#N/A Invalid Security</v>
      </c>
      <c r="AC38" s="1" t="str">
        <f>_xll.BDH(M148,$P$3,$P$2,$P$2)</f>
        <v>#N/A Invalid Security</v>
      </c>
      <c r="AD38" s="1" t="str">
        <f>_xll.BDH(N148,$P$3,$P$2,$P$2)</f>
        <v>#N/A Invalid Security</v>
      </c>
    </row>
    <row r="39" spans="1:30" ht="16.5" x14ac:dyDescent="0.3">
      <c r="A39" s="38" t="s">
        <v>1111</v>
      </c>
      <c r="B39" s="38" t="s">
        <v>1112</v>
      </c>
      <c r="C39" s="38" t="s">
        <v>1113</v>
      </c>
      <c r="D39" s="38" t="s">
        <v>1114</v>
      </c>
      <c r="E39" s="38" t="s">
        <v>1115</v>
      </c>
      <c r="F39" s="38" t="s">
        <v>1116</v>
      </c>
      <c r="G39" s="38" t="s">
        <v>1117</v>
      </c>
      <c r="H39" s="38" t="s">
        <v>1118</v>
      </c>
      <c r="I39" s="38" t="s">
        <v>1119</v>
      </c>
      <c r="J39" s="38" t="s">
        <v>1120</v>
      </c>
      <c r="K39" s="38" t="s">
        <v>1121</v>
      </c>
      <c r="L39" s="38" t="s">
        <v>1122</v>
      </c>
      <c r="M39" s="38" t="s">
        <v>1123</v>
      </c>
      <c r="N39" s="38" t="s">
        <v>1124</v>
      </c>
      <c r="Q39" s="38" t="s">
        <v>1111</v>
      </c>
      <c r="R39" s="1" t="str">
        <f>_xll.BDH(B149,$P$3,$P$2,$P$2)</f>
        <v>#N/A Invalid Security</v>
      </c>
      <c r="S39" s="1" t="str">
        <f>_xll.BDH(C149,$P$3,$P$2,$P$2)</f>
        <v>#N/A Invalid Security</v>
      </c>
      <c r="T39" s="1" t="str">
        <f>_xll.BDH(D149,$P$3,$P$2,$P$2)</f>
        <v>#N/A Invalid Security</v>
      </c>
      <c r="U39" s="1" t="str">
        <f>_xll.BDH(E149,$P$3,$P$2,$P$2)</f>
        <v>#N/A Invalid Security</v>
      </c>
      <c r="V39" s="16" t="str">
        <f>_xll.BDH(F149,$P$3,$P$2,$P$2)</f>
        <v>#N/A Invalid Security</v>
      </c>
      <c r="W39" s="27" t="str">
        <f>_xll.BDH(G149,$P$3,$P$2,$P$2)</f>
        <v>#N/A Invalid Security</v>
      </c>
      <c r="X39" s="27" t="str">
        <f>_xll.BDH(H149,$P$3,$P$2,$P$2)</f>
        <v>#N/A Invalid Security</v>
      </c>
      <c r="Y39" s="27" t="str">
        <f>_xll.BDH(I149,$P$3,$P$2,$P$2)</f>
        <v>#N/A Invalid Security</v>
      </c>
      <c r="Z39" s="27" t="str">
        <f>_xll.BDH(J149,$P$3,$P$2,$P$2)</f>
        <v>#N/A Invalid Security</v>
      </c>
      <c r="AA39" s="27" t="str">
        <f>_xll.BDH(K149,$P$3,$P$2,$P$2)</f>
        <v>#N/A Invalid Security</v>
      </c>
      <c r="AB39" s="57" t="str">
        <f>_xll.BDH(L149,$P$3,$P$2,$P$2)</f>
        <v>#N/A Invalid Security</v>
      </c>
      <c r="AC39" s="1" t="str">
        <f>_xll.BDH(M149,$P$3,$P$2,$P$2)</f>
        <v>#N/A Invalid Security</v>
      </c>
      <c r="AD39" s="1" t="str">
        <f>_xll.BDH(N149,$P$3,$P$2,$P$2)</f>
        <v>#N/A Invalid Security</v>
      </c>
    </row>
    <row r="40" spans="1:30" ht="16.5" x14ac:dyDescent="0.3">
      <c r="A40" s="38" t="s">
        <v>1125</v>
      </c>
      <c r="B40" s="38" t="s">
        <v>1126</v>
      </c>
      <c r="C40" s="38" t="s">
        <v>1127</v>
      </c>
      <c r="D40" s="38" t="s">
        <v>1128</v>
      </c>
      <c r="E40" s="38" t="s">
        <v>1129</v>
      </c>
      <c r="F40" s="38" t="s">
        <v>1130</v>
      </c>
      <c r="G40" s="38" t="s">
        <v>1131</v>
      </c>
      <c r="H40" s="38" t="s">
        <v>1132</v>
      </c>
      <c r="I40" s="38" t="s">
        <v>1133</v>
      </c>
      <c r="J40" s="38" t="s">
        <v>1134</v>
      </c>
      <c r="K40" s="38" t="s">
        <v>1135</v>
      </c>
      <c r="L40" s="38" t="s">
        <v>1136</v>
      </c>
      <c r="M40" s="38" t="s">
        <v>1137</v>
      </c>
      <c r="N40" s="38" t="s">
        <v>1138</v>
      </c>
      <c r="Q40" s="38" t="s">
        <v>1125</v>
      </c>
      <c r="R40" s="1" t="str">
        <f>_xll.BDH(B150,$P$3,$P$2,$P$2)</f>
        <v>#N/A Invalid Security</v>
      </c>
      <c r="S40" s="1" t="str">
        <f>_xll.BDH(C150,$P$3,$P$2,$P$2)</f>
        <v>#N/A Invalid Security</v>
      </c>
      <c r="T40" s="1" t="str">
        <f>_xll.BDH(D150,$P$3,$P$2,$P$2)</f>
        <v>#N/A Invalid Security</v>
      </c>
      <c r="U40" s="1" t="str">
        <f>_xll.BDH(E150,$P$3,$P$2,$P$2)</f>
        <v>#N/A Invalid Security</v>
      </c>
      <c r="V40" s="16" t="str">
        <f>_xll.BDH(F150,$P$3,$P$2,$P$2)</f>
        <v>#N/A Invalid Security</v>
      </c>
      <c r="W40" s="27" t="str">
        <f>_xll.BDH(G150,$P$3,$P$2,$P$2)</f>
        <v>#N/A Invalid Security</v>
      </c>
      <c r="X40" s="27" t="str">
        <f>_xll.BDH(H150,$P$3,$P$2,$P$2)</f>
        <v>#N/A Invalid Security</v>
      </c>
      <c r="Y40" s="27" t="str">
        <f>_xll.BDH(I150,$P$3,$P$2,$P$2)</f>
        <v>#N/A Invalid Security</v>
      </c>
      <c r="Z40" s="27" t="str">
        <f>_xll.BDH(J150,$P$3,$P$2,$P$2)</f>
        <v>#N/A Invalid Security</v>
      </c>
      <c r="AA40" s="27" t="str">
        <f>_xll.BDH(K150,$P$3,$P$2,$P$2)</f>
        <v>#N/A Invalid Security</v>
      </c>
      <c r="AB40" s="57" t="str">
        <f>_xll.BDH(L150,$P$3,$P$2,$P$2)</f>
        <v>#N/A Invalid Security</v>
      </c>
      <c r="AC40" s="1" t="str">
        <f>_xll.BDH(M150,$P$3,$P$2,$P$2)</f>
        <v>#N/A Invalid Security</v>
      </c>
      <c r="AD40" s="1" t="str">
        <f>_xll.BDH(N150,$P$3,$P$2,$P$2)</f>
        <v>#N/A Invalid Security</v>
      </c>
    </row>
    <row r="41" spans="1:30" ht="16.5" x14ac:dyDescent="0.3">
      <c r="A41" s="38" t="s">
        <v>1139</v>
      </c>
      <c r="B41" s="38" t="s">
        <v>1140</v>
      </c>
      <c r="C41" s="38" t="s">
        <v>1141</v>
      </c>
      <c r="D41" s="38" t="s">
        <v>1142</v>
      </c>
      <c r="E41" s="38" t="s">
        <v>1143</v>
      </c>
      <c r="F41" s="38" t="s">
        <v>1144</v>
      </c>
      <c r="G41" s="38" t="s">
        <v>1145</v>
      </c>
      <c r="H41" s="38" t="s">
        <v>1146</v>
      </c>
      <c r="I41" s="38" t="s">
        <v>1147</v>
      </c>
      <c r="J41" s="38" t="s">
        <v>1148</v>
      </c>
      <c r="K41" s="38" t="s">
        <v>1149</v>
      </c>
      <c r="L41" s="38" t="s">
        <v>1150</v>
      </c>
      <c r="M41" s="38" t="s">
        <v>1151</v>
      </c>
      <c r="N41" s="38" t="s">
        <v>1152</v>
      </c>
      <c r="Q41" s="38" t="s">
        <v>1139</v>
      </c>
      <c r="R41" s="1" t="str">
        <f>_xll.BDH(B151,$P$3,$P$2,$P$2)</f>
        <v>#N/A Invalid Security</v>
      </c>
      <c r="S41" s="1" t="str">
        <f>_xll.BDH(C151,$P$3,$P$2,$P$2)</f>
        <v>#N/A Invalid Security</v>
      </c>
      <c r="T41" s="1" t="str">
        <f>_xll.BDH(D151,$P$3,$P$2,$P$2)</f>
        <v>#N/A Invalid Security</v>
      </c>
      <c r="U41" s="1" t="str">
        <f>_xll.BDH(E151,$P$3,$P$2,$P$2)</f>
        <v>#N/A Invalid Security</v>
      </c>
      <c r="V41" s="16" t="str">
        <f>_xll.BDH(F151,$P$3,$P$2,$P$2)</f>
        <v>#N/A Invalid Security</v>
      </c>
      <c r="W41" s="27" t="str">
        <f>_xll.BDH(G151,$P$3,$P$2,$P$2)</f>
        <v>#N/A Invalid Security</v>
      </c>
      <c r="X41" s="27" t="str">
        <f>_xll.BDH(H151,$P$3,$P$2,$P$2)</f>
        <v>#N/A Invalid Security</v>
      </c>
      <c r="Y41" s="27" t="str">
        <f>_xll.BDH(I151,$P$3,$P$2,$P$2)</f>
        <v>#N/A Invalid Security</v>
      </c>
      <c r="Z41" s="27" t="str">
        <f>_xll.BDH(J151,$P$3,$P$2,$P$2)</f>
        <v>#N/A Invalid Security</v>
      </c>
      <c r="AA41" s="27" t="str">
        <f>_xll.BDH(K151,$P$3,$P$2,$P$2)</f>
        <v>#N/A Invalid Security</v>
      </c>
      <c r="AB41" s="57" t="str">
        <f>_xll.BDH(L151,$P$3,$P$2,$P$2)</f>
        <v>#N/A Invalid Security</v>
      </c>
      <c r="AC41" s="1" t="str">
        <f>_xll.BDH(M151,$P$3,$P$2,$P$2)</f>
        <v>#N/A Invalid Security</v>
      </c>
      <c r="AD41" s="1" t="str">
        <f>_xll.BDH(N151,$P$3,$P$2,$P$2)</f>
        <v>#N/A Invalid Security</v>
      </c>
    </row>
    <row r="42" spans="1:30" ht="16.5" x14ac:dyDescent="0.3">
      <c r="A42" s="38" t="s">
        <v>1153</v>
      </c>
      <c r="B42" s="38" t="s">
        <v>1154</v>
      </c>
      <c r="C42" s="38" t="s">
        <v>1155</v>
      </c>
      <c r="D42" s="38" t="s">
        <v>1156</v>
      </c>
      <c r="E42" s="38" t="s">
        <v>1157</v>
      </c>
      <c r="F42" s="38" t="s">
        <v>1158</v>
      </c>
      <c r="G42" s="38" t="s">
        <v>1159</v>
      </c>
      <c r="H42" s="38" t="s">
        <v>1160</v>
      </c>
      <c r="I42" s="38" t="s">
        <v>1161</v>
      </c>
      <c r="J42" s="38" t="s">
        <v>1162</v>
      </c>
      <c r="K42" s="38" t="s">
        <v>1163</v>
      </c>
      <c r="L42" s="38" t="s">
        <v>1164</v>
      </c>
      <c r="M42" s="38" t="s">
        <v>1165</v>
      </c>
      <c r="N42" s="38" t="s">
        <v>1166</v>
      </c>
      <c r="Q42" s="38" t="s">
        <v>1153</v>
      </c>
      <c r="R42" s="1" t="str">
        <f>_xll.BDH(B152,$P$3,$P$2,$P$2)</f>
        <v>#N/A Invalid Security</v>
      </c>
      <c r="S42" s="1" t="str">
        <f>_xll.BDH(C152,$P$3,$P$2,$P$2)</f>
        <v>#N/A Invalid Security</v>
      </c>
      <c r="T42" s="1" t="str">
        <f>_xll.BDH(D152,$P$3,$P$2,$P$2)</f>
        <v>#N/A Invalid Security</v>
      </c>
      <c r="U42" s="1" t="str">
        <f>_xll.BDH(E152,$P$3,$P$2,$P$2)</f>
        <v>#N/A Invalid Security</v>
      </c>
      <c r="V42" s="16" t="str">
        <f>_xll.BDH(F152,$P$3,$P$2,$P$2)</f>
        <v>#N/A Invalid Security</v>
      </c>
      <c r="W42" s="27" t="str">
        <f>_xll.BDH(G152,$P$3,$P$2,$P$2)</f>
        <v>#N/A Invalid Security</v>
      </c>
      <c r="X42" s="27" t="str">
        <f>_xll.BDH(H152,$P$3,$P$2,$P$2)</f>
        <v>#N/A Invalid Security</v>
      </c>
      <c r="Y42" s="27" t="str">
        <f>_xll.BDH(I152,$P$3,$P$2,$P$2)</f>
        <v>#N/A Invalid Security</v>
      </c>
      <c r="Z42" s="27" t="str">
        <f>_xll.BDH(J152,$P$3,$P$2,$P$2)</f>
        <v>#N/A Invalid Security</v>
      </c>
      <c r="AA42" s="27" t="str">
        <f>_xll.BDH(K152,$P$3,$P$2,$P$2)</f>
        <v>#N/A Invalid Security</v>
      </c>
      <c r="AB42" s="57" t="str">
        <f>_xll.BDH(L152,$P$3,$P$2,$P$2)</f>
        <v>#N/A Invalid Security</v>
      </c>
      <c r="AC42" s="1" t="str">
        <f>_xll.BDH(M152,$P$3,$P$2,$P$2)</f>
        <v>#N/A Invalid Security</v>
      </c>
      <c r="AD42" s="1" t="str">
        <f>_xll.BDH(N152,$P$3,$P$2,$P$2)</f>
        <v>#N/A Invalid Security</v>
      </c>
    </row>
    <row r="43" spans="1:30" ht="16.5" x14ac:dyDescent="0.3">
      <c r="A43" s="38" t="s">
        <v>1167</v>
      </c>
      <c r="B43" s="38" t="s">
        <v>1168</v>
      </c>
      <c r="C43" s="38" t="s">
        <v>1169</v>
      </c>
      <c r="D43" s="38" t="s">
        <v>1170</v>
      </c>
      <c r="E43" s="38" t="s">
        <v>1171</v>
      </c>
      <c r="F43" s="38" t="s">
        <v>1172</v>
      </c>
      <c r="G43" s="38" t="s">
        <v>1173</v>
      </c>
      <c r="H43" s="38" t="s">
        <v>1174</v>
      </c>
      <c r="I43" s="38" t="s">
        <v>1175</v>
      </c>
      <c r="J43" s="38" t="s">
        <v>1176</v>
      </c>
      <c r="K43" s="38" t="s">
        <v>1177</v>
      </c>
      <c r="L43" s="38" t="s">
        <v>1178</v>
      </c>
      <c r="M43" s="38" t="s">
        <v>1179</v>
      </c>
      <c r="N43" s="38" t="s">
        <v>1180</v>
      </c>
      <c r="Q43" s="38" t="s">
        <v>1167</v>
      </c>
      <c r="R43" s="1" t="str">
        <f>_xll.BDH(B153,$P$3,$P$2,$P$2)</f>
        <v>#N/A Invalid Security</v>
      </c>
      <c r="S43" s="1" t="str">
        <f>_xll.BDH(C153,$P$3,$P$2,$P$2)</f>
        <v>#N/A Invalid Security</v>
      </c>
      <c r="T43" s="1" t="str">
        <f>_xll.BDH(D153,$P$3,$P$2,$P$2)</f>
        <v>#N/A Invalid Security</v>
      </c>
      <c r="U43" s="1" t="str">
        <f>_xll.BDH(E153,$P$3,$P$2,$P$2)</f>
        <v>#N/A Invalid Security</v>
      </c>
      <c r="V43" s="16" t="str">
        <f>_xll.BDH(F153,$P$3,$P$2,$P$2)</f>
        <v>#N/A Invalid Security</v>
      </c>
      <c r="W43" s="27" t="str">
        <f>_xll.BDH(G153,$P$3,$P$2,$P$2)</f>
        <v>#N/A Invalid Security</v>
      </c>
      <c r="X43" s="27" t="str">
        <f>_xll.BDH(H153,$P$3,$P$2,$P$2)</f>
        <v>#N/A Invalid Security</v>
      </c>
      <c r="Y43" s="27" t="str">
        <f>_xll.BDH(I153,$P$3,$P$2,$P$2)</f>
        <v>#N/A Invalid Security</v>
      </c>
      <c r="Z43" s="27" t="str">
        <f>_xll.BDH(J153,$P$3,$P$2,$P$2)</f>
        <v>#N/A Invalid Security</v>
      </c>
      <c r="AA43" s="27" t="str">
        <f>_xll.BDH(K153,$P$3,$P$2,$P$2)</f>
        <v>#N/A Invalid Security</v>
      </c>
      <c r="AB43" s="57" t="str">
        <f>_xll.BDH(L153,$P$3,$P$2,$P$2)</f>
        <v>#N/A Invalid Security</v>
      </c>
      <c r="AC43" s="1" t="str">
        <f>_xll.BDH(M153,$P$3,$P$2,$P$2)</f>
        <v>#N/A Invalid Security</v>
      </c>
      <c r="AD43" s="1" t="str">
        <f>_xll.BDH(N153,$P$3,$P$2,$P$2)</f>
        <v>#N/A Invalid Security</v>
      </c>
    </row>
    <row r="44" spans="1:30" ht="16.5" x14ac:dyDescent="0.3">
      <c r="A44" s="38" t="s">
        <v>1181</v>
      </c>
      <c r="B44" s="38" t="s">
        <v>1182</v>
      </c>
      <c r="C44" s="38" t="s">
        <v>1183</v>
      </c>
      <c r="D44" s="38" t="s">
        <v>1184</v>
      </c>
      <c r="E44" s="38" t="s">
        <v>1185</v>
      </c>
      <c r="F44" s="38" t="s">
        <v>1186</v>
      </c>
      <c r="G44" s="38" t="s">
        <v>1187</v>
      </c>
      <c r="H44" s="38" t="s">
        <v>1188</v>
      </c>
      <c r="I44" s="38" t="s">
        <v>1189</v>
      </c>
      <c r="J44" s="38" t="s">
        <v>1190</v>
      </c>
      <c r="K44" s="38" t="s">
        <v>1191</v>
      </c>
      <c r="L44" s="38" t="s">
        <v>1192</v>
      </c>
      <c r="M44" s="38" t="s">
        <v>1193</v>
      </c>
      <c r="N44" s="38" t="s">
        <v>1194</v>
      </c>
      <c r="Q44" s="38" t="s">
        <v>1181</v>
      </c>
      <c r="R44" s="1" t="str">
        <f>_xll.BDH(B154,$P$3,$P$2,$P$2)</f>
        <v>#N/A Invalid Security</v>
      </c>
      <c r="S44" s="1" t="str">
        <f>_xll.BDH(C154,$P$3,$P$2,$P$2)</f>
        <v>#N/A Invalid Security</v>
      </c>
      <c r="T44" s="1" t="str">
        <f>_xll.BDH(D154,$P$3,$P$2,$P$2)</f>
        <v>#N/A Invalid Security</v>
      </c>
      <c r="U44" s="1" t="str">
        <f>_xll.BDH(E154,$P$3,$P$2,$P$2)</f>
        <v>#N/A Invalid Security</v>
      </c>
      <c r="V44" s="16" t="str">
        <f>_xll.BDH(F154,$P$3,$P$2,$P$2)</f>
        <v>#N/A Invalid Security</v>
      </c>
      <c r="W44" s="27" t="str">
        <f>_xll.BDH(G154,$P$3,$P$2,$P$2)</f>
        <v>#N/A Invalid Security</v>
      </c>
      <c r="X44" s="27" t="str">
        <f>_xll.BDH(H154,$P$3,$P$2,$P$2)</f>
        <v>#N/A Invalid Security</v>
      </c>
      <c r="Y44" s="27" t="str">
        <f>_xll.BDH(I154,$P$3,$P$2,$P$2)</f>
        <v>#N/A Invalid Security</v>
      </c>
      <c r="Z44" s="27" t="str">
        <f>_xll.BDH(J154,$P$3,$P$2,$P$2)</f>
        <v>#N/A Invalid Security</v>
      </c>
      <c r="AA44" s="27" t="str">
        <f>_xll.BDH(K154,$P$3,$P$2,$P$2)</f>
        <v>#N/A Invalid Security</v>
      </c>
      <c r="AB44" s="57" t="str">
        <f>_xll.BDH(L154,$P$3,$P$2,$P$2)</f>
        <v>#N/A Invalid Security</v>
      </c>
      <c r="AC44" s="1" t="str">
        <f>_xll.BDH(M154,$P$3,$P$2,$P$2)</f>
        <v>#N/A Invalid Security</v>
      </c>
      <c r="AD44" s="1" t="str">
        <f>_xll.BDH(N154,$P$3,$P$2,$P$2)</f>
        <v>#N/A Invalid Security</v>
      </c>
    </row>
    <row r="45" spans="1:30" ht="16.5" x14ac:dyDescent="0.3">
      <c r="A45" s="38" t="s">
        <v>1195</v>
      </c>
      <c r="B45" s="38" t="s">
        <v>1196</v>
      </c>
      <c r="C45" s="38" t="s">
        <v>1197</v>
      </c>
      <c r="D45" s="38" t="s">
        <v>1198</v>
      </c>
      <c r="E45" s="38" t="s">
        <v>1199</v>
      </c>
      <c r="F45" s="38" t="s">
        <v>1200</v>
      </c>
      <c r="G45" s="38" t="s">
        <v>1201</v>
      </c>
      <c r="H45" s="38" t="s">
        <v>1202</v>
      </c>
      <c r="I45" s="38" t="s">
        <v>1203</v>
      </c>
      <c r="J45" s="38" t="s">
        <v>1204</v>
      </c>
      <c r="K45" s="38" t="s">
        <v>1205</v>
      </c>
      <c r="L45" s="38" t="s">
        <v>1206</v>
      </c>
      <c r="M45" s="38" t="s">
        <v>1207</v>
      </c>
      <c r="N45" s="38" t="s">
        <v>1208</v>
      </c>
      <c r="Q45" s="38" t="s">
        <v>1195</v>
      </c>
      <c r="R45" s="1" t="str">
        <f>_xll.BDH(B155,$P$3,$P$2,$P$2)</f>
        <v>#N/A Invalid Security</v>
      </c>
      <c r="S45" s="1" t="str">
        <f>_xll.BDH(C155,$P$3,$P$2,$P$2)</f>
        <v>#N/A Invalid Security</v>
      </c>
      <c r="T45" s="1" t="str">
        <f>_xll.BDH(D155,$P$3,$P$2,$P$2)</f>
        <v>#N/A Invalid Security</v>
      </c>
      <c r="U45" s="1" t="str">
        <f>_xll.BDH(E155,$P$3,$P$2,$P$2)</f>
        <v>#N/A Invalid Security</v>
      </c>
      <c r="V45" s="16" t="str">
        <f>_xll.BDH(F155,$P$3,$P$2,$P$2)</f>
        <v>#N/A Invalid Security</v>
      </c>
      <c r="W45" s="27" t="str">
        <f>_xll.BDH(G155,$P$3,$P$2,$P$2)</f>
        <v>#N/A Invalid Security</v>
      </c>
      <c r="X45" s="27" t="str">
        <f>_xll.BDH(H155,$P$3,$P$2,$P$2)</f>
        <v>#N/A Invalid Security</v>
      </c>
      <c r="Y45" s="27" t="str">
        <f>_xll.BDH(I155,$P$3,$P$2,$P$2)</f>
        <v>#N/A Invalid Security</v>
      </c>
      <c r="Z45" s="27" t="str">
        <f>_xll.BDH(J155,$P$3,$P$2,$P$2)</f>
        <v>#N/A Invalid Security</v>
      </c>
      <c r="AA45" s="27" t="str">
        <f>_xll.BDH(K155,$P$3,$P$2,$P$2)</f>
        <v>#N/A Invalid Security</v>
      </c>
      <c r="AB45" s="57" t="str">
        <f>_xll.BDH(L155,$P$3,$P$2,$P$2)</f>
        <v>#N/A Invalid Security</v>
      </c>
      <c r="AC45" s="1" t="str">
        <f>_xll.BDH(M155,$P$3,$P$2,$P$2)</f>
        <v>#N/A Invalid Security</v>
      </c>
      <c r="AD45" s="1" t="str">
        <f>_xll.BDH(N155,$P$3,$P$2,$P$2)</f>
        <v>#N/A Invalid Security</v>
      </c>
    </row>
    <row r="46" spans="1:30" ht="16.5" x14ac:dyDescent="0.3">
      <c r="A46" s="38" t="s">
        <v>1209</v>
      </c>
      <c r="B46" s="38" t="s">
        <v>1210</v>
      </c>
      <c r="C46" s="38" t="s">
        <v>1211</v>
      </c>
      <c r="D46" s="38" t="s">
        <v>1212</v>
      </c>
      <c r="E46" s="38" t="s">
        <v>1213</v>
      </c>
      <c r="F46" s="38" t="s">
        <v>1214</v>
      </c>
      <c r="G46" s="38" t="s">
        <v>1215</v>
      </c>
      <c r="H46" s="38" t="s">
        <v>1216</v>
      </c>
      <c r="I46" s="38" t="s">
        <v>1217</v>
      </c>
      <c r="J46" s="38" t="s">
        <v>1218</v>
      </c>
      <c r="K46" s="38" t="s">
        <v>1219</v>
      </c>
      <c r="L46" s="38" t="s">
        <v>1220</v>
      </c>
      <c r="M46" s="38" t="s">
        <v>1221</v>
      </c>
      <c r="N46" s="38" t="s">
        <v>1222</v>
      </c>
      <c r="Q46" s="38" t="s">
        <v>1209</v>
      </c>
      <c r="R46" s="1" t="str">
        <f>_xll.BDH(B156,$P$3,$P$2,$P$2)</f>
        <v>#N/A Invalid Security</v>
      </c>
      <c r="S46" s="1" t="str">
        <f>_xll.BDH(C156,$P$3,$P$2,$P$2)</f>
        <v>#N/A Invalid Security</v>
      </c>
      <c r="T46" s="1" t="str">
        <f>_xll.BDH(D156,$P$3,$P$2,$P$2)</f>
        <v>#N/A Invalid Security</v>
      </c>
      <c r="U46" s="1" t="str">
        <f>_xll.BDH(E156,$P$3,$P$2,$P$2)</f>
        <v>#N/A Invalid Security</v>
      </c>
      <c r="V46" s="16" t="str">
        <f>_xll.BDH(F156,$P$3,$P$2,$P$2)</f>
        <v>#N/A Invalid Security</v>
      </c>
      <c r="W46" s="27" t="str">
        <f>_xll.BDH(G156,$P$3,$P$2,$P$2)</f>
        <v>#N/A Invalid Security</v>
      </c>
      <c r="X46" s="27" t="str">
        <f>_xll.BDH(H156,$P$3,$P$2,$P$2)</f>
        <v>#N/A Invalid Security</v>
      </c>
      <c r="Y46" s="27" t="str">
        <f>_xll.BDH(I156,$P$3,$P$2,$P$2)</f>
        <v>#N/A Invalid Security</v>
      </c>
      <c r="Z46" s="27" t="str">
        <f>_xll.BDH(J156,$P$3,$P$2,$P$2)</f>
        <v>#N/A Invalid Security</v>
      </c>
      <c r="AA46" s="27" t="str">
        <f>_xll.BDH(K156,$P$3,$P$2,$P$2)</f>
        <v>#N/A Invalid Security</v>
      </c>
      <c r="AB46" s="57" t="str">
        <f>_xll.BDH(L156,$P$3,$P$2,$P$2)</f>
        <v>#N/A Invalid Security</v>
      </c>
      <c r="AC46" s="1" t="str">
        <f>_xll.BDH(M156,$P$3,$P$2,$P$2)</f>
        <v>#N/A Invalid Security</v>
      </c>
      <c r="AD46" s="1" t="str">
        <f>_xll.BDH(N156,$P$3,$P$2,$P$2)</f>
        <v>#N/A Invalid Security</v>
      </c>
    </row>
    <row r="47" spans="1:30" ht="16.5" x14ac:dyDescent="0.3">
      <c r="A47" s="38" t="s">
        <v>1223</v>
      </c>
      <c r="B47" s="38" t="s">
        <v>1224</v>
      </c>
      <c r="C47" s="38" t="s">
        <v>1225</v>
      </c>
      <c r="D47" s="38" t="s">
        <v>1226</v>
      </c>
      <c r="E47" s="38" t="s">
        <v>1227</v>
      </c>
      <c r="F47" s="38" t="s">
        <v>1228</v>
      </c>
      <c r="G47" s="38" t="s">
        <v>1229</v>
      </c>
      <c r="H47" s="38" t="s">
        <v>1230</v>
      </c>
      <c r="I47" s="38" t="s">
        <v>1231</v>
      </c>
      <c r="J47" s="38" t="s">
        <v>1232</v>
      </c>
      <c r="K47" s="38" t="s">
        <v>1233</v>
      </c>
      <c r="L47" s="38" t="s">
        <v>1234</v>
      </c>
      <c r="M47" s="38" t="s">
        <v>1235</v>
      </c>
      <c r="N47" s="38" t="s">
        <v>1236</v>
      </c>
      <c r="Q47" s="38" t="s">
        <v>1223</v>
      </c>
      <c r="R47" s="1" t="str">
        <f>_xll.BDH(B157,$P$3,$P$2,$P$2)</f>
        <v>#N/A Invalid Security</v>
      </c>
      <c r="S47" s="1" t="str">
        <f>_xll.BDH(C157,$P$3,$P$2,$P$2)</f>
        <v>#N/A Invalid Security</v>
      </c>
      <c r="T47" s="1" t="str">
        <f>_xll.BDH(D157,$P$3,$P$2,$P$2)</f>
        <v>#N/A Invalid Security</v>
      </c>
      <c r="U47" s="1" t="str">
        <f>_xll.BDH(E157,$P$3,$P$2,$P$2)</f>
        <v>#N/A Invalid Security</v>
      </c>
      <c r="V47" s="16" t="str">
        <f>_xll.BDH(F157,$P$3,$P$2,$P$2)</f>
        <v>#N/A Invalid Security</v>
      </c>
      <c r="W47" s="27" t="str">
        <f>_xll.BDH(G157,$P$3,$P$2,$P$2)</f>
        <v>#N/A Invalid Security</v>
      </c>
      <c r="X47" s="27" t="str">
        <f>_xll.BDH(H157,$P$3,$P$2,$P$2)</f>
        <v>#N/A Invalid Security</v>
      </c>
      <c r="Y47" s="27" t="str">
        <f>_xll.BDH(I157,$P$3,$P$2,$P$2)</f>
        <v>#N/A Invalid Security</v>
      </c>
      <c r="Z47" s="27" t="str">
        <f>_xll.BDH(J157,$P$3,$P$2,$P$2)</f>
        <v>#N/A Invalid Security</v>
      </c>
      <c r="AA47" s="27" t="str">
        <f>_xll.BDH(K157,$P$3,$P$2,$P$2)</f>
        <v>#N/A Invalid Security</v>
      </c>
      <c r="AB47" s="57" t="str">
        <f>_xll.BDH(L157,$P$3,$P$2,$P$2)</f>
        <v>#N/A Invalid Security</v>
      </c>
      <c r="AC47" s="1" t="str">
        <f>_xll.BDH(M157,$P$3,$P$2,$P$2)</f>
        <v>#N/A Invalid Security</v>
      </c>
      <c r="AD47" s="1" t="str">
        <f>_xll.BDH(N157,$P$3,$P$2,$P$2)</f>
        <v>#N/A Invalid Security</v>
      </c>
    </row>
    <row r="48" spans="1:30" ht="16.5" x14ac:dyDescent="0.3">
      <c r="A48" s="38" t="s">
        <v>1237</v>
      </c>
      <c r="B48" s="38" t="s">
        <v>1238</v>
      </c>
      <c r="C48" s="38" t="s">
        <v>1239</v>
      </c>
      <c r="D48" s="38" t="s">
        <v>1240</v>
      </c>
      <c r="E48" s="38" t="s">
        <v>1241</v>
      </c>
      <c r="F48" s="38" t="s">
        <v>1242</v>
      </c>
      <c r="G48" s="38" t="s">
        <v>1243</v>
      </c>
      <c r="H48" s="38" t="s">
        <v>1244</v>
      </c>
      <c r="I48" s="38" t="s">
        <v>1245</v>
      </c>
      <c r="J48" s="38" t="s">
        <v>1246</v>
      </c>
      <c r="K48" s="38" t="s">
        <v>1247</v>
      </c>
      <c r="L48" s="38" t="s">
        <v>1248</v>
      </c>
      <c r="M48" s="38" t="s">
        <v>1249</v>
      </c>
      <c r="N48" s="38" t="s">
        <v>1250</v>
      </c>
      <c r="Q48" s="38" t="s">
        <v>1237</v>
      </c>
      <c r="R48" s="1" t="str">
        <f>_xll.BDH(B158,$P$3,$P$2,$P$2)</f>
        <v>#N/A Invalid Security</v>
      </c>
      <c r="S48" s="1" t="str">
        <f>_xll.BDH(C158,$P$3,$P$2,$P$2)</f>
        <v>#N/A Invalid Security</v>
      </c>
      <c r="T48" s="1" t="str">
        <f>_xll.BDH(D158,$P$3,$P$2,$P$2)</f>
        <v>#N/A Invalid Security</v>
      </c>
      <c r="U48" s="1" t="str">
        <f>_xll.BDH(E158,$P$3,$P$2,$P$2)</f>
        <v>#N/A Invalid Security</v>
      </c>
      <c r="V48" s="16" t="str">
        <f>_xll.BDH(F158,$P$3,$P$2,$P$2)</f>
        <v>#N/A Invalid Security</v>
      </c>
      <c r="W48" s="27" t="str">
        <f>_xll.BDH(G158,$P$3,$P$2,$P$2)</f>
        <v>#N/A Invalid Security</v>
      </c>
      <c r="X48" s="27" t="str">
        <f>_xll.BDH(H158,$P$3,$P$2,$P$2)</f>
        <v>#N/A Invalid Security</v>
      </c>
      <c r="Y48" s="27" t="str">
        <f>_xll.BDH(I158,$P$3,$P$2,$P$2)</f>
        <v>#N/A Invalid Security</v>
      </c>
      <c r="Z48" s="27" t="str">
        <f>_xll.BDH(J158,$P$3,$P$2,$P$2)</f>
        <v>#N/A Invalid Security</v>
      </c>
      <c r="AA48" s="27" t="str">
        <f>_xll.BDH(K158,$P$3,$P$2,$P$2)</f>
        <v>#N/A Invalid Security</v>
      </c>
      <c r="AB48" s="57" t="str">
        <f>_xll.BDH(L158,$P$3,$P$2,$P$2)</f>
        <v>#N/A Invalid Security</v>
      </c>
      <c r="AC48" s="1" t="str">
        <f>_xll.BDH(M158,$P$3,$P$2,$P$2)</f>
        <v>#N/A Invalid Security</v>
      </c>
      <c r="AD48" s="1" t="str">
        <f>_xll.BDH(N158,$P$3,$P$2,$P$2)</f>
        <v>#N/A Invalid Security</v>
      </c>
    </row>
    <row r="49" spans="1:30" ht="16.5" x14ac:dyDescent="0.3">
      <c r="A49" s="38" t="s">
        <v>1251</v>
      </c>
      <c r="B49" s="38" t="s">
        <v>1252</v>
      </c>
      <c r="C49" s="38" t="s">
        <v>1253</v>
      </c>
      <c r="D49" s="38" t="s">
        <v>1254</v>
      </c>
      <c r="E49" s="38" t="s">
        <v>1255</v>
      </c>
      <c r="F49" s="38" t="s">
        <v>1256</v>
      </c>
      <c r="G49" s="38" t="s">
        <v>1257</v>
      </c>
      <c r="H49" s="38" t="s">
        <v>1258</v>
      </c>
      <c r="I49" s="38" t="s">
        <v>1259</v>
      </c>
      <c r="J49" s="38" t="s">
        <v>1260</v>
      </c>
      <c r="K49" s="38" t="s">
        <v>1261</v>
      </c>
      <c r="L49" s="38" t="s">
        <v>1262</v>
      </c>
      <c r="M49" s="38" t="s">
        <v>1263</v>
      </c>
      <c r="N49" s="38" t="s">
        <v>1264</v>
      </c>
      <c r="Q49" s="38" t="s">
        <v>1251</v>
      </c>
      <c r="R49" s="1" t="str">
        <f>_xll.BDH(B159,$P$3,$P$2,$P$2)</f>
        <v>#N/A Invalid Security</v>
      </c>
      <c r="S49" s="1" t="str">
        <f>_xll.BDH(C159,$P$3,$P$2,$P$2)</f>
        <v>#N/A Invalid Security</v>
      </c>
      <c r="T49" s="1" t="str">
        <f>_xll.BDH(D159,$P$3,$P$2,$P$2)</f>
        <v>#N/A Invalid Security</v>
      </c>
      <c r="U49" s="1" t="str">
        <f>_xll.BDH(E159,$P$3,$P$2,$P$2)</f>
        <v>#N/A Invalid Security</v>
      </c>
      <c r="V49" s="16" t="str">
        <f>_xll.BDH(F159,$P$3,$P$2,$P$2)</f>
        <v>#N/A Invalid Security</v>
      </c>
      <c r="W49" s="27" t="str">
        <f>_xll.BDH(G159,$P$3,$P$2,$P$2)</f>
        <v>#N/A Invalid Security</v>
      </c>
      <c r="X49" s="27" t="str">
        <f>_xll.BDH(H159,$P$3,$P$2,$P$2)</f>
        <v>#N/A Invalid Security</v>
      </c>
      <c r="Y49" s="27" t="str">
        <f>_xll.BDH(I159,$P$3,$P$2,$P$2)</f>
        <v>#N/A Invalid Security</v>
      </c>
      <c r="Z49" s="27" t="str">
        <f>_xll.BDH(J159,$P$3,$P$2,$P$2)</f>
        <v>#N/A Invalid Security</v>
      </c>
      <c r="AA49" s="27" t="str">
        <f>_xll.BDH(K159,$P$3,$P$2,$P$2)</f>
        <v>#N/A Invalid Security</v>
      </c>
      <c r="AB49" s="57" t="str">
        <f>_xll.BDH(L159,$P$3,$P$2,$P$2)</f>
        <v>#N/A Invalid Security</v>
      </c>
      <c r="AC49" s="1" t="str">
        <f>_xll.BDH(M159,$P$3,$P$2,$P$2)</f>
        <v>#N/A Invalid Security</v>
      </c>
      <c r="AD49" s="1" t="str">
        <f>_xll.BDH(N159,$P$3,$P$2,$P$2)</f>
        <v>#N/A Invalid Security</v>
      </c>
    </row>
    <row r="50" spans="1:30" ht="16.5" x14ac:dyDescent="0.3">
      <c r="A50" s="38" t="s">
        <v>1265</v>
      </c>
      <c r="B50" s="38" t="s">
        <v>1266</v>
      </c>
      <c r="C50" s="38" t="s">
        <v>1267</v>
      </c>
      <c r="D50" s="38" t="s">
        <v>1268</v>
      </c>
      <c r="E50" s="38" t="s">
        <v>1269</v>
      </c>
      <c r="F50" s="38" t="s">
        <v>1270</v>
      </c>
      <c r="G50" s="38" t="s">
        <v>1271</v>
      </c>
      <c r="H50" s="38" t="s">
        <v>1272</v>
      </c>
      <c r="I50" s="38" t="s">
        <v>1273</v>
      </c>
      <c r="J50" s="38" t="s">
        <v>1274</v>
      </c>
      <c r="K50" s="38" t="s">
        <v>1275</v>
      </c>
      <c r="L50" s="38" t="s">
        <v>1276</v>
      </c>
      <c r="M50" s="38" t="s">
        <v>1277</v>
      </c>
      <c r="N50" s="38" t="s">
        <v>1278</v>
      </c>
      <c r="Q50" s="38" t="s">
        <v>1265</v>
      </c>
      <c r="R50" s="1" t="str">
        <f>_xll.BDH(B160,$P$3,$P$2,$P$2)</f>
        <v>#N/A Invalid Security</v>
      </c>
      <c r="S50" s="1" t="str">
        <f>_xll.BDH(C160,$P$3,$P$2,$P$2)</f>
        <v>#N/A Invalid Security</v>
      </c>
      <c r="T50" s="1" t="str">
        <f>_xll.BDH(D160,$P$3,$P$2,$P$2)</f>
        <v>#N/A Invalid Security</v>
      </c>
      <c r="U50" s="1" t="str">
        <f>_xll.BDH(E160,$P$3,$P$2,$P$2)</f>
        <v>#N/A Invalid Security</v>
      </c>
      <c r="V50" s="16" t="str">
        <f>_xll.BDH(F160,$P$3,$P$2,$P$2)</f>
        <v>#N/A Invalid Security</v>
      </c>
      <c r="W50" s="27" t="str">
        <f>_xll.BDH(G160,$P$3,$P$2,$P$2)</f>
        <v>#N/A Invalid Security</v>
      </c>
      <c r="X50" s="27" t="str">
        <f>_xll.BDH(H160,$P$3,$P$2,$P$2)</f>
        <v>#N/A Invalid Security</v>
      </c>
      <c r="Y50" s="27" t="str">
        <f>_xll.BDH(I160,$P$3,$P$2,$P$2)</f>
        <v>#N/A Invalid Security</v>
      </c>
      <c r="Z50" s="27" t="str">
        <f>_xll.BDH(J160,$P$3,$P$2,$P$2)</f>
        <v>#N/A Invalid Security</v>
      </c>
      <c r="AA50" s="27" t="str">
        <f>_xll.BDH(K160,$P$3,$P$2,$P$2)</f>
        <v>#N/A Invalid Security</v>
      </c>
      <c r="AB50" s="57" t="str">
        <f>_xll.BDH(L160,$P$3,$P$2,$P$2)</f>
        <v>#N/A Invalid Security</v>
      </c>
      <c r="AC50" s="1" t="str">
        <f>_xll.BDH(M160,$P$3,$P$2,$P$2)</f>
        <v>#N/A Invalid Security</v>
      </c>
      <c r="AD50" s="1" t="str">
        <f>_xll.BDH(N160,$P$3,$P$2,$P$2)</f>
        <v>#N/A Invalid Security</v>
      </c>
    </row>
    <row r="51" spans="1:30" ht="16.5" x14ac:dyDescent="0.3">
      <c r="A51" s="38" t="s">
        <v>1279</v>
      </c>
      <c r="B51" s="38" t="s">
        <v>1280</v>
      </c>
      <c r="C51" s="38" t="s">
        <v>1281</v>
      </c>
      <c r="D51" s="38" t="s">
        <v>1282</v>
      </c>
      <c r="E51" s="38" t="s">
        <v>1283</v>
      </c>
      <c r="F51" s="38" t="s">
        <v>1284</v>
      </c>
      <c r="G51" s="38" t="s">
        <v>1285</v>
      </c>
      <c r="H51" s="38" t="s">
        <v>1286</v>
      </c>
      <c r="I51" s="38" t="s">
        <v>1287</v>
      </c>
      <c r="J51" s="38" t="s">
        <v>1288</v>
      </c>
      <c r="K51" s="38" t="s">
        <v>1289</v>
      </c>
      <c r="L51" s="38" t="s">
        <v>1290</v>
      </c>
      <c r="M51" s="38" t="s">
        <v>1291</v>
      </c>
      <c r="N51" s="38" t="s">
        <v>1292</v>
      </c>
      <c r="Q51" s="38" t="s">
        <v>1279</v>
      </c>
      <c r="R51" s="1" t="str">
        <f>_xll.BDH(B161,$P$3,$P$2,$P$2)</f>
        <v>#N/A Invalid Security</v>
      </c>
      <c r="S51" s="1" t="str">
        <f>_xll.BDH(C161,$P$3,$P$2,$P$2)</f>
        <v>#N/A Invalid Security</v>
      </c>
      <c r="T51" s="1" t="str">
        <f>_xll.BDH(D161,$P$3,$P$2,$P$2)</f>
        <v>#N/A Invalid Security</v>
      </c>
      <c r="U51" s="1" t="str">
        <f>_xll.BDH(E161,$P$3,$P$2,$P$2)</f>
        <v>#N/A Invalid Security</v>
      </c>
      <c r="V51" s="16" t="str">
        <f>_xll.BDH(F161,$P$3,$P$2,$P$2)</f>
        <v>#N/A Invalid Security</v>
      </c>
      <c r="W51" s="27" t="str">
        <f>_xll.BDH(G161,$P$3,$P$2,$P$2)</f>
        <v>#N/A Invalid Security</v>
      </c>
      <c r="X51" s="27" t="str">
        <f>_xll.BDH(H161,$P$3,$P$2,$P$2)</f>
        <v>#N/A Invalid Security</v>
      </c>
      <c r="Y51" s="27" t="str">
        <f>_xll.BDH(I161,$P$3,$P$2,$P$2)</f>
        <v>#N/A Invalid Security</v>
      </c>
      <c r="Z51" s="27" t="str">
        <f>_xll.BDH(J161,$P$3,$P$2,$P$2)</f>
        <v>#N/A Invalid Security</v>
      </c>
      <c r="AA51" s="27" t="str">
        <f>_xll.BDH(K161,$P$3,$P$2,$P$2)</f>
        <v>#N/A Invalid Security</v>
      </c>
      <c r="AB51" s="57" t="str">
        <f>_xll.BDH(L161,$P$3,$P$2,$P$2)</f>
        <v>#N/A Invalid Security</v>
      </c>
      <c r="AC51" s="1" t="str">
        <f>_xll.BDH(M161,$P$3,$P$2,$P$2)</f>
        <v>#N/A Invalid Security</v>
      </c>
      <c r="AD51" s="1" t="str">
        <f>_xll.BDH(N161,$P$3,$P$2,$P$2)</f>
        <v>#N/A Invalid Security</v>
      </c>
    </row>
    <row r="52" spans="1:30" ht="16.5" x14ac:dyDescent="0.3">
      <c r="A52" s="38" t="s">
        <v>1293</v>
      </c>
      <c r="B52" s="38" t="s">
        <v>1294</v>
      </c>
      <c r="C52" s="38" t="s">
        <v>1295</v>
      </c>
      <c r="D52" s="38" t="s">
        <v>1296</v>
      </c>
      <c r="E52" s="38" t="s">
        <v>1297</v>
      </c>
      <c r="F52" s="38" t="s">
        <v>1298</v>
      </c>
      <c r="G52" s="38" t="s">
        <v>1299</v>
      </c>
      <c r="H52" s="38" t="s">
        <v>1300</v>
      </c>
      <c r="I52" s="38" t="s">
        <v>1301</v>
      </c>
      <c r="J52" s="38" t="s">
        <v>1302</v>
      </c>
      <c r="K52" s="38" t="s">
        <v>1303</v>
      </c>
      <c r="L52" s="38" t="s">
        <v>1304</v>
      </c>
      <c r="M52" s="38" t="s">
        <v>1305</v>
      </c>
      <c r="N52" s="38" t="s">
        <v>1306</v>
      </c>
      <c r="Q52" s="38" t="s">
        <v>1293</v>
      </c>
      <c r="R52" s="1" t="str">
        <f>_xll.BDH(B162,$P$3,$P$2,$P$2)</f>
        <v>#N/A Invalid Security</v>
      </c>
      <c r="S52" s="1" t="str">
        <f>_xll.BDH(C162,$P$3,$P$2,$P$2)</f>
        <v>#N/A Invalid Security</v>
      </c>
      <c r="T52" s="1" t="str">
        <f>_xll.BDH(D162,$P$3,$P$2,$P$2)</f>
        <v>#N/A Invalid Security</v>
      </c>
      <c r="U52" s="1" t="str">
        <f>_xll.BDH(E162,$P$3,$P$2,$P$2)</f>
        <v>#N/A Invalid Security</v>
      </c>
      <c r="V52" s="16" t="str">
        <f>_xll.BDH(F162,$P$3,$P$2,$P$2)</f>
        <v>#N/A Invalid Security</v>
      </c>
      <c r="W52" s="27" t="str">
        <f>_xll.BDH(G162,$P$3,$P$2,$P$2)</f>
        <v>#N/A Invalid Security</v>
      </c>
      <c r="X52" s="27" t="str">
        <f>_xll.BDH(H162,$P$3,$P$2,$P$2)</f>
        <v>#N/A Invalid Security</v>
      </c>
      <c r="Y52" s="27" t="str">
        <f>_xll.BDH(I162,$P$3,$P$2,$P$2)</f>
        <v>#N/A Invalid Security</v>
      </c>
      <c r="Z52" s="27" t="str">
        <f>_xll.BDH(J162,$P$3,$P$2,$P$2)</f>
        <v>#N/A Invalid Security</v>
      </c>
      <c r="AA52" s="27" t="str">
        <f>_xll.BDH(K162,$P$3,$P$2,$P$2)</f>
        <v>#N/A Invalid Security</v>
      </c>
      <c r="AB52" s="57" t="str">
        <f>_xll.BDH(L162,$P$3,$P$2,$P$2)</f>
        <v>#N/A Invalid Security</v>
      </c>
      <c r="AC52" s="1" t="str">
        <f>_xll.BDH(M162,$P$3,$P$2,$P$2)</f>
        <v>#N/A Invalid Security</v>
      </c>
      <c r="AD52" s="1" t="str">
        <f>_xll.BDH(N162,$P$3,$P$2,$P$2)</f>
        <v>#N/A Invalid Security</v>
      </c>
    </row>
    <row r="53" spans="1:30" ht="16.5" x14ac:dyDescent="0.3">
      <c r="A53" s="38" t="s">
        <v>1307</v>
      </c>
      <c r="B53" s="38" t="s">
        <v>1308</v>
      </c>
      <c r="C53" s="38" t="s">
        <v>1309</v>
      </c>
      <c r="D53" s="38" t="s">
        <v>1310</v>
      </c>
      <c r="E53" s="38" t="s">
        <v>1311</v>
      </c>
      <c r="F53" s="38" t="s">
        <v>1312</v>
      </c>
      <c r="G53" s="38" t="s">
        <v>1313</v>
      </c>
      <c r="H53" s="38" t="s">
        <v>1314</v>
      </c>
      <c r="I53" s="38" t="s">
        <v>1315</v>
      </c>
      <c r="J53" s="38" t="s">
        <v>1316</v>
      </c>
      <c r="K53" s="38" t="s">
        <v>1317</v>
      </c>
      <c r="L53" s="38" t="s">
        <v>1318</v>
      </c>
      <c r="M53" s="38" t="s">
        <v>1319</v>
      </c>
      <c r="N53" s="38" t="s">
        <v>1320</v>
      </c>
      <c r="Q53" s="38" t="s">
        <v>1307</v>
      </c>
      <c r="R53" s="1" t="str">
        <f>_xll.BDH(B163,$P$3,$P$2,$P$2)</f>
        <v>#N/A Invalid Security</v>
      </c>
      <c r="S53" s="1" t="str">
        <f>_xll.BDH(C163,$P$3,$P$2,$P$2)</f>
        <v>#N/A Invalid Security</v>
      </c>
      <c r="T53" s="1" t="str">
        <f>_xll.BDH(D163,$P$3,$P$2,$P$2)</f>
        <v>#N/A Invalid Security</v>
      </c>
      <c r="U53" s="1" t="str">
        <f>_xll.BDH(E163,$P$3,$P$2,$P$2)</f>
        <v>#N/A Invalid Security</v>
      </c>
      <c r="V53" s="16" t="str">
        <f>_xll.BDH(F163,$P$3,$P$2,$P$2)</f>
        <v>#N/A Invalid Security</v>
      </c>
      <c r="W53" s="27" t="str">
        <f>_xll.BDH(G163,$P$3,$P$2,$P$2)</f>
        <v>#N/A Invalid Security</v>
      </c>
      <c r="X53" s="27" t="str">
        <f>_xll.BDH(H163,$P$3,$P$2,$P$2)</f>
        <v>#N/A Invalid Security</v>
      </c>
      <c r="Y53" s="27" t="str">
        <f>_xll.BDH(I163,$P$3,$P$2,$P$2)</f>
        <v>#N/A Invalid Security</v>
      </c>
      <c r="Z53" s="27" t="str">
        <f>_xll.BDH(J163,$P$3,$P$2,$P$2)</f>
        <v>#N/A Invalid Security</v>
      </c>
      <c r="AA53" s="27" t="str">
        <f>_xll.BDH(K163,$P$3,$P$2,$P$2)</f>
        <v>#N/A Invalid Security</v>
      </c>
      <c r="AB53" s="57" t="str">
        <f>_xll.BDH(L163,$P$3,$P$2,$P$2)</f>
        <v>#N/A Invalid Security</v>
      </c>
      <c r="AC53" s="1" t="str">
        <f>_xll.BDH(M163,$P$3,$P$2,$P$2)</f>
        <v>#N/A Invalid Security</v>
      </c>
      <c r="AD53" s="1" t="str">
        <f>_xll.BDH(N163,$P$3,$P$2,$P$2)</f>
        <v>#N/A Invalid Security</v>
      </c>
    </row>
    <row r="54" spans="1:30" ht="16.5" x14ac:dyDescent="0.3">
      <c r="A54" s="38" t="s">
        <v>1321</v>
      </c>
      <c r="B54" s="38" t="s">
        <v>1322</v>
      </c>
      <c r="C54" s="38" t="s">
        <v>1323</v>
      </c>
      <c r="D54" s="38" t="s">
        <v>1324</v>
      </c>
      <c r="E54" s="38" t="s">
        <v>1325</v>
      </c>
      <c r="F54" s="38" t="s">
        <v>1326</v>
      </c>
      <c r="G54" s="38" t="s">
        <v>1327</v>
      </c>
      <c r="H54" s="38" t="s">
        <v>1328</v>
      </c>
      <c r="I54" s="38" t="s">
        <v>1329</v>
      </c>
      <c r="J54" s="38" t="s">
        <v>1330</v>
      </c>
      <c r="K54" s="38" t="s">
        <v>1331</v>
      </c>
      <c r="L54" s="38" t="s">
        <v>1332</v>
      </c>
      <c r="M54" s="38" t="s">
        <v>1333</v>
      </c>
      <c r="N54" s="38" t="s">
        <v>1334</v>
      </c>
      <c r="Q54" s="38" t="s">
        <v>1321</v>
      </c>
      <c r="R54" s="1" t="str">
        <f>_xll.BDH(B164,$P$3,$P$2,$P$2)</f>
        <v>#N/A Invalid Security</v>
      </c>
      <c r="S54" s="1" t="str">
        <f>_xll.BDH(C164,$P$3,$P$2,$P$2)</f>
        <v>#N/A Invalid Security</v>
      </c>
      <c r="T54" s="1" t="str">
        <f>_xll.BDH(D164,$P$3,$P$2,$P$2)</f>
        <v>#N/A Invalid Security</v>
      </c>
      <c r="U54" s="1" t="str">
        <f>_xll.BDH(E164,$P$3,$P$2,$P$2)</f>
        <v>#N/A Invalid Security</v>
      </c>
      <c r="V54" s="16" t="str">
        <f>_xll.BDH(F164,$P$3,$P$2,$P$2)</f>
        <v>#N/A Invalid Security</v>
      </c>
      <c r="W54" s="27" t="str">
        <f>_xll.BDH(G164,$P$3,$P$2,$P$2)</f>
        <v>#N/A Invalid Security</v>
      </c>
      <c r="X54" s="27" t="str">
        <f>_xll.BDH(H164,$P$3,$P$2,$P$2)</f>
        <v>#N/A Invalid Security</v>
      </c>
      <c r="Y54" s="27" t="str">
        <f>_xll.BDH(I164,$P$3,$P$2,$P$2)</f>
        <v>#N/A Invalid Security</v>
      </c>
      <c r="Z54" s="27" t="str">
        <f>_xll.BDH(J164,$P$3,$P$2,$P$2)</f>
        <v>#N/A Invalid Security</v>
      </c>
      <c r="AA54" s="27" t="str">
        <f>_xll.BDH(K164,$P$3,$P$2,$P$2)</f>
        <v>#N/A Invalid Security</v>
      </c>
      <c r="AB54" s="57" t="str">
        <f>_xll.BDH(L164,$P$3,$P$2,$P$2)</f>
        <v>#N/A Invalid Security</v>
      </c>
      <c r="AC54" s="1" t="str">
        <f>_xll.BDH(M164,$P$3,$P$2,$P$2)</f>
        <v>#N/A Invalid Security</v>
      </c>
      <c r="AD54" s="1" t="str">
        <f>_xll.BDH(N164,$P$3,$P$2,$P$2)</f>
        <v>#N/A Invalid Security</v>
      </c>
    </row>
    <row r="55" spans="1:30" ht="16.5" x14ac:dyDescent="0.3">
      <c r="A55" s="38" t="s">
        <v>1335</v>
      </c>
      <c r="B55" s="38" t="s">
        <v>1336</v>
      </c>
      <c r="C55" s="38" t="s">
        <v>1337</v>
      </c>
      <c r="D55" s="38" t="s">
        <v>1338</v>
      </c>
      <c r="E55" s="38" t="s">
        <v>1339</v>
      </c>
      <c r="F55" s="38" t="s">
        <v>1340</v>
      </c>
      <c r="G55" s="38" t="s">
        <v>1341</v>
      </c>
      <c r="H55" s="38" t="s">
        <v>1342</v>
      </c>
      <c r="I55" s="38" t="s">
        <v>1343</v>
      </c>
      <c r="J55" s="38" t="s">
        <v>1344</v>
      </c>
      <c r="K55" s="38" t="s">
        <v>1345</v>
      </c>
      <c r="L55" s="38" t="s">
        <v>1346</v>
      </c>
      <c r="M55" s="38" t="s">
        <v>1347</v>
      </c>
      <c r="N55" s="38" t="s">
        <v>1348</v>
      </c>
      <c r="Q55" s="38" t="s">
        <v>1335</v>
      </c>
      <c r="R55" s="1" t="str">
        <f>_xll.BDH(B165,$P$3,$P$2,$P$2)</f>
        <v>#N/A Invalid Security</v>
      </c>
      <c r="S55" s="1" t="str">
        <f>_xll.BDH(C165,$P$3,$P$2,$P$2)</f>
        <v>#N/A Invalid Security</v>
      </c>
      <c r="T55" s="1" t="str">
        <f>_xll.BDH(D165,$P$3,$P$2,$P$2)</f>
        <v>#N/A Invalid Security</v>
      </c>
      <c r="U55" s="1" t="str">
        <f>_xll.BDH(E165,$P$3,$P$2,$P$2)</f>
        <v>#N/A Invalid Security</v>
      </c>
      <c r="V55" s="16" t="str">
        <f>_xll.BDH(F165,$P$3,$P$2,$P$2)</f>
        <v>#N/A Invalid Security</v>
      </c>
      <c r="W55" s="27" t="str">
        <f>_xll.BDH(G165,$P$3,$P$2,$P$2)</f>
        <v>#N/A Invalid Security</v>
      </c>
      <c r="X55" s="27" t="str">
        <f>_xll.BDH(H165,$P$3,$P$2,$P$2)</f>
        <v>#N/A Invalid Security</v>
      </c>
      <c r="Y55" s="27" t="str">
        <f>_xll.BDH(I165,$P$3,$P$2,$P$2)</f>
        <v>#N/A Invalid Security</v>
      </c>
      <c r="Z55" s="27" t="str">
        <f>_xll.BDH(J165,$P$3,$P$2,$P$2)</f>
        <v>#N/A Invalid Security</v>
      </c>
      <c r="AA55" s="27" t="str">
        <f>_xll.BDH(K165,$P$3,$P$2,$P$2)</f>
        <v>#N/A Invalid Security</v>
      </c>
      <c r="AB55" s="57" t="str">
        <f>_xll.BDH(L165,$P$3,$P$2,$P$2)</f>
        <v>#N/A Invalid Security</v>
      </c>
      <c r="AC55" s="1" t="str">
        <f>_xll.BDH(M165,$P$3,$P$2,$P$2)</f>
        <v>#N/A Invalid Security</v>
      </c>
      <c r="AD55" s="1" t="str">
        <f>_xll.BDH(N165,$P$3,$P$2,$P$2)</f>
        <v>#N/A Invalid Security</v>
      </c>
    </row>
    <row r="56" spans="1:30" ht="16.5" x14ac:dyDescent="0.3">
      <c r="A56" s="38" t="s">
        <v>1349</v>
      </c>
      <c r="B56" s="38" t="s">
        <v>1350</v>
      </c>
      <c r="C56" s="38" t="s">
        <v>1351</v>
      </c>
      <c r="D56" s="38" t="s">
        <v>1352</v>
      </c>
      <c r="E56" s="38" t="s">
        <v>1353</v>
      </c>
      <c r="F56" s="38" t="s">
        <v>1354</v>
      </c>
      <c r="G56" s="38" t="s">
        <v>1355</v>
      </c>
      <c r="H56" s="38" t="s">
        <v>1356</v>
      </c>
      <c r="I56" s="38" t="s">
        <v>1357</v>
      </c>
      <c r="J56" s="38" t="s">
        <v>1358</v>
      </c>
      <c r="K56" s="38" t="s">
        <v>1359</v>
      </c>
      <c r="L56" s="38" t="s">
        <v>1360</v>
      </c>
      <c r="M56" s="38" t="s">
        <v>1361</v>
      </c>
      <c r="N56" s="38" t="s">
        <v>1362</v>
      </c>
      <c r="Q56" s="38" t="s">
        <v>1349</v>
      </c>
      <c r="R56" s="1" t="str">
        <f>_xll.BDH(B166,$P$3,$P$2,$P$2)</f>
        <v>#N/A Invalid Security</v>
      </c>
      <c r="S56" s="1" t="str">
        <f>_xll.BDH(C166,$P$3,$P$2,$P$2)</f>
        <v>#N/A Invalid Security</v>
      </c>
      <c r="T56" s="1" t="str">
        <f>_xll.BDH(D166,$P$3,$P$2,$P$2)</f>
        <v>#N/A Invalid Security</v>
      </c>
      <c r="U56" s="1" t="str">
        <f>_xll.BDH(E166,$P$3,$P$2,$P$2)</f>
        <v>#N/A Invalid Security</v>
      </c>
      <c r="V56" s="16" t="str">
        <f>_xll.BDH(F166,$P$3,$P$2,$P$2)</f>
        <v>#N/A Invalid Security</v>
      </c>
      <c r="W56" s="27" t="str">
        <f>_xll.BDH(G166,$P$3,$P$2,$P$2)</f>
        <v>#N/A Invalid Security</v>
      </c>
      <c r="X56" s="27" t="str">
        <f>_xll.BDH(H166,$P$3,$P$2,$P$2)</f>
        <v>#N/A Invalid Security</v>
      </c>
      <c r="Y56" s="27" t="str">
        <f>_xll.BDH(I166,$P$3,$P$2,$P$2)</f>
        <v>#N/A Invalid Security</v>
      </c>
      <c r="Z56" s="27" t="str">
        <f>_xll.BDH(J166,$P$3,$P$2,$P$2)</f>
        <v>#N/A Invalid Security</v>
      </c>
      <c r="AA56" s="27" t="str">
        <f>_xll.BDH(K166,$P$3,$P$2,$P$2)</f>
        <v>#N/A Invalid Security</v>
      </c>
      <c r="AB56" s="57" t="str">
        <f>_xll.BDH(L166,$P$3,$P$2,$P$2)</f>
        <v>#N/A Invalid Security</v>
      </c>
      <c r="AC56" s="1" t="str">
        <f>_xll.BDH(M166,$P$3,$P$2,$P$2)</f>
        <v>#N/A Invalid Security</v>
      </c>
      <c r="AD56" s="1" t="str">
        <f>_xll.BDH(N166,$P$3,$P$2,$P$2)</f>
        <v>#N/A Invalid Security</v>
      </c>
    </row>
    <row r="57" spans="1:30" ht="16.5" x14ac:dyDescent="0.3">
      <c r="A57" s="38" t="s">
        <v>1363</v>
      </c>
      <c r="B57" s="38" t="s">
        <v>1364</v>
      </c>
      <c r="C57" s="38" t="s">
        <v>1365</v>
      </c>
      <c r="D57" s="38" t="s">
        <v>1366</v>
      </c>
      <c r="E57" s="38" t="s">
        <v>1367</v>
      </c>
      <c r="F57" s="38" t="s">
        <v>1368</v>
      </c>
      <c r="G57" s="38" t="s">
        <v>1369</v>
      </c>
      <c r="H57" s="38" t="s">
        <v>1370</v>
      </c>
      <c r="I57" s="38" t="s">
        <v>1371</v>
      </c>
      <c r="J57" s="38" t="s">
        <v>1372</v>
      </c>
      <c r="K57" s="38" t="s">
        <v>1373</v>
      </c>
      <c r="L57" s="38" t="s">
        <v>1374</v>
      </c>
      <c r="M57" s="38" t="s">
        <v>1375</v>
      </c>
      <c r="N57" s="38" t="s">
        <v>1376</v>
      </c>
      <c r="Q57" s="38" t="s">
        <v>1363</v>
      </c>
      <c r="R57" s="1" t="str">
        <f>_xll.BDH(B167,$P$3,$P$2,$P$2)</f>
        <v>#N/A Invalid Security</v>
      </c>
      <c r="S57" s="1" t="str">
        <f>_xll.BDH(C167,$P$3,$P$2,$P$2)</f>
        <v>#N/A Invalid Security</v>
      </c>
      <c r="T57" s="1" t="str">
        <f>_xll.BDH(D167,$P$3,$P$2,$P$2)</f>
        <v>#N/A Invalid Security</v>
      </c>
      <c r="U57" s="1" t="str">
        <f>_xll.BDH(E167,$P$3,$P$2,$P$2)</f>
        <v>#N/A Invalid Security</v>
      </c>
      <c r="V57" s="16" t="str">
        <f>_xll.BDH(F167,$P$3,$P$2,$P$2)</f>
        <v>#N/A Invalid Security</v>
      </c>
      <c r="W57" s="27" t="str">
        <f>_xll.BDH(G167,$P$3,$P$2,$P$2)</f>
        <v>#N/A Invalid Security</v>
      </c>
      <c r="X57" s="27" t="str">
        <f>_xll.BDH(H167,$P$3,$P$2,$P$2)</f>
        <v>#N/A Invalid Security</v>
      </c>
      <c r="Y57" s="27" t="str">
        <f>_xll.BDH(I167,$P$3,$P$2,$P$2)</f>
        <v>#N/A Invalid Security</v>
      </c>
      <c r="Z57" s="27" t="str">
        <f>_xll.BDH(J167,$P$3,$P$2,$P$2)</f>
        <v>#N/A Invalid Security</v>
      </c>
      <c r="AA57" s="27" t="str">
        <f>_xll.BDH(K167,$P$3,$P$2,$P$2)</f>
        <v>#N/A Invalid Security</v>
      </c>
      <c r="AB57" s="57" t="str">
        <f>_xll.BDH(L167,$P$3,$P$2,$P$2)</f>
        <v>#N/A Invalid Security</v>
      </c>
      <c r="AC57" s="1" t="str">
        <f>_xll.BDH(M167,$P$3,$P$2,$P$2)</f>
        <v>#N/A Invalid Security</v>
      </c>
      <c r="AD57" s="1" t="str">
        <f>_xll.BDH(N167,$P$3,$P$2,$P$2)</f>
        <v>#N/A Invalid Security</v>
      </c>
    </row>
    <row r="58" spans="1:30" ht="16.5" x14ac:dyDescent="0.3">
      <c r="A58" s="38" t="s">
        <v>1377</v>
      </c>
      <c r="B58" s="38" t="s">
        <v>1378</v>
      </c>
      <c r="C58" s="38" t="s">
        <v>1379</v>
      </c>
      <c r="D58" s="38" t="s">
        <v>1380</v>
      </c>
      <c r="E58" s="38" t="s">
        <v>1381</v>
      </c>
      <c r="F58" s="38" t="s">
        <v>1382</v>
      </c>
      <c r="G58" s="38" t="s">
        <v>1383</v>
      </c>
      <c r="H58" s="38" t="s">
        <v>1384</v>
      </c>
      <c r="I58" s="38" t="s">
        <v>1385</v>
      </c>
      <c r="J58" s="38" t="s">
        <v>1386</v>
      </c>
      <c r="K58" s="38" t="s">
        <v>1387</v>
      </c>
      <c r="L58" s="38" t="s">
        <v>1388</v>
      </c>
      <c r="M58" s="38" t="s">
        <v>1389</v>
      </c>
      <c r="N58" s="38" t="s">
        <v>1390</v>
      </c>
      <c r="Q58" s="38" t="s">
        <v>1377</v>
      </c>
      <c r="R58" s="1" t="str">
        <f>_xll.BDH(B168,$P$3,$P$2,$P$2)</f>
        <v>#N/A Invalid Security</v>
      </c>
      <c r="S58" s="1" t="str">
        <f>_xll.BDH(C168,$P$3,$P$2,$P$2)</f>
        <v>#N/A Invalid Security</v>
      </c>
      <c r="T58" s="1" t="str">
        <f>_xll.BDH(D168,$P$3,$P$2,$P$2)</f>
        <v>#N/A Invalid Security</v>
      </c>
      <c r="U58" s="1" t="str">
        <f>_xll.BDH(E168,$P$3,$P$2,$P$2)</f>
        <v>#N/A Invalid Security</v>
      </c>
      <c r="V58" s="16" t="str">
        <f>_xll.BDH(F168,$P$3,$P$2,$P$2)</f>
        <v>#N/A Invalid Security</v>
      </c>
      <c r="W58" s="27" t="str">
        <f>_xll.BDH(G168,$P$3,$P$2,$P$2)</f>
        <v>#N/A Invalid Security</v>
      </c>
      <c r="X58" s="27" t="str">
        <f>_xll.BDH(H168,$P$3,$P$2,$P$2)</f>
        <v>#N/A Invalid Security</v>
      </c>
      <c r="Y58" s="27" t="str">
        <f>_xll.BDH(I168,$P$3,$P$2,$P$2)</f>
        <v>#N/A Invalid Security</v>
      </c>
      <c r="Z58" s="27" t="str">
        <f>_xll.BDH(J168,$P$3,$P$2,$P$2)</f>
        <v>#N/A Invalid Security</v>
      </c>
      <c r="AA58" s="27" t="str">
        <f>_xll.BDH(K168,$P$3,$P$2,$P$2)</f>
        <v>#N/A Invalid Security</v>
      </c>
      <c r="AB58" s="57" t="str">
        <f>_xll.BDH(L168,$P$3,$P$2,$P$2)</f>
        <v>#N/A Invalid Security</v>
      </c>
      <c r="AC58" s="1" t="str">
        <f>_xll.BDH(M168,$P$3,$P$2,$P$2)</f>
        <v>#N/A Invalid Security</v>
      </c>
      <c r="AD58" s="1" t="str">
        <f>_xll.BDH(N168,$P$3,$P$2,$P$2)</f>
        <v>#N/A Invalid Security</v>
      </c>
    </row>
    <row r="59" spans="1:30" ht="16.5" x14ac:dyDescent="0.3">
      <c r="A59" s="38" t="s">
        <v>1391</v>
      </c>
      <c r="B59" s="38" t="s">
        <v>1392</v>
      </c>
      <c r="C59" s="38" t="s">
        <v>1393</v>
      </c>
      <c r="D59" s="38" t="s">
        <v>1394</v>
      </c>
      <c r="E59" s="38" t="s">
        <v>1395</v>
      </c>
      <c r="F59" s="38" t="s">
        <v>1396</v>
      </c>
      <c r="G59" s="38" t="s">
        <v>1397</v>
      </c>
      <c r="H59" s="38" t="s">
        <v>1398</v>
      </c>
      <c r="I59" s="38" t="s">
        <v>1399</v>
      </c>
      <c r="J59" s="38" t="s">
        <v>1400</v>
      </c>
      <c r="K59" s="38" t="s">
        <v>1401</v>
      </c>
      <c r="L59" s="38" t="s">
        <v>1402</v>
      </c>
      <c r="M59" s="38" t="s">
        <v>1403</v>
      </c>
      <c r="N59" s="38" t="s">
        <v>1404</v>
      </c>
      <c r="Q59" s="38" t="s">
        <v>1391</v>
      </c>
      <c r="R59" s="1" t="str">
        <f>_xll.BDH(B169,$P$3,$P$2,$P$2)</f>
        <v>#N/A Invalid Security</v>
      </c>
      <c r="S59" s="1" t="str">
        <f>_xll.BDH(C169,$P$3,$P$2,$P$2)</f>
        <v>#N/A Invalid Security</v>
      </c>
      <c r="T59" s="1" t="str">
        <f>_xll.BDH(D169,$P$3,$P$2,$P$2)</f>
        <v>#N/A Invalid Security</v>
      </c>
      <c r="U59" s="1" t="str">
        <f>_xll.BDH(E169,$P$3,$P$2,$P$2)</f>
        <v>#N/A Invalid Security</v>
      </c>
      <c r="V59" s="16" t="str">
        <f>_xll.BDH(F169,$P$3,$P$2,$P$2)</f>
        <v>#N/A Invalid Security</v>
      </c>
      <c r="W59" s="27" t="str">
        <f>_xll.BDH(G169,$P$3,$P$2,$P$2)</f>
        <v>#N/A Invalid Security</v>
      </c>
      <c r="X59" s="27" t="str">
        <f>_xll.BDH(H169,$P$3,$P$2,$P$2)</f>
        <v>#N/A Invalid Security</v>
      </c>
      <c r="Y59" s="27" t="str">
        <f>_xll.BDH(I169,$P$3,$P$2,$P$2)</f>
        <v>#N/A Invalid Security</v>
      </c>
      <c r="Z59" s="27" t="str">
        <f>_xll.BDH(J169,$P$3,$P$2,$P$2)</f>
        <v>#N/A Invalid Security</v>
      </c>
      <c r="AA59" s="27" t="str">
        <f>_xll.BDH(K169,$P$3,$P$2,$P$2)</f>
        <v>#N/A Invalid Security</v>
      </c>
      <c r="AB59" s="57" t="str">
        <f>_xll.BDH(L169,$P$3,$P$2,$P$2)</f>
        <v>#N/A Invalid Security</v>
      </c>
      <c r="AC59" s="1" t="str">
        <f>_xll.BDH(M169,$P$3,$P$2,$P$2)</f>
        <v>#N/A Invalid Security</v>
      </c>
      <c r="AD59" s="1" t="str">
        <f>_xll.BDH(N169,$P$3,$P$2,$P$2)</f>
        <v>#N/A Invalid Security</v>
      </c>
    </row>
    <row r="60" spans="1:30" ht="16.5" x14ac:dyDescent="0.3">
      <c r="A60" s="38" t="s">
        <v>1405</v>
      </c>
      <c r="B60" s="38" t="s">
        <v>1406</v>
      </c>
      <c r="C60" s="38" t="s">
        <v>1407</v>
      </c>
      <c r="D60" s="38" t="s">
        <v>1408</v>
      </c>
      <c r="E60" s="38" t="s">
        <v>1409</v>
      </c>
      <c r="F60" s="38" t="s">
        <v>1410</v>
      </c>
      <c r="G60" s="38" t="s">
        <v>1411</v>
      </c>
      <c r="H60" s="38" t="s">
        <v>1412</v>
      </c>
      <c r="I60" s="38" t="s">
        <v>1413</v>
      </c>
      <c r="J60" s="38" t="s">
        <v>1414</v>
      </c>
      <c r="K60" s="38" t="s">
        <v>1415</v>
      </c>
      <c r="L60" s="38" t="s">
        <v>1416</v>
      </c>
      <c r="M60" s="38" t="s">
        <v>1417</v>
      </c>
      <c r="N60" s="38" t="s">
        <v>1418</v>
      </c>
      <c r="Q60" s="38" t="s">
        <v>1405</v>
      </c>
      <c r="R60" s="1" t="str">
        <f>_xll.BDH(B170,$P$3,$P$2,$P$2)</f>
        <v>#N/A Invalid Security</v>
      </c>
      <c r="S60" s="1" t="str">
        <f>_xll.BDH(C170,$P$3,$P$2,$P$2)</f>
        <v>#N/A Invalid Security</v>
      </c>
      <c r="T60" s="1" t="str">
        <f>_xll.BDH(D170,$P$3,$P$2,$P$2)</f>
        <v>#N/A Invalid Security</v>
      </c>
      <c r="U60" s="1" t="str">
        <f>_xll.BDH(E170,$P$3,$P$2,$P$2)</f>
        <v>#N/A Invalid Security</v>
      </c>
      <c r="V60" s="16" t="str">
        <f>_xll.BDH(F170,$P$3,$P$2,$P$2)</f>
        <v>#N/A Invalid Security</v>
      </c>
      <c r="W60" s="27" t="str">
        <f>_xll.BDH(G170,$P$3,$P$2,$P$2)</f>
        <v>#N/A Invalid Security</v>
      </c>
      <c r="X60" s="27" t="str">
        <f>_xll.BDH(H170,$P$3,$P$2,$P$2)</f>
        <v>#N/A Invalid Security</v>
      </c>
      <c r="Y60" s="27" t="str">
        <f>_xll.BDH(I170,$P$3,$P$2,$P$2)</f>
        <v>#N/A Invalid Security</v>
      </c>
      <c r="Z60" s="27" t="str">
        <f>_xll.BDH(J170,$P$3,$P$2,$P$2)</f>
        <v>#N/A Invalid Security</v>
      </c>
      <c r="AA60" s="27" t="str">
        <f>_xll.BDH(K170,$P$3,$P$2,$P$2)</f>
        <v>#N/A Invalid Security</v>
      </c>
      <c r="AB60" s="57" t="str">
        <f>_xll.BDH(L170,$P$3,$P$2,$P$2)</f>
        <v>#N/A Invalid Security</v>
      </c>
      <c r="AC60" s="1" t="str">
        <f>_xll.BDH(M170,$P$3,$P$2,$P$2)</f>
        <v>#N/A Invalid Security</v>
      </c>
      <c r="AD60" s="1" t="str">
        <f>_xll.BDH(N170,$P$3,$P$2,$P$2)</f>
        <v>#N/A Invalid Security</v>
      </c>
    </row>
    <row r="61" spans="1:30" ht="16.5" x14ac:dyDescent="0.3">
      <c r="A61" s="38" t="s">
        <v>1419</v>
      </c>
      <c r="B61" s="38" t="s">
        <v>1420</v>
      </c>
      <c r="C61" s="38" t="s">
        <v>1421</v>
      </c>
      <c r="D61" s="38" t="s">
        <v>1422</v>
      </c>
      <c r="E61" s="38" t="s">
        <v>1423</v>
      </c>
      <c r="F61" s="38" t="s">
        <v>1424</v>
      </c>
      <c r="G61" s="38" t="s">
        <v>1425</v>
      </c>
      <c r="H61" s="38" t="s">
        <v>1426</v>
      </c>
      <c r="I61" s="38" t="s">
        <v>1427</v>
      </c>
      <c r="J61" s="38" t="s">
        <v>1428</v>
      </c>
      <c r="K61" s="38" t="s">
        <v>1429</v>
      </c>
      <c r="L61" s="38" t="s">
        <v>1430</v>
      </c>
      <c r="M61" s="38" t="s">
        <v>1431</v>
      </c>
      <c r="N61" s="38" t="s">
        <v>1432</v>
      </c>
      <c r="Q61" s="38" t="s">
        <v>1419</v>
      </c>
      <c r="R61" s="1" t="str">
        <f>_xll.BDH(B171,$P$3,$P$2,$P$2)</f>
        <v>#N/A Invalid Security</v>
      </c>
      <c r="S61" s="1" t="str">
        <f>_xll.BDH(C171,$P$3,$P$2,$P$2)</f>
        <v>#N/A Invalid Security</v>
      </c>
      <c r="T61" s="1" t="str">
        <f>_xll.BDH(D171,$P$3,$P$2,$P$2)</f>
        <v>#N/A Invalid Security</v>
      </c>
      <c r="U61" s="1" t="str">
        <f>_xll.BDH(E171,$P$3,$P$2,$P$2)</f>
        <v>#N/A Invalid Security</v>
      </c>
      <c r="V61" s="16" t="str">
        <f>_xll.BDH(F171,$P$3,$P$2,$P$2)</f>
        <v>#N/A Invalid Security</v>
      </c>
      <c r="W61" s="27" t="str">
        <f>_xll.BDH(G171,$P$3,$P$2,$P$2)</f>
        <v>#N/A Invalid Security</v>
      </c>
      <c r="X61" s="27" t="str">
        <f>_xll.BDH(H171,$P$3,$P$2,$P$2)</f>
        <v>#N/A Invalid Security</v>
      </c>
      <c r="Y61" s="27" t="str">
        <f>_xll.BDH(I171,$P$3,$P$2,$P$2)</f>
        <v>#N/A Invalid Security</v>
      </c>
      <c r="Z61" s="27" t="str">
        <f>_xll.BDH(J171,$P$3,$P$2,$P$2)</f>
        <v>#N/A Invalid Security</v>
      </c>
      <c r="AA61" s="27" t="str">
        <f>_xll.BDH(K171,$P$3,$P$2,$P$2)</f>
        <v>#N/A Invalid Security</v>
      </c>
      <c r="AB61" s="57" t="str">
        <f>_xll.BDH(L171,$P$3,$P$2,$P$2)</f>
        <v>#N/A Invalid Security</v>
      </c>
      <c r="AC61" s="1" t="str">
        <f>_xll.BDH(M171,$P$3,$P$2,$P$2)</f>
        <v>#N/A Invalid Security</v>
      </c>
      <c r="AD61" s="1" t="str">
        <f>_xll.BDH(N171,$P$3,$P$2,$P$2)</f>
        <v>#N/A Invalid Security</v>
      </c>
    </row>
    <row r="62" spans="1:30" ht="16.5" x14ac:dyDescent="0.3">
      <c r="A62" s="38" t="s">
        <v>1433</v>
      </c>
      <c r="B62" s="38" t="s">
        <v>1434</v>
      </c>
      <c r="C62" s="38" t="s">
        <v>1435</v>
      </c>
      <c r="D62" s="38" t="s">
        <v>1436</v>
      </c>
      <c r="E62" s="38" t="s">
        <v>1437</v>
      </c>
      <c r="F62" s="38" t="s">
        <v>1438</v>
      </c>
      <c r="G62" s="38" t="s">
        <v>1439</v>
      </c>
      <c r="H62" s="38" t="s">
        <v>1440</v>
      </c>
      <c r="I62" s="38" t="s">
        <v>1441</v>
      </c>
      <c r="J62" s="38" t="s">
        <v>1442</v>
      </c>
      <c r="K62" s="38" t="s">
        <v>1443</v>
      </c>
      <c r="L62" s="38" t="s">
        <v>1444</v>
      </c>
      <c r="M62" s="38" t="s">
        <v>1445</v>
      </c>
      <c r="N62" s="38" t="s">
        <v>1446</v>
      </c>
      <c r="Q62" s="38" t="s">
        <v>1433</v>
      </c>
      <c r="R62" s="1" t="str">
        <f>_xll.BDH(B172,$P$3,$P$2,$P$2)</f>
        <v>#N/A Invalid Security</v>
      </c>
      <c r="S62" s="1" t="str">
        <f>_xll.BDH(C172,$P$3,$P$2,$P$2)</f>
        <v>#N/A Invalid Security</v>
      </c>
      <c r="T62" s="1" t="str">
        <f>_xll.BDH(D172,$P$3,$P$2,$P$2)</f>
        <v>#N/A Invalid Security</v>
      </c>
      <c r="U62" s="1" t="str">
        <f>_xll.BDH(E172,$P$3,$P$2,$P$2)</f>
        <v>#N/A Invalid Security</v>
      </c>
      <c r="V62" s="16" t="str">
        <f>_xll.BDH(F172,$P$3,$P$2,$P$2)</f>
        <v>#N/A Invalid Security</v>
      </c>
      <c r="W62" s="27" t="str">
        <f>_xll.BDH(G172,$P$3,$P$2,$P$2)</f>
        <v>#N/A Invalid Security</v>
      </c>
      <c r="X62" s="27" t="str">
        <f>_xll.BDH(H172,$P$3,$P$2,$P$2)</f>
        <v>#N/A Invalid Security</v>
      </c>
      <c r="Y62" s="27" t="str">
        <f>_xll.BDH(I172,$P$3,$P$2,$P$2)</f>
        <v>#N/A Invalid Security</v>
      </c>
      <c r="Z62" s="27" t="str">
        <f>_xll.BDH(J172,$P$3,$P$2,$P$2)</f>
        <v>#N/A Invalid Security</v>
      </c>
      <c r="AA62" s="27" t="str">
        <f>_xll.BDH(K172,$P$3,$P$2,$P$2)</f>
        <v>#N/A Invalid Security</v>
      </c>
      <c r="AB62" s="57" t="str">
        <f>_xll.BDH(L172,$P$3,$P$2,$P$2)</f>
        <v>#N/A Invalid Security</v>
      </c>
      <c r="AC62" s="1" t="str">
        <f>_xll.BDH(M172,$P$3,$P$2,$P$2)</f>
        <v>#N/A Invalid Security</v>
      </c>
      <c r="AD62" s="1" t="str">
        <f>_xll.BDH(N172,$P$3,$P$2,$P$2)</f>
        <v>#N/A Invalid Security</v>
      </c>
    </row>
    <row r="63" spans="1:30" ht="16.5" x14ac:dyDescent="0.3">
      <c r="A63" s="38" t="s">
        <v>1447</v>
      </c>
      <c r="B63" s="38" t="s">
        <v>1448</v>
      </c>
      <c r="C63" s="38" t="s">
        <v>1449</v>
      </c>
      <c r="D63" s="38" t="s">
        <v>1450</v>
      </c>
      <c r="E63" s="38" t="s">
        <v>1451</v>
      </c>
      <c r="F63" s="38" t="s">
        <v>1452</v>
      </c>
      <c r="G63" s="38" t="s">
        <v>1453</v>
      </c>
      <c r="H63" s="38" t="s">
        <v>1454</v>
      </c>
      <c r="I63" s="38" t="s">
        <v>1455</v>
      </c>
      <c r="J63" s="38" t="s">
        <v>1456</v>
      </c>
      <c r="K63" s="38" t="s">
        <v>1457</v>
      </c>
      <c r="L63" s="38" t="s">
        <v>1458</v>
      </c>
      <c r="M63" s="38" t="s">
        <v>1459</v>
      </c>
      <c r="N63" s="38" t="s">
        <v>1460</v>
      </c>
      <c r="Q63" s="38" t="s">
        <v>1447</v>
      </c>
      <c r="R63" s="1" t="str">
        <f>_xll.BDH(B173,$P$3,$P$2,$P$2)</f>
        <v>#N/A Invalid Security</v>
      </c>
      <c r="S63" s="1" t="str">
        <f>_xll.BDH(C173,$P$3,$P$2,$P$2)</f>
        <v>#N/A Invalid Security</v>
      </c>
      <c r="T63" s="1" t="str">
        <f>_xll.BDH(D173,$P$3,$P$2,$P$2)</f>
        <v>#N/A Invalid Security</v>
      </c>
      <c r="U63" s="1" t="str">
        <f>_xll.BDH(E173,$P$3,$P$2,$P$2)</f>
        <v>#N/A Invalid Security</v>
      </c>
      <c r="V63" s="16" t="str">
        <f>_xll.BDH(F173,$P$3,$P$2,$P$2)</f>
        <v>#N/A Invalid Security</v>
      </c>
      <c r="W63" s="27" t="str">
        <f>_xll.BDH(G173,$P$3,$P$2,$P$2)</f>
        <v>#N/A Invalid Security</v>
      </c>
      <c r="X63" s="27" t="str">
        <f>_xll.BDH(H173,$P$3,$P$2,$P$2)</f>
        <v>#N/A Invalid Security</v>
      </c>
      <c r="Y63" s="27" t="str">
        <f>_xll.BDH(I173,$P$3,$P$2,$P$2)</f>
        <v>#N/A Invalid Security</v>
      </c>
      <c r="Z63" s="27" t="str">
        <f>_xll.BDH(J173,$P$3,$P$2,$P$2)</f>
        <v>#N/A Invalid Security</v>
      </c>
      <c r="AA63" s="27" t="str">
        <f>_xll.BDH(K173,$P$3,$P$2,$P$2)</f>
        <v>#N/A Invalid Security</v>
      </c>
      <c r="AB63" s="57" t="str">
        <f>_xll.BDH(L173,$P$3,$P$2,$P$2)</f>
        <v>#N/A Invalid Security</v>
      </c>
      <c r="AC63" s="1" t="str">
        <f>_xll.BDH(M173,$P$3,$P$2,$P$2)</f>
        <v>#N/A Invalid Security</v>
      </c>
      <c r="AD63" s="1" t="str">
        <f>_xll.BDH(N173,$P$3,$P$2,$P$2)</f>
        <v>#N/A Invalid Security</v>
      </c>
    </row>
    <row r="64" spans="1:30" ht="16.5" x14ac:dyDescent="0.3">
      <c r="A64" s="38" t="s">
        <v>1461</v>
      </c>
      <c r="B64" s="38" t="s">
        <v>1462</v>
      </c>
      <c r="C64" s="38" t="s">
        <v>1463</v>
      </c>
      <c r="D64" s="38" t="s">
        <v>1464</v>
      </c>
      <c r="E64" s="38" t="s">
        <v>1465</v>
      </c>
      <c r="F64" s="38" t="s">
        <v>1466</v>
      </c>
      <c r="G64" s="38" t="s">
        <v>1467</v>
      </c>
      <c r="H64" s="38" t="s">
        <v>1468</v>
      </c>
      <c r="I64" s="38" t="s">
        <v>1469</v>
      </c>
      <c r="J64" s="38" t="s">
        <v>1470</v>
      </c>
      <c r="K64" s="38" t="s">
        <v>1471</v>
      </c>
      <c r="L64" s="38" t="s">
        <v>1472</v>
      </c>
      <c r="M64" s="38" t="s">
        <v>1473</v>
      </c>
      <c r="N64" s="38" t="s">
        <v>1474</v>
      </c>
      <c r="Q64" s="38" t="s">
        <v>1461</v>
      </c>
      <c r="R64" s="1" t="str">
        <f>_xll.BDH(B174,$P$3,$P$2,$P$2)</f>
        <v>#N/A Invalid Security</v>
      </c>
      <c r="S64" s="1" t="str">
        <f>_xll.BDH(C174,$P$3,$P$2,$P$2)</f>
        <v>#N/A Invalid Security</v>
      </c>
      <c r="T64" s="1" t="str">
        <f>_xll.BDH(D174,$P$3,$P$2,$P$2)</f>
        <v>#N/A Invalid Security</v>
      </c>
      <c r="U64" s="1" t="str">
        <f>_xll.BDH(E174,$P$3,$P$2,$P$2)</f>
        <v>#N/A Invalid Security</v>
      </c>
      <c r="V64" s="16" t="str">
        <f>_xll.BDH(F174,$P$3,$P$2,$P$2)</f>
        <v>#N/A Invalid Security</v>
      </c>
      <c r="W64" s="27" t="str">
        <f>_xll.BDH(G174,$P$3,$P$2,$P$2)</f>
        <v>#N/A Invalid Security</v>
      </c>
      <c r="X64" s="27" t="str">
        <f>_xll.BDH(H174,$P$3,$P$2,$P$2)</f>
        <v>#N/A Invalid Security</v>
      </c>
      <c r="Y64" s="27" t="str">
        <f>_xll.BDH(I174,$P$3,$P$2,$P$2)</f>
        <v>#N/A Invalid Security</v>
      </c>
      <c r="Z64" s="27" t="str">
        <f>_xll.BDH(J174,$P$3,$P$2,$P$2)</f>
        <v>#N/A Invalid Security</v>
      </c>
      <c r="AA64" s="27" t="str">
        <f>_xll.BDH(K174,$P$3,$P$2,$P$2)</f>
        <v>#N/A Invalid Security</v>
      </c>
      <c r="AB64" s="57" t="str">
        <f>_xll.BDH(L174,$P$3,$P$2,$P$2)</f>
        <v>#N/A Invalid Security</v>
      </c>
      <c r="AC64" s="1" t="str">
        <f>_xll.BDH(M174,$P$3,$P$2,$P$2)</f>
        <v>#N/A Invalid Security</v>
      </c>
      <c r="AD64" s="1" t="str">
        <f>_xll.BDH(N174,$P$3,$P$2,$P$2)</f>
        <v>#N/A Invalid Security</v>
      </c>
    </row>
    <row r="65" spans="1:30" ht="16.5" x14ac:dyDescent="0.3">
      <c r="A65" s="38" t="s">
        <v>1475</v>
      </c>
      <c r="B65" s="38" t="s">
        <v>1476</v>
      </c>
      <c r="C65" s="38" t="s">
        <v>1477</v>
      </c>
      <c r="D65" s="38" t="s">
        <v>1478</v>
      </c>
      <c r="E65" s="38" t="s">
        <v>1479</v>
      </c>
      <c r="F65" s="38" t="s">
        <v>1480</v>
      </c>
      <c r="G65" s="38" t="s">
        <v>1481</v>
      </c>
      <c r="H65" s="38" t="s">
        <v>1482</v>
      </c>
      <c r="I65" s="38" t="s">
        <v>1483</v>
      </c>
      <c r="J65" s="38" t="s">
        <v>1484</v>
      </c>
      <c r="K65" s="38" t="s">
        <v>1485</v>
      </c>
      <c r="L65" s="38" t="s">
        <v>1486</v>
      </c>
      <c r="M65" s="38" t="s">
        <v>1487</v>
      </c>
      <c r="N65" s="38" t="s">
        <v>1488</v>
      </c>
      <c r="Q65" s="38" t="s">
        <v>1475</v>
      </c>
      <c r="R65" s="1" t="str">
        <f>_xll.BDH(B175,$P$3,$P$2,$P$2)</f>
        <v>#N/A Invalid Security</v>
      </c>
      <c r="S65" s="1" t="str">
        <f>_xll.BDH(C175,$P$3,$P$2,$P$2)</f>
        <v>#N/A Invalid Security</v>
      </c>
      <c r="T65" s="1" t="str">
        <f>_xll.BDH(D175,$P$3,$P$2,$P$2)</f>
        <v>#N/A Invalid Security</v>
      </c>
      <c r="U65" s="1" t="str">
        <f>_xll.BDH(E175,$P$3,$P$2,$P$2)</f>
        <v>#N/A Invalid Security</v>
      </c>
      <c r="V65" s="16" t="str">
        <f>_xll.BDH(F175,$P$3,$P$2,$P$2)</f>
        <v>#N/A Invalid Security</v>
      </c>
      <c r="W65" s="27" t="str">
        <f>_xll.BDH(G175,$P$3,$P$2,$P$2)</f>
        <v>#N/A Invalid Security</v>
      </c>
      <c r="X65" s="27" t="str">
        <f>_xll.BDH(H175,$P$3,$P$2,$P$2)</f>
        <v>#N/A Invalid Security</v>
      </c>
      <c r="Y65" s="27" t="str">
        <f>_xll.BDH(I175,$P$3,$P$2,$P$2)</f>
        <v>#N/A Invalid Security</v>
      </c>
      <c r="Z65" s="27" t="str">
        <f>_xll.BDH(J175,$P$3,$P$2,$P$2)</f>
        <v>#N/A Invalid Security</v>
      </c>
      <c r="AA65" s="27" t="str">
        <f>_xll.BDH(K175,$P$3,$P$2,$P$2)</f>
        <v>#N/A Invalid Security</v>
      </c>
      <c r="AB65" s="57" t="str">
        <f>_xll.BDH(L175,$P$3,$P$2,$P$2)</f>
        <v>#N/A Invalid Security</v>
      </c>
      <c r="AC65" s="1" t="str">
        <f>_xll.BDH(M175,$P$3,$P$2,$P$2)</f>
        <v>#N/A Invalid Security</v>
      </c>
      <c r="AD65" s="1" t="str">
        <f>_xll.BDH(N175,$P$3,$P$2,$P$2)</f>
        <v>#N/A Invalid Security</v>
      </c>
    </row>
    <row r="66" spans="1:30" ht="16.5" x14ac:dyDescent="0.3">
      <c r="A66" s="38" t="s">
        <v>1489</v>
      </c>
      <c r="B66" s="38" t="s">
        <v>1490</v>
      </c>
      <c r="C66" s="38" t="s">
        <v>1491</v>
      </c>
      <c r="D66" s="38" t="s">
        <v>1492</v>
      </c>
      <c r="E66" s="38" t="s">
        <v>1493</v>
      </c>
      <c r="F66" s="38" t="s">
        <v>1494</v>
      </c>
      <c r="G66" s="38" t="s">
        <v>1495</v>
      </c>
      <c r="H66" s="38" t="s">
        <v>1496</v>
      </c>
      <c r="I66" s="38" t="s">
        <v>1497</v>
      </c>
      <c r="J66" s="38" t="s">
        <v>1498</v>
      </c>
      <c r="K66" s="38" t="s">
        <v>1499</v>
      </c>
      <c r="L66" s="38" t="s">
        <v>1500</v>
      </c>
      <c r="M66" s="38" t="s">
        <v>1501</v>
      </c>
      <c r="N66" s="38" t="s">
        <v>1502</v>
      </c>
      <c r="Q66" s="38" t="s">
        <v>1489</v>
      </c>
      <c r="R66" s="1" t="str">
        <f>_xll.BDH(B176,$P$3,$P$2,$P$2)</f>
        <v>#N/A Invalid Security</v>
      </c>
      <c r="S66" s="1" t="str">
        <f>_xll.BDH(C176,$P$3,$P$2,$P$2)</f>
        <v>#N/A Invalid Security</v>
      </c>
      <c r="T66" s="1" t="str">
        <f>_xll.BDH(D176,$P$3,$P$2,$P$2)</f>
        <v>#N/A Invalid Security</v>
      </c>
      <c r="U66" s="1" t="str">
        <f>_xll.BDH(E176,$P$3,$P$2,$P$2)</f>
        <v>#N/A Invalid Security</v>
      </c>
      <c r="V66" s="16" t="str">
        <f>_xll.BDH(F176,$P$3,$P$2,$P$2)</f>
        <v>#N/A Invalid Security</v>
      </c>
      <c r="W66" s="27" t="str">
        <f>_xll.BDH(G176,$P$3,$P$2,$P$2)</f>
        <v>#N/A Invalid Security</v>
      </c>
      <c r="X66" s="27" t="str">
        <f>_xll.BDH(H176,$P$3,$P$2,$P$2)</f>
        <v>#N/A Invalid Security</v>
      </c>
      <c r="Y66" s="27" t="str">
        <f>_xll.BDH(I176,$P$3,$P$2,$P$2)</f>
        <v>#N/A Invalid Security</v>
      </c>
      <c r="Z66" s="27" t="str">
        <f>_xll.BDH(J176,$P$3,$P$2,$P$2)</f>
        <v>#N/A Invalid Security</v>
      </c>
      <c r="AA66" s="27" t="str">
        <f>_xll.BDH(K176,$P$3,$P$2,$P$2)</f>
        <v>#N/A Invalid Security</v>
      </c>
      <c r="AB66" s="57" t="str">
        <f>_xll.BDH(L176,$P$3,$P$2,$P$2)</f>
        <v>#N/A Invalid Security</v>
      </c>
      <c r="AC66" s="1" t="str">
        <f>_xll.BDH(M176,$P$3,$P$2,$P$2)</f>
        <v>#N/A Invalid Security</v>
      </c>
      <c r="AD66" s="1" t="str">
        <f>_xll.BDH(N176,$P$3,$P$2,$P$2)</f>
        <v>#N/A Invalid Security</v>
      </c>
    </row>
    <row r="67" spans="1:30" ht="16.5" x14ac:dyDescent="0.3">
      <c r="A67" s="38" t="s">
        <v>1503</v>
      </c>
      <c r="B67" s="38" t="s">
        <v>1504</v>
      </c>
      <c r="C67" s="38" t="s">
        <v>1505</v>
      </c>
      <c r="D67" s="38" t="s">
        <v>1506</v>
      </c>
      <c r="E67" s="38" t="s">
        <v>1507</v>
      </c>
      <c r="F67" s="38" t="s">
        <v>1508</v>
      </c>
      <c r="G67" s="38" t="s">
        <v>1509</v>
      </c>
      <c r="H67" s="38" t="s">
        <v>1510</v>
      </c>
      <c r="I67" s="38" t="s">
        <v>1511</v>
      </c>
      <c r="J67" s="38" t="s">
        <v>1512</v>
      </c>
      <c r="K67" s="38" t="s">
        <v>1513</v>
      </c>
      <c r="L67" s="38" t="s">
        <v>1514</v>
      </c>
      <c r="M67" s="38" t="s">
        <v>1515</v>
      </c>
      <c r="N67" s="38" t="s">
        <v>1516</v>
      </c>
      <c r="Q67" s="38" t="s">
        <v>1503</v>
      </c>
      <c r="R67" s="1" t="str">
        <f>_xll.BDH(B177,$P$3,$P$2,$P$2)</f>
        <v>#N/A Invalid Security</v>
      </c>
      <c r="S67" s="1" t="str">
        <f>_xll.BDH(C177,$P$3,$P$2,$P$2)</f>
        <v>#N/A Invalid Security</v>
      </c>
      <c r="T67" s="1" t="str">
        <f>_xll.BDH(D177,$P$3,$P$2,$P$2)</f>
        <v>#N/A Invalid Security</v>
      </c>
      <c r="U67" s="1" t="str">
        <f>_xll.BDH(E177,$P$3,$P$2,$P$2)</f>
        <v>#N/A Invalid Security</v>
      </c>
      <c r="V67" s="16" t="str">
        <f>_xll.BDH(F177,$P$3,$P$2,$P$2)</f>
        <v>#N/A Invalid Security</v>
      </c>
      <c r="W67" s="27" t="str">
        <f>_xll.BDH(G177,$P$3,$P$2,$P$2)</f>
        <v>#N/A Invalid Security</v>
      </c>
      <c r="X67" s="27" t="str">
        <f>_xll.BDH(H177,$P$3,$P$2,$P$2)</f>
        <v>#N/A Invalid Security</v>
      </c>
      <c r="Y67" s="27" t="str">
        <f>_xll.BDH(I177,$P$3,$P$2,$P$2)</f>
        <v>#N/A Invalid Security</v>
      </c>
      <c r="Z67" s="27" t="str">
        <f>_xll.BDH(J177,$P$3,$P$2,$P$2)</f>
        <v>#N/A Invalid Security</v>
      </c>
      <c r="AA67" s="27" t="str">
        <f>_xll.BDH(K177,$P$3,$P$2,$P$2)</f>
        <v>#N/A Invalid Security</v>
      </c>
      <c r="AB67" s="57" t="str">
        <f>_xll.BDH(L177,$P$3,$P$2,$P$2)</f>
        <v>#N/A Invalid Security</v>
      </c>
      <c r="AC67" s="1" t="str">
        <f>_xll.BDH(M177,$P$3,$P$2,$P$2)</f>
        <v>#N/A Invalid Security</v>
      </c>
      <c r="AD67" s="1" t="str">
        <f>_xll.BDH(N177,$P$3,$P$2,$P$2)</f>
        <v>#N/A Invalid Security</v>
      </c>
    </row>
    <row r="68" spans="1:30" ht="16.5" x14ac:dyDescent="0.3">
      <c r="A68" s="38" t="s">
        <v>1517</v>
      </c>
      <c r="B68" s="38" t="s">
        <v>1518</v>
      </c>
      <c r="C68" s="38" t="s">
        <v>1519</v>
      </c>
      <c r="D68" s="38" t="s">
        <v>1520</v>
      </c>
      <c r="E68" s="38" t="s">
        <v>1521</v>
      </c>
      <c r="F68" s="38" t="s">
        <v>1522</v>
      </c>
      <c r="G68" s="38" t="s">
        <v>1523</v>
      </c>
      <c r="H68" s="38" t="s">
        <v>1524</v>
      </c>
      <c r="I68" s="38" t="s">
        <v>1525</v>
      </c>
      <c r="J68" s="38" t="s">
        <v>1526</v>
      </c>
      <c r="K68" s="38" t="s">
        <v>1527</v>
      </c>
      <c r="L68" s="38" t="s">
        <v>1528</v>
      </c>
      <c r="M68" s="38" t="s">
        <v>1529</v>
      </c>
      <c r="N68" s="38" t="s">
        <v>1530</v>
      </c>
      <c r="Q68" s="38" t="s">
        <v>1517</v>
      </c>
      <c r="R68" s="1" t="str">
        <f>_xll.BDH(B178,$P$3,$P$2,$P$2)</f>
        <v>#N/A Invalid Security</v>
      </c>
      <c r="S68" s="1" t="str">
        <f>_xll.BDH(C178,$P$3,$P$2,$P$2)</f>
        <v>#N/A Invalid Security</v>
      </c>
      <c r="T68" s="1" t="str">
        <f>_xll.BDH(D178,$P$3,$P$2,$P$2)</f>
        <v>#N/A Invalid Security</v>
      </c>
      <c r="U68" s="1" t="str">
        <f>_xll.BDH(E178,$P$3,$P$2,$P$2)</f>
        <v>#N/A Invalid Security</v>
      </c>
      <c r="V68" s="16" t="str">
        <f>_xll.BDH(F178,$P$3,$P$2,$P$2)</f>
        <v>#N/A Invalid Security</v>
      </c>
      <c r="W68" s="27" t="str">
        <f>_xll.BDH(G178,$P$3,$P$2,$P$2)</f>
        <v>#N/A Invalid Security</v>
      </c>
      <c r="X68" s="27" t="str">
        <f>_xll.BDH(H178,$P$3,$P$2,$P$2)</f>
        <v>#N/A Invalid Security</v>
      </c>
      <c r="Y68" s="27" t="str">
        <f>_xll.BDH(I178,$P$3,$P$2,$P$2)</f>
        <v>#N/A Invalid Security</v>
      </c>
      <c r="Z68" s="27" t="str">
        <f>_xll.BDH(J178,$P$3,$P$2,$P$2)</f>
        <v>#N/A Invalid Security</v>
      </c>
      <c r="AA68" s="27" t="str">
        <f>_xll.BDH(K178,$P$3,$P$2,$P$2)</f>
        <v>#N/A Invalid Security</v>
      </c>
      <c r="AB68" s="57" t="str">
        <f>_xll.BDH(L178,$P$3,$P$2,$P$2)</f>
        <v>#N/A Invalid Security</v>
      </c>
      <c r="AC68" s="1" t="str">
        <f>_xll.BDH(M178,$P$3,$P$2,$P$2)</f>
        <v>#N/A Invalid Security</v>
      </c>
      <c r="AD68" s="1" t="str">
        <f>_xll.BDH(N178,$P$3,$P$2,$P$2)</f>
        <v>#N/A Invalid Security</v>
      </c>
    </row>
    <row r="69" spans="1:30" ht="16.5" x14ac:dyDescent="0.3">
      <c r="A69" s="38" t="s">
        <v>1531</v>
      </c>
      <c r="B69" s="38" t="s">
        <v>1532</v>
      </c>
      <c r="C69" s="38" t="s">
        <v>1533</v>
      </c>
      <c r="D69" s="38" t="s">
        <v>1534</v>
      </c>
      <c r="E69" s="38" t="s">
        <v>1535</v>
      </c>
      <c r="F69" s="38" t="s">
        <v>1536</v>
      </c>
      <c r="G69" s="38" t="s">
        <v>1537</v>
      </c>
      <c r="H69" s="38" t="s">
        <v>1538</v>
      </c>
      <c r="I69" s="38" t="s">
        <v>1539</v>
      </c>
      <c r="J69" s="38" t="s">
        <v>1540</v>
      </c>
      <c r="K69" s="38" t="s">
        <v>1541</v>
      </c>
      <c r="L69" s="38" t="s">
        <v>1542</v>
      </c>
      <c r="M69" s="38" t="s">
        <v>1543</v>
      </c>
      <c r="N69" s="38" t="s">
        <v>1544</v>
      </c>
      <c r="Q69" s="38" t="s">
        <v>1531</v>
      </c>
      <c r="R69" s="1" t="str">
        <f>_xll.BDH(B179,$P$3,$P$2,$P$2)</f>
        <v>#N/A Invalid Security</v>
      </c>
      <c r="S69" s="1" t="str">
        <f>_xll.BDH(C179,$P$3,$P$2,$P$2)</f>
        <v>#N/A Invalid Security</v>
      </c>
      <c r="T69" s="1" t="str">
        <f>_xll.BDH(D179,$P$3,$P$2,$P$2)</f>
        <v>#N/A Invalid Security</v>
      </c>
      <c r="U69" s="1" t="str">
        <f>_xll.BDH(E179,$P$3,$P$2,$P$2)</f>
        <v>#N/A Invalid Security</v>
      </c>
      <c r="V69" s="16" t="str">
        <f>_xll.BDH(F179,$P$3,$P$2,$P$2)</f>
        <v>#N/A Invalid Security</v>
      </c>
      <c r="W69" s="27" t="str">
        <f>_xll.BDH(G179,$P$3,$P$2,$P$2)</f>
        <v>#N/A Invalid Security</v>
      </c>
      <c r="X69" s="27" t="str">
        <f>_xll.BDH(H179,$P$3,$P$2,$P$2)</f>
        <v>#N/A Invalid Security</v>
      </c>
      <c r="Y69" s="27" t="str">
        <f>_xll.BDH(I179,$P$3,$P$2,$P$2)</f>
        <v>#N/A Invalid Security</v>
      </c>
      <c r="Z69" s="27" t="str">
        <f>_xll.BDH(J179,$P$3,$P$2,$P$2)</f>
        <v>#N/A Invalid Security</v>
      </c>
      <c r="AA69" s="27" t="str">
        <f>_xll.BDH(K179,$P$3,$P$2,$P$2)</f>
        <v>#N/A Invalid Security</v>
      </c>
      <c r="AB69" s="57" t="str">
        <f>_xll.BDH(L179,$P$3,$P$2,$P$2)</f>
        <v>#N/A Invalid Security</v>
      </c>
      <c r="AC69" s="1" t="str">
        <f>_xll.BDH(M179,$P$3,$P$2,$P$2)</f>
        <v>#N/A Invalid Security</v>
      </c>
      <c r="AD69" s="1" t="str">
        <f>_xll.BDH(N179,$P$3,$P$2,$P$2)</f>
        <v>#N/A Invalid Security</v>
      </c>
    </row>
    <row r="70" spans="1:30" ht="16.5" x14ac:dyDescent="0.3">
      <c r="A70" s="38" t="s">
        <v>1545</v>
      </c>
      <c r="B70" s="38" t="s">
        <v>1546</v>
      </c>
      <c r="C70" s="38" t="s">
        <v>1547</v>
      </c>
      <c r="D70" s="38" t="s">
        <v>1548</v>
      </c>
      <c r="E70" s="38" t="s">
        <v>1549</v>
      </c>
      <c r="F70" s="38" t="s">
        <v>1550</v>
      </c>
      <c r="G70" s="38" t="s">
        <v>1551</v>
      </c>
      <c r="H70" s="38" t="s">
        <v>1552</v>
      </c>
      <c r="I70" s="38" t="s">
        <v>1553</v>
      </c>
      <c r="J70" s="38" t="s">
        <v>1554</v>
      </c>
      <c r="K70" s="38" t="s">
        <v>1555</v>
      </c>
      <c r="L70" s="38" t="s">
        <v>1556</v>
      </c>
      <c r="M70" s="38" t="s">
        <v>1557</v>
      </c>
      <c r="N70" s="38" t="s">
        <v>1558</v>
      </c>
      <c r="Q70" s="38" t="s">
        <v>1545</v>
      </c>
      <c r="R70" s="1" t="str">
        <f>_xll.BDH(B180,$P$3,$P$2,$P$2)</f>
        <v>#N/A Invalid Security</v>
      </c>
      <c r="S70" s="1" t="str">
        <f>_xll.BDH(C180,$P$3,$P$2,$P$2)</f>
        <v>#N/A Invalid Security</v>
      </c>
      <c r="T70" s="1" t="str">
        <f>_xll.BDH(D180,$P$3,$P$2,$P$2)</f>
        <v>#N/A Invalid Security</v>
      </c>
      <c r="U70" s="1" t="str">
        <f>_xll.BDH(E180,$P$3,$P$2,$P$2)</f>
        <v>#N/A Invalid Security</v>
      </c>
      <c r="V70" s="16" t="str">
        <f>_xll.BDH(F180,$P$3,$P$2,$P$2)</f>
        <v>#N/A Invalid Security</v>
      </c>
      <c r="W70" s="27" t="str">
        <f>_xll.BDH(G180,$P$3,$P$2,$P$2)</f>
        <v>#N/A Invalid Security</v>
      </c>
      <c r="X70" s="27" t="str">
        <f>_xll.BDH(H180,$P$3,$P$2,$P$2)</f>
        <v>#N/A Invalid Security</v>
      </c>
      <c r="Y70" s="27" t="str">
        <f>_xll.BDH(I180,$P$3,$P$2,$P$2)</f>
        <v>#N/A Invalid Security</v>
      </c>
      <c r="Z70" s="27" t="str">
        <f>_xll.BDH(J180,$P$3,$P$2,$P$2)</f>
        <v>#N/A Invalid Security</v>
      </c>
      <c r="AA70" s="27" t="str">
        <f>_xll.BDH(K180,$P$3,$P$2,$P$2)</f>
        <v>#N/A Invalid Security</v>
      </c>
      <c r="AB70" s="57" t="str">
        <f>_xll.BDH(L180,$P$3,$P$2,$P$2)</f>
        <v>#N/A Invalid Security</v>
      </c>
      <c r="AC70" s="1" t="str">
        <f>_xll.BDH(M180,$P$3,$P$2,$P$2)</f>
        <v>#N/A Invalid Security</v>
      </c>
      <c r="AD70" s="1" t="str">
        <f>_xll.BDH(N180,$P$3,$P$2,$P$2)</f>
        <v>#N/A Invalid Security</v>
      </c>
    </row>
    <row r="71" spans="1:30" ht="16.5" x14ac:dyDescent="0.3">
      <c r="A71" s="38" t="s">
        <v>1559</v>
      </c>
      <c r="B71" s="38" t="s">
        <v>1560</v>
      </c>
      <c r="C71" s="38" t="s">
        <v>1561</v>
      </c>
      <c r="D71" s="38" t="s">
        <v>1562</v>
      </c>
      <c r="E71" s="38" t="s">
        <v>1563</v>
      </c>
      <c r="F71" s="38" t="s">
        <v>1564</v>
      </c>
      <c r="G71" s="38" t="s">
        <v>1565</v>
      </c>
      <c r="H71" s="38" t="s">
        <v>1566</v>
      </c>
      <c r="I71" s="38" t="s">
        <v>1567</v>
      </c>
      <c r="J71" s="38" t="s">
        <v>1568</v>
      </c>
      <c r="K71" s="38" t="s">
        <v>1569</v>
      </c>
      <c r="L71" s="38" t="s">
        <v>1570</v>
      </c>
      <c r="M71" s="38" t="s">
        <v>1571</v>
      </c>
      <c r="N71" s="38" t="s">
        <v>1572</v>
      </c>
      <c r="Q71" s="38" t="s">
        <v>1559</v>
      </c>
      <c r="R71" s="1" t="str">
        <f>_xll.BDH(B181,$P$3,$P$2,$P$2)</f>
        <v>#N/A Invalid Security</v>
      </c>
      <c r="S71" s="1" t="str">
        <f>_xll.BDH(C181,$P$3,$P$2,$P$2)</f>
        <v>#N/A Invalid Security</v>
      </c>
      <c r="T71" s="1" t="str">
        <f>_xll.BDH(D181,$P$3,$P$2,$P$2)</f>
        <v>#N/A Invalid Security</v>
      </c>
      <c r="U71" s="1" t="str">
        <f>_xll.BDH(E181,$P$3,$P$2,$P$2)</f>
        <v>#N/A Invalid Security</v>
      </c>
      <c r="V71" s="16" t="str">
        <f>_xll.BDH(F181,$P$3,$P$2,$P$2)</f>
        <v>#N/A Invalid Security</v>
      </c>
      <c r="W71" s="27" t="str">
        <f>_xll.BDH(G181,$P$3,$P$2,$P$2)</f>
        <v>#N/A Invalid Security</v>
      </c>
      <c r="X71" s="27" t="str">
        <f>_xll.BDH(H181,$P$3,$P$2,$P$2)</f>
        <v>#N/A Invalid Security</v>
      </c>
      <c r="Y71" s="27" t="str">
        <f>_xll.BDH(I181,$P$3,$P$2,$P$2)</f>
        <v>#N/A Invalid Security</v>
      </c>
      <c r="Z71" s="27" t="str">
        <f>_xll.BDH(J181,$P$3,$P$2,$P$2)</f>
        <v>#N/A Invalid Security</v>
      </c>
      <c r="AA71" s="27" t="str">
        <f>_xll.BDH(K181,$P$3,$P$2,$P$2)</f>
        <v>#N/A Invalid Security</v>
      </c>
      <c r="AB71" s="57" t="str">
        <f>_xll.BDH(L181,$P$3,$P$2,$P$2)</f>
        <v>#N/A Invalid Security</v>
      </c>
      <c r="AC71" s="1" t="str">
        <f>_xll.BDH(M181,$P$3,$P$2,$P$2)</f>
        <v>#N/A Invalid Security</v>
      </c>
      <c r="AD71" s="1" t="str">
        <f>_xll.BDH(N181,$P$3,$P$2,$P$2)</f>
        <v>#N/A Invalid Security</v>
      </c>
    </row>
    <row r="72" spans="1:30" ht="16.5" x14ac:dyDescent="0.3">
      <c r="A72" s="38" t="s">
        <v>1573</v>
      </c>
      <c r="B72" s="38" t="s">
        <v>1574</v>
      </c>
      <c r="C72" s="38" t="s">
        <v>1575</v>
      </c>
      <c r="D72" s="38" t="s">
        <v>1576</v>
      </c>
      <c r="E72" s="38" t="s">
        <v>1577</v>
      </c>
      <c r="F72" s="38" t="s">
        <v>1578</v>
      </c>
      <c r="G72" s="38" t="s">
        <v>1579</v>
      </c>
      <c r="H72" s="38" t="s">
        <v>1580</v>
      </c>
      <c r="I72" s="38" t="s">
        <v>1581</v>
      </c>
      <c r="J72" s="38" t="s">
        <v>1582</v>
      </c>
      <c r="K72" s="38" t="s">
        <v>1583</v>
      </c>
      <c r="L72" s="38" t="s">
        <v>1584</v>
      </c>
      <c r="M72" s="38" t="s">
        <v>1585</v>
      </c>
      <c r="N72" s="38" t="s">
        <v>1586</v>
      </c>
      <c r="Q72" s="38" t="s">
        <v>1573</v>
      </c>
      <c r="R72" s="1" t="str">
        <f>_xll.BDH(B182,$P$3,$P$2,$P$2)</f>
        <v>#N/A Invalid Security</v>
      </c>
      <c r="S72" s="1" t="str">
        <f>_xll.BDH(C182,$P$3,$P$2,$P$2)</f>
        <v>#N/A Invalid Security</v>
      </c>
      <c r="T72" s="1" t="str">
        <f>_xll.BDH(D182,$P$3,$P$2,$P$2)</f>
        <v>#N/A Invalid Security</v>
      </c>
      <c r="U72" s="1" t="str">
        <f>_xll.BDH(E182,$P$3,$P$2,$P$2)</f>
        <v>#N/A Invalid Security</v>
      </c>
      <c r="V72" s="16" t="str">
        <f>_xll.BDH(F182,$P$3,$P$2,$P$2)</f>
        <v>#N/A Invalid Security</v>
      </c>
      <c r="W72" s="27" t="str">
        <f>_xll.BDH(G182,$P$3,$P$2,$P$2)</f>
        <v>#N/A Invalid Security</v>
      </c>
      <c r="X72" s="27" t="str">
        <f>_xll.BDH(H182,$P$3,$P$2,$P$2)</f>
        <v>#N/A Invalid Security</v>
      </c>
      <c r="Y72" s="27" t="str">
        <f>_xll.BDH(I182,$P$3,$P$2,$P$2)</f>
        <v>#N/A Invalid Security</v>
      </c>
      <c r="Z72" s="27" t="str">
        <f>_xll.BDH(J182,$P$3,$P$2,$P$2)</f>
        <v>#N/A Invalid Security</v>
      </c>
      <c r="AA72" s="27" t="str">
        <f>_xll.BDH(K182,$P$3,$P$2,$P$2)</f>
        <v>#N/A Invalid Security</v>
      </c>
      <c r="AB72" s="57" t="str">
        <f>_xll.BDH(L182,$P$3,$P$2,$P$2)</f>
        <v>#N/A Invalid Security</v>
      </c>
      <c r="AC72" s="1" t="str">
        <f>_xll.BDH(M182,$P$3,$P$2,$P$2)</f>
        <v>#N/A Invalid Security</v>
      </c>
      <c r="AD72" s="1" t="str">
        <f>_xll.BDH(N182,$P$3,$P$2,$P$2)</f>
        <v>#N/A Invalid Security</v>
      </c>
    </row>
    <row r="73" spans="1:30" ht="16.5" x14ac:dyDescent="0.3">
      <c r="A73" s="38" t="s">
        <v>1587</v>
      </c>
      <c r="B73" s="38" t="s">
        <v>1588</v>
      </c>
      <c r="C73" s="38" t="s">
        <v>1589</v>
      </c>
      <c r="D73" s="38" t="s">
        <v>1590</v>
      </c>
      <c r="E73" s="38" t="s">
        <v>1591</v>
      </c>
      <c r="F73" s="38" t="s">
        <v>1592</v>
      </c>
      <c r="G73" s="38" t="s">
        <v>1593</v>
      </c>
      <c r="H73" s="38" t="s">
        <v>1594</v>
      </c>
      <c r="I73" s="38" t="s">
        <v>1595</v>
      </c>
      <c r="J73" s="38" t="s">
        <v>1596</v>
      </c>
      <c r="K73" s="38" t="s">
        <v>1597</v>
      </c>
      <c r="L73" s="38" t="s">
        <v>1598</v>
      </c>
      <c r="M73" s="38" t="s">
        <v>1599</v>
      </c>
      <c r="N73" s="38" t="s">
        <v>1600</v>
      </c>
      <c r="Q73" s="38" t="s">
        <v>1587</v>
      </c>
      <c r="R73" s="1" t="str">
        <f>_xll.BDH(B183,$P$3,$P$2,$P$2)</f>
        <v>#N/A Invalid Security</v>
      </c>
      <c r="S73" s="1" t="str">
        <f>_xll.BDH(C183,$P$3,$P$2,$P$2)</f>
        <v>#N/A Invalid Security</v>
      </c>
      <c r="T73" s="1" t="str">
        <f>_xll.BDH(D183,$P$3,$P$2,$P$2)</f>
        <v>#N/A Invalid Security</v>
      </c>
      <c r="U73" s="1" t="str">
        <f>_xll.BDH(E183,$P$3,$P$2,$P$2)</f>
        <v>#N/A Invalid Security</v>
      </c>
      <c r="V73" s="16" t="str">
        <f>_xll.BDH(F183,$P$3,$P$2,$P$2)</f>
        <v>#N/A Invalid Security</v>
      </c>
      <c r="W73" s="27" t="str">
        <f>_xll.BDH(G183,$P$3,$P$2,$P$2)</f>
        <v>#N/A Invalid Security</v>
      </c>
      <c r="X73" s="27" t="str">
        <f>_xll.BDH(H183,$P$3,$P$2,$P$2)</f>
        <v>#N/A Invalid Security</v>
      </c>
      <c r="Y73" s="27" t="str">
        <f>_xll.BDH(I183,$P$3,$P$2,$P$2)</f>
        <v>#N/A Invalid Security</v>
      </c>
      <c r="Z73" s="27" t="str">
        <f>_xll.BDH(J183,$P$3,$P$2,$P$2)</f>
        <v>#N/A Invalid Security</v>
      </c>
      <c r="AA73" s="27" t="str">
        <f>_xll.BDH(K183,$P$3,$P$2,$P$2)</f>
        <v>#N/A Invalid Security</v>
      </c>
      <c r="AB73" s="57" t="str">
        <f>_xll.BDH(L183,$P$3,$P$2,$P$2)</f>
        <v>#N/A Invalid Security</v>
      </c>
      <c r="AC73" s="1" t="str">
        <f>_xll.BDH(M183,$P$3,$P$2,$P$2)</f>
        <v>#N/A Invalid Security</v>
      </c>
      <c r="AD73" s="1" t="str">
        <f>_xll.BDH(N183,$P$3,$P$2,$P$2)</f>
        <v>#N/A Invalid Security</v>
      </c>
    </row>
    <row r="74" spans="1:30" ht="16.5" x14ac:dyDescent="0.3">
      <c r="A74" s="38" t="s">
        <v>1601</v>
      </c>
      <c r="B74" s="38" t="s">
        <v>1602</v>
      </c>
      <c r="C74" s="38" t="s">
        <v>1603</v>
      </c>
      <c r="D74" s="38" t="s">
        <v>1604</v>
      </c>
      <c r="E74" s="38" t="s">
        <v>1605</v>
      </c>
      <c r="F74" s="38" t="s">
        <v>1606</v>
      </c>
      <c r="G74" s="38" t="s">
        <v>1607</v>
      </c>
      <c r="H74" s="38" t="s">
        <v>1608</v>
      </c>
      <c r="I74" s="38" t="s">
        <v>1609</v>
      </c>
      <c r="J74" s="38" t="s">
        <v>1610</v>
      </c>
      <c r="K74" s="38" t="s">
        <v>1611</v>
      </c>
      <c r="L74" s="38" t="s">
        <v>1612</v>
      </c>
      <c r="M74" s="38" t="s">
        <v>1613</v>
      </c>
      <c r="N74" s="38" t="s">
        <v>1614</v>
      </c>
      <c r="Q74" s="38" t="s">
        <v>1601</v>
      </c>
      <c r="R74" s="1" t="str">
        <f>_xll.BDH(B184,$P$3,$P$2,$P$2)</f>
        <v>#N/A Invalid Security</v>
      </c>
      <c r="S74" s="1" t="str">
        <f>_xll.BDH(C184,$P$3,$P$2,$P$2)</f>
        <v>#N/A Invalid Security</v>
      </c>
      <c r="T74" s="1" t="str">
        <f>_xll.BDH(D184,$P$3,$P$2,$P$2)</f>
        <v>#N/A Invalid Security</v>
      </c>
      <c r="U74" s="1" t="str">
        <f>_xll.BDH(E184,$P$3,$P$2,$P$2)</f>
        <v>#N/A Invalid Security</v>
      </c>
      <c r="V74" s="16" t="str">
        <f>_xll.BDH(F184,$P$3,$P$2,$P$2)</f>
        <v>#N/A Invalid Security</v>
      </c>
      <c r="W74" s="27" t="str">
        <f>_xll.BDH(G184,$P$3,$P$2,$P$2)</f>
        <v>#N/A Invalid Security</v>
      </c>
      <c r="X74" s="27" t="str">
        <f>_xll.BDH(H184,$P$3,$P$2,$P$2)</f>
        <v>#N/A Invalid Security</v>
      </c>
      <c r="Y74" s="27" t="str">
        <f>_xll.BDH(I184,$P$3,$P$2,$P$2)</f>
        <v>#N/A Invalid Security</v>
      </c>
      <c r="Z74" s="27" t="str">
        <f>_xll.BDH(J184,$P$3,$P$2,$P$2)</f>
        <v>#N/A Invalid Security</v>
      </c>
      <c r="AA74" s="27" t="str">
        <f>_xll.BDH(K184,$P$3,$P$2,$P$2)</f>
        <v>#N/A Invalid Security</v>
      </c>
      <c r="AB74" s="57" t="str">
        <f>_xll.BDH(L184,$P$3,$P$2,$P$2)</f>
        <v>#N/A Invalid Security</v>
      </c>
      <c r="AC74" s="1" t="str">
        <f>_xll.BDH(M184,$P$3,$P$2,$P$2)</f>
        <v>#N/A Invalid Security</v>
      </c>
      <c r="AD74" s="1" t="str">
        <f>_xll.BDH(N184,$P$3,$P$2,$P$2)</f>
        <v>#N/A Invalid Security</v>
      </c>
    </row>
    <row r="75" spans="1:30" ht="16.5" x14ac:dyDescent="0.3">
      <c r="A75" s="38" t="s">
        <v>1615</v>
      </c>
      <c r="B75" s="38" t="s">
        <v>1616</v>
      </c>
      <c r="C75" s="38" t="s">
        <v>1617</v>
      </c>
      <c r="D75" s="38" t="s">
        <v>1618</v>
      </c>
      <c r="E75" s="38" t="s">
        <v>1619</v>
      </c>
      <c r="F75" s="38" t="s">
        <v>1620</v>
      </c>
      <c r="G75" s="38" t="s">
        <v>1621</v>
      </c>
      <c r="H75" s="38" t="s">
        <v>1622</v>
      </c>
      <c r="I75" s="38" t="s">
        <v>1623</v>
      </c>
      <c r="J75" s="38" t="s">
        <v>1624</v>
      </c>
      <c r="K75" s="38" t="s">
        <v>1625</v>
      </c>
      <c r="L75" s="38" t="s">
        <v>1626</v>
      </c>
      <c r="M75" s="38" t="s">
        <v>1627</v>
      </c>
      <c r="N75" s="38" t="s">
        <v>1628</v>
      </c>
      <c r="Q75" s="38" t="s">
        <v>1615</v>
      </c>
      <c r="R75" s="1" t="str">
        <f>_xll.BDH(B185,$P$3,$P$2,$P$2)</f>
        <v>#N/A Invalid Security</v>
      </c>
      <c r="S75" s="1" t="str">
        <f>_xll.BDH(C185,$P$3,$P$2,$P$2)</f>
        <v>#N/A Invalid Security</v>
      </c>
      <c r="T75" s="1" t="str">
        <f>_xll.BDH(D185,$P$3,$P$2,$P$2)</f>
        <v>#N/A Invalid Security</v>
      </c>
      <c r="U75" s="1" t="str">
        <f>_xll.BDH(E185,$P$3,$P$2,$P$2)</f>
        <v>#N/A Invalid Security</v>
      </c>
      <c r="V75" s="16" t="str">
        <f>_xll.BDH(F185,$P$3,$P$2,$P$2)</f>
        <v>#N/A Invalid Security</v>
      </c>
      <c r="W75" s="27" t="str">
        <f>_xll.BDH(G185,$P$3,$P$2,$P$2)</f>
        <v>#N/A Invalid Security</v>
      </c>
      <c r="X75" s="27" t="str">
        <f>_xll.BDH(H185,$P$3,$P$2,$P$2)</f>
        <v>#N/A Invalid Security</v>
      </c>
      <c r="Y75" s="27" t="str">
        <f>_xll.BDH(I185,$P$3,$P$2,$P$2)</f>
        <v>#N/A Invalid Security</v>
      </c>
      <c r="Z75" s="27" t="str">
        <f>_xll.BDH(J185,$P$3,$P$2,$P$2)</f>
        <v>#N/A Invalid Security</v>
      </c>
      <c r="AA75" s="27" t="str">
        <f>_xll.BDH(K185,$P$3,$P$2,$P$2)</f>
        <v>#N/A Invalid Security</v>
      </c>
      <c r="AB75" s="57" t="str">
        <f>_xll.BDH(L185,$P$3,$P$2,$P$2)</f>
        <v>#N/A Invalid Security</v>
      </c>
      <c r="AC75" s="1" t="str">
        <f>_xll.BDH(M185,$P$3,$P$2,$P$2)</f>
        <v>#N/A Invalid Security</v>
      </c>
      <c r="AD75" s="1" t="str">
        <f>_xll.BDH(N185,$P$3,$P$2,$P$2)</f>
        <v>#N/A Invalid Security</v>
      </c>
    </row>
    <row r="76" spans="1:30" ht="16.5" x14ac:dyDescent="0.3">
      <c r="A76" s="38" t="s">
        <v>1629</v>
      </c>
      <c r="B76" s="38" t="s">
        <v>1630</v>
      </c>
      <c r="C76" s="38" t="s">
        <v>1631</v>
      </c>
      <c r="D76" s="38" t="s">
        <v>1632</v>
      </c>
      <c r="E76" s="38" t="s">
        <v>1633</v>
      </c>
      <c r="F76" s="38" t="s">
        <v>1634</v>
      </c>
      <c r="G76" s="38" t="s">
        <v>1635</v>
      </c>
      <c r="H76" s="38" t="s">
        <v>1636</v>
      </c>
      <c r="I76" s="38" t="s">
        <v>1637</v>
      </c>
      <c r="J76" s="38" t="s">
        <v>1638</v>
      </c>
      <c r="K76" s="38" t="s">
        <v>1639</v>
      </c>
      <c r="L76" s="38" t="s">
        <v>1640</v>
      </c>
      <c r="M76" s="38" t="s">
        <v>1641</v>
      </c>
      <c r="N76" s="38" t="s">
        <v>1642</v>
      </c>
      <c r="Q76" s="38" t="s">
        <v>1629</v>
      </c>
      <c r="R76" s="1" t="str">
        <f>_xll.BDH(B186,$P$3,$P$2,$P$2)</f>
        <v>#N/A Invalid Security</v>
      </c>
      <c r="S76" s="1" t="str">
        <f>_xll.BDH(C186,$P$3,$P$2,$P$2)</f>
        <v>#N/A Invalid Security</v>
      </c>
      <c r="T76" s="1" t="str">
        <f>_xll.BDH(D186,$P$3,$P$2,$P$2)</f>
        <v>#N/A Invalid Security</v>
      </c>
      <c r="U76" s="1" t="str">
        <f>_xll.BDH(E186,$P$3,$P$2,$P$2)</f>
        <v>#N/A Invalid Security</v>
      </c>
      <c r="V76" s="16" t="str">
        <f>_xll.BDH(F186,$P$3,$P$2,$P$2)</f>
        <v>#N/A Invalid Security</v>
      </c>
      <c r="W76" s="27" t="str">
        <f>_xll.BDH(G186,$P$3,$P$2,$P$2)</f>
        <v>#N/A Invalid Security</v>
      </c>
      <c r="X76" s="27" t="str">
        <f>_xll.BDH(H186,$P$3,$P$2,$P$2)</f>
        <v>#N/A Invalid Security</v>
      </c>
      <c r="Y76" s="27" t="str">
        <f>_xll.BDH(I186,$P$3,$P$2,$P$2)</f>
        <v>#N/A Invalid Security</v>
      </c>
      <c r="Z76" s="27" t="str">
        <f>_xll.BDH(J186,$P$3,$P$2,$P$2)</f>
        <v>#N/A Invalid Security</v>
      </c>
      <c r="AA76" s="27" t="str">
        <f>_xll.BDH(K186,$P$3,$P$2,$P$2)</f>
        <v>#N/A Invalid Security</v>
      </c>
      <c r="AB76" s="57" t="str">
        <f>_xll.BDH(L186,$P$3,$P$2,$P$2)</f>
        <v>#N/A Invalid Security</v>
      </c>
      <c r="AC76" s="1" t="str">
        <f>_xll.BDH(M186,$P$3,$P$2,$P$2)</f>
        <v>#N/A Invalid Security</v>
      </c>
      <c r="AD76" s="1" t="str">
        <f>_xll.BDH(N186,$P$3,$P$2,$P$2)</f>
        <v>#N/A Invalid Security</v>
      </c>
    </row>
    <row r="77" spans="1:30" ht="16.5" x14ac:dyDescent="0.3">
      <c r="A77" s="38" t="s">
        <v>1643</v>
      </c>
      <c r="B77" s="38" t="s">
        <v>1644</v>
      </c>
      <c r="C77" s="38" t="s">
        <v>1645</v>
      </c>
      <c r="D77" s="38" t="s">
        <v>1646</v>
      </c>
      <c r="E77" s="38" t="s">
        <v>1647</v>
      </c>
      <c r="F77" s="38" t="s">
        <v>1648</v>
      </c>
      <c r="G77" s="38" t="s">
        <v>1649</v>
      </c>
      <c r="H77" s="38" t="s">
        <v>1650</v>
      </c>
      <c r="I77" s="38" t="s">
        <v>1651</v>
      </c>
      <c r="J77" s="38" t="s">
        <v>1652</v>
      </c>
      <c r="K77" s="38" t="s">
        <v>1653</v>
      </c>
      <c r="L77" s="38" t="s">
        <v>1654</v>
      </c>
      <c r="M77" s="38" t="s">
        <v>1655</v>
      </c>
      <c r="N77" s="38" t="s">
        <v>1656</v>
      </c>
      <c r="Q77" s="38" t="s">
        <v>1643</v>
      </c>
      <c r="R77" s="1" t="str">
        <f>_xll.BDH(B187,$P$3,$P$2,$P$2)</f>
        <v>#N/A Invalid Security</v>
      </c>
      <c r="S77" s="1" t="str">
        <f>_xll.BDH(C187,$P$3,$P$2,$P$2)</f>
        <v>#N/A Invalid Security</v>
      </c>
      <c r="T77" s="1" t="str">
        <f>_xll.BDH(D187,$P$3,$P$2,$P$2)</f>
        <v>#N/A Invalid Security</v>
      </c>
      <c r="U77" s="1" t="str">
        <f>_xll.BDH(E187,$P$3,$P$2,$P$2)</f>
        <v>#N/A Invalid Security</v>
      </c>
      <c r="V77" s="16" t="str">
        <f>_xll.BDH(F187,$P$3,$P$2,$P$2)</f>
        <v>#N/A Invalid Security</v>
      </c>
      <c r="W77" s="27" t="str">
        <f>_xll.BDH(G187,$P$3,$P$2,$P$2)</f>
        <v>#N/A Invalid Security</v>
      </c>
      <c r="X77" s="27" t="str">
        <f>_xll.BDH(H187,$P$3,$P$2,$P$2)</f>
        <v>#N/A Invalid Security</v>
      </c>
      <c r="Y77" s="27" t="str">
        <f>_xll.BDH(I187,$P$3,$P$2,$P$2)</f>
        <v>#N/A Invalid Security</v>
      </c>
      <c r="Z77" s="27" t="str">
        <f>_xll.BDH(J187,$P$3,$P$2,$P$2)</f>
        <v>#N/A Invalid Security</v>
      </c>
      <c r="AA77" s="27" t="str">
        <f>_xll.BDH(K187,$P$3,$P$2,$P$2)</f>
        <v>#N/A Invalid Security</v>
      </c>
      <c r="AB77" s="57" t="str">
        <f>_xll.BDH(L187,$P$3,$P$2,$P$2)</f>
        <v>#N/A Invalid Security</v>
      </c>
      <c r="AC77" s="1" t="str">
        <f>_xll.BDH(M187,$P$3,$P$2,$P$2)</f>
        <v>#N/A Invalid Security</v>
      </c>
      <c r="AD77" s="1" t="str">
        <f>_xll.BDH(N187,$P$3,$P$2,$P$2)</f>
        <v>#N/A Invalid Security</v>
      </c>
    </row>
    <row r="78" spans="1:30" ht="16.5" x14ac:dyDescent="0.3">
      <c r="A78" s="38" t="s">
        <v>1657</v>
      </c>
      <c r="B78" s="38" t="s">
        <v>1658</v>
      </c>
      <c r="C78" s="38" t="s">
        <v>1659</v>
      </c>
      <c r="D78" s="38" t="s">
        <v>1660</v>
      </c>
      <c r="E78" s="38" t="s">
        <v>1661</v>
      </c>
      <c r="F78" s="38" t="s">
        <v>1662</v>
      </c>
      <c r="G78" s="38" t="s">
        <v>1663</v>
      </c>
      <c r="H78" s="38" t="s">
        <v>1664</v>
      </c>
      <c r="I78" s="38" t="s">
        <v>1665</v>
      </c>
      <c r="J78" s="38" t="s">
        <v>1666</v>
      </c>
      <c r="K78" s="38" t="s">
        <v>1667</v>
      </c>
      <c r="L78" s="38" t="s">
        <v>1668</v>
      </c>
      <c r="M78" s="38" t="s">
        <v>1669</v>
      </c>
      <c r="N78" s="38" t="s">
        <v>1670</v>
      </c>
      <c r="Q78" s="38" t="s">
        <v>1657</v>
      </c>
      <c r="R78" s="1" t="str">
        <f>_xll.BDH(B188,$P$3,$P$2,$P$2)</f>
        <v>#N/A Invalid Security</v>
      </c>
      <c r="S78" s="1" t="str">
        <f>_xll.BDH(C188,$P$3,$P$2,$P$2)</f>
        <v>#N/A Invalid Security</v>
      </c>
      <c r="T78" s="1" t="str">
        <f>_xll.BDH(D188,$P$3,$P$2,$P$2)</f>
        <v>#N/A Invalid Security</v>
      </c>
      <c r="U78" s="1" t="str">
        <f>_xll.BDH(E188,$P$3,$P$2,$P$2)</f>
        <v>#N/A Invalid Security</v>
      </c>
      <c r="V78" s="16" t="str">
        <f>_xll.BDH(F188,$P$3,$P$2,$P$2)</f>
        <v>#N/A Invalid Security</v>
      </c>
      <c r="W78" s="27" t="str">
        <f>_xll.BDH(G188,$P$3,$P$2,$P$2)</f>
        <v>#N/A Invalid Security</v>
      </c>
      <c r="X78" s="27" t="str">
        <f>_xll.BDH(H188,$P$3,$P$2,$P$2)</f>
        <v>#N/A Invalid Security</v>
      </c>
      <c r="Y78" s="27" t="str">
        <f>_xll.BDH(I188,$P$3,$P$2,$P$2)</f>
        <v>#N/A Invalid Security</v>
      </c>
      <c r="Z78" s="27" t="str">
        <f>_xll.BDH(J188,$P$3,$P$2,$P$2)</f>
        <v>#N/A Invalid Security</v>
      </c>
      <c r="AA78" s="27" t="str">
        <f>_xll.BDH(K188,$P$3,$P$2,$P$2)</f>
        <v>#N/A Invalid Security</v>
      </c>
      <c r="AB78" s="57" t="str">
        <f>_xll.BDH(L188,$P$3,$P$2,$P$2)</f>
        <v>#N/A Invalid Security</v>
      </c>
      <c r="AC78" s="1" t="str">
        <f>_xll.BDH(M188,$P$3,$P$2,$P$2)</f>
        <v>#N/A Invalid Security</v>
      </c>
      <c r="AD78" s="1" t="str">
        <f>_xll.BDH(N188,$P$3,$P$2,$P$2)</f>
        <v>#N/A Invalid Security</v>
      </c>
    </row>
    <row r="79" spans="1:30" ht="16.5" x14ac:dyDescent="0.3">
      <c r="A79" s="38" t="s">
        <v>1671</v>
      </c>
      <c r="B79" s="38" t="s">
        <v>1672</v>
      </c>
      <c r="C79" s="38" t="s">
        <v>1673</v>
      </c>
      <c r="D79" s="38" t="s">
        <v>1674</v>
      </c>
      <c r="E79" s="38" t="s">
        <v>1675</v>
      </c>
      <c r="F79" s="38" t="s">
        <v>1676</v>
      </c>
      <c r="G79" s="38" t="s">
        <v>1677</v>
      </c>
      <c r="H79" s="38" t="s">
        <v>1678</v>
      </c>
      <c r="I79" s="38" t="s">
        <v>1679</v>
      </c>
      <c r="J79" s="38" t="s">
        <v>1680</v>
      </c>
      <c r="K79" s="38" t="s">
        <v>1681</v>
      </c>
      <c r="L79" s="38" t="s">
        <v>1682</v>
      </c>
      <c r="M79" s="38" t="s">
        <v>1683</v>
      </c>
      <c r="N79" s="38" t="s">
        <v>1684</v>
      </c>
      <c r="Q79" s="38" t="s">
        <v>1671</v>
      </c>
      <c r="R79" s="1" t="str">
        <f>_xll.BDH(B189,$P$3,$P$2,$P$2)</f>
        <v>#N/A Invalid Security</v>
      </c>
      <c r="S79" s="1" t="str">
        <f>_xll.BDH(C189,$P$3,$P$2,$P$2)</f>
        <v>#N/A Invalid Security</v>
      </c>
      <c r="T79" s="1" t="str">
        <f>_xll.BDH(D189,$P$3,$P$2,$P$2)</f>
        <v>#N/A Invalid Security</v>
      </c>
      <c r="U79" s="1" t="str">
        <f>_xll.BDH(E189,$P$3,$P$2,$P$2)</f>
        <v>#N/A Invalid Security</v>
      </c>
      <c r="V79" s="16" t="str">
        <f>_xll.BDH(F189,$P$3,$P$2,$P$2)</f>
        <v>#N/A Invalid Security</v>
      </c>
      <c r="W79" s="27" t="str">
        <f>_xll.BDH(G189,$P$3,$P$2,$P$2)</f>
        <v>#N/A Invalid Security</v>
      </c>
      <c r="X79" s="27" t="str">
        <f>_xll.BDH(H189,$P$3,$P$2,$P$2)</f>
        <v>#N/A Invalid Security</v>
      </c>
      <c r="Y79" s="27" t="str">
        <f>_xll.BDH(I189,$P$3,$P$2,$P$2)</f>
        <v>#N/A Invalid Security</v>
      </c>
      <c r="Z79" s="27" t="str">
        <f>_xll.BDH(J189,$P$3,$P$2,$P$2)</f>
        <v>#N/A Invalid Security</v>
      </c>
      <c r="AA79" s="27" t="str">
        <f>_xll.BDH(K189,$P$3,$P$2,$P$2)</f>
        <v>#N/A Invalid Security</v>
      </c>
      <c r="AB79" s="57" t="str">
        <f>_xll.BDH(L189,$P$3,$P$2,$P$2)</f>
        <v>#N/A Invalid Security</v>
      </c>
      <c r="AC79" s="1" t="str">
        <f>_xll.BDH(M189,$P$3,$P$2,$P$2)</f>
        <v>#N/A Invalid Security</v>
      </c>
      <c r="AD79" s="1" t="str">
        <f>_xll.BDH(N189,$P$3,$P$2,$P$2)</f>
        <v>#N/A Invalid Security</v>
      </c>
    </row>
    <row r="80" spans="1:30" ht="16.5" x14ac:dyDescent="0.3">
      <c r="A80" s="38" t="s">
        <v>1685</v>
      </c>
      <c r="B80" s="38" t="s">
        <v>1686</v>
      </c>
      <c r="C80" s="38" t="s">
        <v>1687</v>
      </c>
      <c r="D80" s="38" t="s">
        <v>1688</v>
      </c>
      <c r="E80" s="38" t="s">
        <v>1689</v>
      </c>
      <c r="F80" s="38" t="s">
        <v>1690</v>
      </c>
      <c r="G80" s="38" t="s">
        <v>1691</v>
      </c>
      <c r="H80" s="38" t="s">
        <v>1692</v>
      </c>
      <c r="I80" s="38" t="s">
        <v>1693</v>
      </c>
      <c r="J80" s="38" t="s">
        <v>1694</v>
      </c>
      <c r="K80" s="38" t="s">
        <v>1695</v>
      </c>
      <c r="L80" s="38" t="s">
        <v>1696</v>
      </c>
      <c r="M80" s="38" t="s">
        <v>1697</v>
      </c>
      <c r="N80" s="38" t="s">
        <v>1698</v>
      </c>
      <c r="Q80" s="38" t="s">
        <v>1685</v>
      </c>
      <c r="R80" s="1" t="str">
        <f>_xll.BDH(B190,$P$3,$P$2,$P$2)</f>
        <v>#N/A Invalid Security</v>
      </c>
      <c r="S80" s="1" t="str">
        <f>_xll.BDH(C190,$P$3,$P$2,$P$2)</f>
        <v>#N/A Invalid Security</v>
      </c>
      <c r="T80" s="1" t="str">
        <f>_xll.BDH(D190,$P$3,$P$2,$P$2)</f>
        <v>#N/A Invalid Security</v>
      </c>
      <c r="U80" s="1" t="str">
        <f>_xll.BDH(E190,$P$3,$P$2,$P$2)</f>
        <v>#N/A Invalid Security</v>
      </c>
      <c r="V80" s="16" t="str">
        <f>_xll.BDH(F190,$P$3,$P$2,$P$2)</f>
        <v>#N/A Invalid Security</v>
      </c>
      <c r="W80" s="27" t="str">
        <f>_xll.BDH(G190,$P$3,$P$2,$P$2)</f>
        <v>#N/A Invalid Security</v>
      </c>
      <c r="X80" s="27" t="str">
        <f>_xll.BDH(H190,$P$3,$P$2,$P$2)</f>
        <v>#N/A Invalid Security</v>
      </c>
      <c r="Y80" s="27" t="str">
        <f>_xll.BDH(I190,$P$3,$P$2,$P$2)</f>
        <v>#N/A Invalid Security</v>
      </c>
      <c r="Z80" s="27" t="str">
        <f>_xll.BDH(J190,$P$3,$P$2,$P$2)</f>
        <v>#N/A Invalid Security</v>
      </c>
      <c r="AA80" s="27" t="str">
        <f>_xll.BDH(K190,$P$3,$P$2,$P$2)</f>
        <v>#N/A Invalid Security</v>
      </c>
      <c r="AB80" s="57" t="str">
        <f>_xll.BDH(L190,$P$3,$P$2,$P$2)</f>
        <v>#N/A Invalid Security</v>
      </c>
      <c r="AC80" s="1" t="str">
        <f>_xll.BDH(M190,$P$3,$P$2,$P$2)</f>
        <v>#N/A Invalid Security</v>
      </c>
      <c r="AD80" s="1" t="str">
        <f>_xll.BDH(N190,$P$3,$P$2,$P$2)</f>
        <v>#N/A Invalid Security</v>
      </c>
    </row>
    <row r="81" spans="1:30" ht="16.5" x14ac:dyDescent="0.3">
      <c r="A81" s="38" t="s">
        <v>1699</v>
      </c>
      <c r="B81" s="38" t="s">
        <v>1700</v>
      </c>
      <c r="C81" s="38" t="s">
        <v>1701</v>
      </c>
      <c r="D81" s="38" t="s">
        <v>1702</v>
      </c>
      <c r="E81" s="38" t="s">
        <v>1703</v>
      </c>
      <c r="F81" s="38" t="s">
        <v>1704</v>
      </c>
      <c r="G81" s="38" t="s">
        <v>1705</v>
      </c>
      <c r="H81" s="38" t="s">
        <v>1706</v>
      </c>
      <c r="I81" s="38" t="s">
        <v>1707</v>
      </c>
      <c r="J81" s="38" t="s">
        <v>1708</v>
      </c>
      <c r="K81" s="38" t="s">
        <v>1709</v>
      </c>
      <c r="L81" s="38" t="s">
        <v>1710</v>
      </c>
      <c r="M81" s="38" t="s">
        <v>1711</v>
      </c>
      <c r="N81" s="38" t="s">
        <v>1712</v>
      </c>
      <c r="Q81" s="38" t="s">
        <v>1699</v>
      </c>
      <c r="R81" s="1" t="str">
        <f>_xll.BDH(B191,$P$3,$P$2,$P$2)</f>
        <v>#N/A Invalid Security</v>
      </c>
      <c r="S81" s="1" t="str">
        <f>_xll.BDH(C191,$P$3,$P$2,$P$2)</f>
        <v>#N/A Invalid Security</v>
      </c>
      <c r="T81" s="1" t="str">
        <f>_xll.BDH(D191,$P$3,$P$2,$P$2)</f>
        <v>#N/A Invalid Security</v>
      </c>
      <c r="U81" s="1" t="str">
        <f>_xll.BDH(E191,$P$3,$P$2,$P$2)</f>
        <v>#N/A Invalid Security</v>
      </c>
      <c r="V81" s="16" t="str">
        <f>_xll.BDH(F191,$P$3,$P$2,$P$2)</f>
        <v>#N/A Invalid Security</v>
      </c>
      <c r="W81" s="27" t="str">
        <f>_xll.BDH(G191,$P$3,$P$2,$P$2)</f>
        <v>#N/A Invalid Security</v>
      </c>
      <c r="X81" s="27" t="str">
        <f>_xll.BDH(H191,$P$3,$P$2,$P$2)</f>
        <v>#N/A Invalid Security</v>
      </c>
      <c r="Y81" s="27" t="str">
        <f>_xll.BDH(I191,$P$3,$P$2,$P$2)</f>
        <v>#N/A Invalid Security</v>
      </c>
      <c r="Z81" s="27" t="str">
        <f>_xll.BDH(J191,$P$3,$P$2,$P$2)</f>
        <v>#N/A Invalid Security</v>
      </c>
      <c r="AA81" s="27" t="str">
        <f>_xll.BDH(K191,$P$3,$P$2,$P$2)</f>
        <v>#N/A Invalid Security</v>
      </c>
      <c r="AB81" s="57" t="str">
        <f>_xll.BDH(L191,$P$3,$P$2,$P$2)</f>
        <v>#N/A Invalid Security</v>
      </c>
      <c r="AC81" s="1" t="str">
        <f>_xll.BDH(M191,$P$3,$P$2,$P$2)</f>
        <v>#N/A Invalid Security</v>
      </c>
      <c r="AD81" s="1" t="str">
        <f>_xll.BDH(N191,$P$3,$P$2,$P$2)</f>
        <v>#N/A Invalid Security</v>
      </c>
    </row>
    <row r="82" spans="1:30" ht="16.5" x14ac:dyDescent="0.3">
      <c r="A82" s="38" t="s">
        <v>1713</v>
      </c>
      <c r="B82" s="38" t="s">
        <v>1714</v>
      </c>
      <c r="C82" s="38" t="s">
        <v>1715</v>
      </c>
      <c r="D82" s="38" t="s">
        <v>1716</v>
      </c>
      <c r="E82" s="38" t="s">
        <v>1717</v>
      </c>
      <c r="F82" s="38" t="s">
        <v>1718</v>
      </c>
      <c r="G82" s="38" t="s">
        <v>1719</v>
      </c>
      <c r="H82" s="38" t="s">
        <v>1720</v>
      </c>
      <c r="I82" s="38" t="s">
        <v>1721</v>
      </c>
      <c r="J82" s="38" t="s">
        <v>1722</v>
      </c>
      <c r="K82" s="38" t="s">
        <v>1723</v>
      </c>
      <c r="L82" s="38" t="s">
        <v>1724</v>
      </c>
      <c r="M82" s="38" t="s">
        <v>1725</v>
      </c>
      <c r="N82" s="38" t="s">
        <v>1726</v>
      </c>
      <c r="Q82" s="38" t="s">
        <v>1713</v>
      </c>
      <c r="R82" s="1" t="str">
        <f>_xll.BDH(B192,$P$3,$P$2,$P$2)</f>
        <v>#N/A Invalid Security</v>
      </c>
      <c r="S82" s="1" t="str">
        <f>_xll.BDH(C192,$P$3,$P$2,$P$2)</f>
        <v>#N/A Invalid Security</v>
      </c>
      <c r="T82" s="1" t="str">
        <f>_xll.BDH(D192,$P$3,$P$2,$P$2)</f>
        <v>#N/A Invalid Security</v>
      </c>
      <c r="U82" s="1" t="str">
        <f>_xll.BDH(E192,$P$3,$P$2,$P$2)</f>
        <v>#N/A Invalid Security</v>
      </c>
      <c r="V82" s="16" t="str">
        <f>_xll.BDH(F192,$P$3,$P$2,$P$2)</f>
        <v>#N/A Invalid Security</v>
      </c>
      <c r="W82" s="27" t="str">
        <f>_xll.BDH(G192,$P$3,$P$2,$P$2)</f>
        <v>#N/A Invalid Security</v>
      </c>
      <c r="X82" s="27" t="str">
        <f>_xll.BDH(H192,$P$3,$P$2,$P$2)</f>
        <v>#N/A Invalid Security</v>
      </c>
      <c r="Y82" s="27" t="str">
        <f>_xll.BDH(I192,$P$3,$P$2,$P$2)</f>
        <v>#N/A Invalid Security</v>
      </c>
      <c r="Z82" s="27" t="str">
        <f>_xll.BDH(J192,$P$3,$P$2,$P$2)</f>
        <v>#N/A Invalid Security</v>
      </c>
      <c r="AA82" s="27" t="str">
        <f>_xll.BDH(K192,$P$3,$P$2,$P$2)</f>
        <v>#N/A Invalid Security</v>
      </c>
      <c r="AB82" s="57" t="str">
        <f>_xll.BDH(L192,$P$3,$P$2,$P$2)</f>
        <v>#N/A Invalid Security</v>
      </c>
      <c r="AC82" s="1" t="str">
        <f>_xll.BDH(M192,$P$3,$P$2,$P$2)</f>
        <v>#N/A Invalid Security</v>
      </c>
      <c r="AD82" s="1" t="str">
        <f>_xll.BDH(N192,$P$3,$P$2,$P$2)</f>
        <v>#N/A Invalid Security</v>
      </c>
    </row>
    <row r="83" spans="1:30" ht="16.5" x14ac:dyDescent="0.3">
      <c r="A83" s="38" t="s">
        <v>1727</v>
      </c>
      <c r="B83" s="38" t="s">
        <v>1728</v>
      </c>
      <c r="C83" s="38" t="s">
        <v>1729</v>
      </c>
      <c r="D83" s="38" t="s">
        <v>1730</v>
      </c>
      <c r="E83" s="38" t="s">
        <v>1731</v>
      </c>
      <c r="F83" s="38" t="s">
        <v>1732</v>
      </c>
      <c r="G83" s="38" t="s">
        <v>1733</v>
      </c>
      <c r="H83" s="38" t="s">
        <v>1734</v>
      </c>
      <c r="I83" s="38" t="s">
        <v>1735</v>
      </c>
      <c r="J83" s="38" t="s">
        <v>1736</v>
      </c>
      <c r="K83" s="38" t="s">
        <v>1737</v>
      </c>
      <c r="L83" s="38" t="s">
        <v>1738</v>
      </c>
      <c r="M83" s="38" t="s">
        <v>1739</v>
      </c>
      <c r="N83" s="38" t="s">
        <v>1740</v>
      </c>
      <c r="Q83" s="38" t="s">
        <v>1727</v>
      </c>
      <c r="R83" s="1" t="str">
        <f>_xll.BDH(B193,$P$3,$P$2,$P$2)</f>
        <v>#N/A Invalid Security</v>
      </c>
      <c r="S83" s="1" t="str">
        <f>_xll.BDH(C193,$P$3,$P$2,$P$2)</f>
        <v>#N/A Invalid Security</v>
      </c>
      <c r="T83" s="1" t="str">
        <f>_xll.BDH(D193,$P$3,$P$2,$P$2)</f>
        <v>#N/A Invalid Security</v>
      </c>
      <c r="U83" s="1" t="str">
        <f>_xll.BDH(E193,$P$3,$P$2,$P$2)</f>
        <v>#N/A Invalid Security</v>
      </c>
      <c r="V83" s="16" t="str">
        <f>_xll.BDH(F193,$P$3,$P$2,$P$2)</f>
        <v>#N/A Invalid Security</v>
      </c>
      <c r="W83" s="27" t="str">
        <f>_xll.BDH(G193,$P$3,$P$2,$P$2)</f>
        <v>#N/A Invalid Security</v>
      </c>
      <c r="X83" s="27" t="str">
        <f>_xll.BDH(H193,$P$3,$P$2,$P$2)</f>
        <v>#N/A Invalid Security</v>
      </c>
      <c r="Y83" s="27" t="str">
        <f>_xll.BDH(I193,$P$3,$P$2,$P$2)</f>
        <v>#N/A Invalid Security</v>
      </c>
      <c r="Z83" s="27" t="str">
        <f>_xll.BDH(J193,$P$3,$P$2,$P$2)</f>
        <v>#N/A Invalid Security</v>
      </c>
      <c r="AA83" s="27" t="str">
        <f>_xll.BDH(K193,$P$3,$P$2,$P$2)</f>
        <v>#N/A Invalid Security</v>
      </c>
      <c r="AB83" s="57" t="str">
        <f>_xll.BDH(L193,$P$3,$P$2,$P$2)</f>
        <v>#N/A Invalid Security</v>
      </c>
      <c r="AC83" s="1" t="str">
        <f>_xll.BDH(M193,$P$3,$P$2,$P$2)</f>
        <v>#N/A Invalid Security</v>
      </c>
      <c r="AD83" s="1" t="str">
        <f>_xll.BDH(N193,$P$3,$P$2,$P$2)</f>
        <v>#N/A Invalid Security</v>
      </c>
    </row>
    <row r="84" spans="1:30" ht="16.5" x14ac:dyDescent="0.3">
      <c r="A84" s="38" t="s">
        <v>1741</v>
      </c>
      <c r="B84" s="38" t="s">
        <v>1742</v>
      </c>
      <c r="C84" s="38" t="s">
        <v>1743</v>
      </c>
      <c r="D84" s="38" t="s">
        <v>1744</v>
      </c>
      <c r="E84" s="38" t="s">
        <v>1745</v>
      </c>
      <c r="F84" s="38" t="s">
        <v>1746</v>
      </c>
      <c r="G84" s="38" t="s">
        <v>1747</v>
      </c>
      <c r="H84" s="38" t="s">
        <v>1748</v>
      </c>
      <c r="I84" s="38" t="s">
        <v>1749</v>
      </c>
      <c r="J84" s="38" t="s">
        <v>1750</v>
      </c>
      <c r="K84" s="38" t="s">
        <v>1751</v>
      </c>
      <c r="L84" s="38" t="s">
        <v>1752</v>
      </c>
      <c r="M84" s="38" t="s">
        <v>1753</v>
      </c>
      <c r="N84" s="38" t="s">
        <v>1754</v>
      </c>
      <c r="Q84" s="38" t="s">
        <v>1741</v>
      </c>
      <c r="R84" s="1" t="str">
        <f>_xll.BDH(B194,$P$3,$P$2,$P$2)</f>
        <v>#N/A Invalid Security</v>
      </c>
      <c r="S84" s="1" t="str">
        <f>_xll.BDH(C194,$P$3,$P$2,$P$2)</f>
        <v>#N/A Invalid Security</v>
      </c>
      <c r="T84" s="1" t="str">
        <f>_xll.BDH(D194,$P$3,$P$2,$P$2)</f>
        <v>#N/A Invalid Security</v>
      </c>
      <c r="U84" s="1" t="str">
        <f>_xll.BDH(E194,$P$3,$P$2,$P$2)</f>
        <v>#N/A Invalid Security</v>
      </c>
      <c r="V84" s="16" t="str">
        <f>_xll.BDH(F194,$P$3,$P$2,$P$2)</f>
        <v>#N/A Invalid Security</v>
      </c>
      <c r="W84" s="27" t="str">
        <f>_xll.BDH(G194,$P$3,$P$2,$P$2)</f>
        <v>#N/A Invalid Security</v>
      </c>
      <c r="X84" s="27" t="str">
        <f>_xll.BDH(H194,$P$3,$P$2,$P$2)</f>
        <v>#N/A Invalid Security</v>
      </c>
      <c r="Y84" s="27" t="str">
        <f>_xll.BDH(I194,$P$3,$P$2,$P$2)</f>
        <v>#N/A Invalid Security</v>
      </c>
      <c r="Z84" s="27" t="str">
        <f>_xll.BDH(J194,$P$3,$P$2,$P$2)</f>
        <v>#N/A Invalid Security</v>
      </c>
      <c r="AA84" s="27" t="str">
        <f>_xll.BDH(K194,$P$3,$P$2,$P$2)</f>
        <v>#N/A Invalid Security</v>
      </c>
      <c r="AB84" s="57" t="str">
        <f>_xll.BDH(L194,$P$3,$P$2,$P$2)</f>
        <v>#N/A Invalid Security</v>
      </c>
      <c r="AC84" s="1" t="str">
        <f>_xll.BDH(M194,$P$3,$P$2,$P$2)</f>
        <v>#N/A Invalid Security</v>
      </c>
      <c r="AD84" s="1" t="str">
        <f>_xll.BDH(N194,$P$3,$P$2,$P$2)</f>
        <v>#N/A Invalid Security</v>
      </c>
    </row>
    <row r="85" spans="1:30" ht="16.5" x14ac:dyDescent="0.3">
      <c r="A85" s="38" t="s">
        <v>1755</v>
      </c>
      <c r="B85" s="38" t="s">
        <v>1756</v>
      </c>
      <c r="C85" s="38" t="s">
        <v>1757</v>
      </c>
      <c r="D85" s="38" t="s">
        <v>1758</v>
      </c>
      <c r="E85" s="38" t="s">
        <v>1759</v>
      </c>
      <c r="F85" s="38" t="s">
        <v>1760</v>
      </c>
      <c r="G85" s="38" t="s">
        <v>1761</v>
      </c>
      <c r="H85" s="38" t="s">
        <v>1762</v>
      </c>
      <c r="I85" s="38" t="s">
        <v>1763</v>
      </c>
      <c r="J85" s="38" t="s">
        <v>1764</v>
      </c>
      <c r="K85" s="38" t="s">
        <v>1765</v>
      </c>
      <c r="L85" s="38" t="s">
        <v>1766</v>
      </c>
      <c r="M85" s="38" t="s">
        <v>1767</v>
      </c>
      <c r="N85" s="38" t="s">
        <v>1768</v>
      </c>
      <c r="Q85" s="38" t="s">
        <v>1755</v>
      </c>
      <c r="R85" s="1" t="str">
        <f>_xll.BDH(B195,$P$3,$P$2,$P$2)</f>
        <v>#N/A Invalid Security</v>
      </c>
      <c r="S85" s="1" t="str">
        <f>_xll.BDH(C195,$P$3,$P$2,$P$2)</f>
        <v>#N/A Invalid Security</v>
      </c>
      <c r="T85" s="1" t="str">
        <f>_xll.BDH(D195,$P$3,$P$2,$P$2)</f>
        <v>#N/A Invalid Security</v>
      </c>
      <c r="U85" s="1" t="str">
        <f>_xll.BDH(E195,$P$3,$P$2,$P$2)</f>
        <v>#N/A Invalid Security</v>
      </c>
      <c r="V85" s="16" t="str">
        <f>_xll.BDH(F195,$P$3,$P$2,$P$2)</f>
        <v>#N/A Invalid Security</v>
      </c>
      <c r="W85" s="27" t="str">
        <f>_xll.BDH(G195,$P$3,$P$2,$P$2)</f>
        <v>#N/A Invalid Security</v>
      </c>
      <c r="X85" s="27" t="str">
        <f>_xll.BDH(H195,$P$3,$P$2,$P$2)</f>
        <v>#N/A Invalid Security</v>
      </c>
      <c r="Y85" s="27" t="str">
        <f>_xll.BDH(I195,$P$3,$P$2,$P$2)</f>
        <v>#N/A Invalid Security</v>
      </c>
      <c r="Z85" s="27" t="str">
        <f>_xll.BDH(J195,$P$3,$P$2,$P$2)</f>
        <v>#N/A Invalid Security</v>
      </c>
      <c r="AA85" s="27" t="str">
        <f>_xll.BDH(K195,$P$3,$P$2,$P$2)</f>
        <v>#N/A Invalid Security</v>
      </c>
      <c r="AB85" s="57" t="str">
        <f>_xll.BDH(L195,$P$3,$P$2,$P$2)</f>
        <v>#N/A Invalid Security</v>
      </c>
      <c r="AC85" s="1" t="str">
        <f>_xll.BDH(M195,$P$3,$P$2,$P$2)</f>
        <v>#N/A Invalid Security</v>
      </c>
      <c r="AD85" s="1" t="str">
        <f>_xll.BDH(N195,$P$3,$P$2,$P$2)</f>
        <v>#N/A Invalid Security</v>
      </c>
    </row>
    <row r="86" spans="1:30" ht="16.5" x14ac:dyDescent="0.3">
      <c r="A86" s="38" t="s">
        <v>1769</v>
      </c>
      <c r="B86" s="38" t="s">
        <v>1770</v>
      </c>
      <c r="C86" s="38" t="s">
        <v>1771</v>
      </c>
      <c r="D86" s="38" t="s">
        <v>1772</v>
      </c>
      <c r="E86" s="38" t="s">
        <v>1773</v>
      </c>
      <c r="F86" s="38" t="s">
        <v>1774</v>
      </c>
      <c r="G86" s="38" t="s">
        <v>1775</v>
      </c>
      <c r="H86" s="38" t="s">
        <v>1776</v>
      </c>
      <c r="I86" s="38" t="s">
        <v>1777</v>
      </c>
      <c r="J86" s="38" t="s">
        <v>1778</v>
      </c>
      <c r="K86" s="38" t="s">
        <v>1779</v>
      </c>
      <c r="L86" s="38" t="s">
        <v>1780</v>
      </c>
      <c r="M86" s="38" t="s">
        <v>1781</v>
      </c>
      <c r="N86" s="38" t="s">
        <v>1782</v>
      </c>
      <c r="Q86" s="38" t="s">
        <v>1769</v>
      </c>
      <c r="R86" s="1" t="str">
        <f>_xll.BDH(B196,$P$3,$P$2,$P$2)</f>
        <v>#N/A Invalid Security</v>
      </c>
      <c r="S86" s="1" t="str">
        <f>_xll.BDH(C196,$P$3,$P$2,$P$2)</f>
        <v>#N/A Invalid Security</v>
      </c>
      <c r="T86" s="1" t="str">
        <f>_xll.BDH(D196,$P$3,$P$2,$P$2)</f>
        <v>#N/A Invalid Security</v>
      </c>
      <c r="U86" s="1" t="str">
        <f>_xll.BDH(E196,$P$3,$P$2,$P$2)</f>
        <v>#N/A Invalid Security</v>
      </c>
      <c r="V86" s="16" t="str">
        <f>_xll.BDH(F196,$P$3,$P$2,$P$2)</f>
        <v>#N/A Invalid Security</v>
      </c>
      <c r="W86" s="27" t="str">
        <f>_xll.BDH(G196,$P$3,$P$2,$P$2)</f>
        <v>#N/A Invalid Security</v>
      </c>
      <c r="X86" s="27" t="str">
        <f>_xll.BDH(H196,$P$3,$P$2,$P$2)</f>
        <v>#N/A Invalid Security</v>
      </c>
      <c r="Y86" s="27" t="str">
        <f>_xll.BDH(I196,$P$3,$P$2,$P$2)</f>
        <v>#N/A Invalid Security</v>
      </c>
      <c r="Z86" s="27" t="str">
        <f>_xll.BDH(J196,$P$3,$P$2,$P$2)</f>
        <v>#N/A Invalid Security</v>
      </c>
      <c r="AA86" s="27" t="str">
        <f>_xll.BDH(K196,$P$3,$P$2,$P$2)</f>
        <v>#N/A Invalid Security</v>
      </c>
      <c r="AB86" s="57" t="str">
        <f>_xll.BDH(L196,$P$3,$P$2,$P$2)</f>
        <v>#N/A Invalid Security</v>
      </c>
      <c r="AC86" s="1" t="str">
        <f>_xll.BDH(M196,$P$3,$P$2,$P$2)</f>
        <v>#N/A Invalid Security</v>
      </c>
      <c r="AD86" s="1" t="str">
        <f>_xll.BDH(N196,$P$3,$P$2,$P$2)</f>
        <v>#N/A Invalid Security</v>
      </c>
    </row>
    <row r="87" spans="1:30" ht="16.5" x14ac:dyDescent="0.3">
      <c r="A87" s="38" t="s">
        <v>1783</v>
      </c>
      <c r="B87" s="38" t="s">
        <v>1784</v>
      </c>
      <c r="C87" s="38" t="s">
        <v>1785</v>
      </c>
      <c r="D87" s="38" t="s">
        <v>1786</v>
      </c>
      <c r="E87" s="38" t="s">
        <v>1787</v>
      </c>
      <c r="F87" s="38" t="s">
        <v>1788</v>
      </c>
      <c r="G87" s="38" t="s">
        <v>1789</v>
      </c>
      <c r="H87" s="38" t="s">
        <v>1790</v>
      </c>
      <c r="I87" s="38" t="s">
        <v>1791</v>
      </c>
      <c r="J87" s="38" t="s">
        <v>1792</v>
      </c>
      <c r="K87" s="38" t="s">
        <v>1793</v>
      </c>
      <c r="L87" s="38" t="s">
        <v>1794</v>
      </c>
      <c r="M87" s="38" t="s">
        <v>1795</v>
      </c>
      <c r="N87" s="38" t="s">
        <v>1796</v>
      </c>
      <c r="Q87" s="38" t="s">
        <v>1783</v>
      </c>
      <c r="R87" s="1" t="str">
        <f>_xll.BDH(B197,$P$3,$P$2,$P$2)</f>
        <v>#N/A Invalid Security</v>
      </c>
      <c r="S87" s="1" t="str">
        <f>_xll.BDH(C197,$P$3,$P$2,$P$2)</f>
        <v>#N/A Invalid Security</v>
      </c>
      <c r="T87" s="1" t="str">
        <f>_xll.BDH(D197,$P$3,$P$2,$P$2)</f>
        <v>#N/A Invalid Security</v>
      </c>
      <c r="U87" s="1" t="str">
        <f>_xll.BDH(E197,$P$3,$P$2,$P$2)</f>
        <v>#N/A Invalid Security</v>
      </c>
      <c r="V87" s="16" t="str">
        <f>_xll.BDH(F197,$P$3,$P$2,$P$2)</f>
        <v>#N/A Invalid Security</v>
      </c>
      <c r="W87" s="27" t="str">
        <f>_xll.BDH(G197,$P$3,$P$2,$P$2)</f>
        <v>#N/A Invalid Security</v>
      </c>
      <c r="X87" s="27" t="str">
        <f>_xll.BDH(H197,$P$3,$P$2,$P$2)</f>
        <v>#N/A Invalid Security</v>
      </c>
      <c r="Y87" s="27" t="str">
        <f>_xll.BDH(I197,$P$3,$P$2,$P$2)</f>
        <v>#N/A Invalid Security</v>
      </c>
      <c r="Z87" s="27" t="str">
        <f>_xll.BDH(J197,$P$3,$P$2,$P$2)</f>
        <v>#N/A Invalid Security</v>
      </c>
      <c r="AA87" s="27" t="str">
        <f>_xll.BDH(K197,$P$3,$P$2,$P$2)</f>
        <v>#N/A Invalid Security</v>
      </c>
      <c r="AB87" s="57" t="str">
        <f>_xll.BDH(L197,$P$3,$P$2,$P$2)</f>
        <v>#N/A Invalid Security</v>
      </c>
      <c r="AC87" s="1" t="str">
        <f>_xll.BDH(M197,$P$3,$P$2,$P$2)</f>
        <v>#N/A Invalid Security</v>
      </c>
      <c r="AD87" s="1" t="str">
        <f>_xll.BDH(N197,$P$3,$P$2,$P$2)</f>
        <v>#N/A Invalid Security</v>
      </c>
    </row>
    <row r="88" spans="1:30" ht="16.5" x14ac:dyDescent="0.3">
      <c r="A88" s="38" t="s">
        <v>1797</v>
      </c>
      <c r="B88" s="38" t="s">
        <v>1798</v>
      </c>
      <c r="C88" s="38" t="s">
        <v>1799</v>
      </c>
      <c r="D88" s="38" t="s">
        <v>1800</v>
      </c>
      <c r="E88" s="38" t="s">
        <v>1801</v>
      </c>
      <c r="F88" s="38" t="s">
        <v>1802</v>
      </c>
      <c r="G88" s="38" t="s">
        <v>1803</v>
      </c>
      <c r="H88" s="38" t="s">
        <v>1804</v>
      </c>
      <c r="I88" s="38" t="s">
        <v>1805</v>
      </c>
      <c r="J88" s="38" t="s">
        <v>1806</v>
      </c>
      <c r="K88" s="38" t="s">
        <v>1807</v>
      </c>
      <c r="L88" s="38" t="s">
        <v>1808</v>
      </c>
      <c r="M88" s="38" t="s">
        <v>1809</v>
      </c>
      <c r="N88" s="38" t="s">
        <v>1810</v>
      </c>
      <c r="Q88" s="38" t="s">
        <v>1797</v>
      </c>
      <c r="R88" s="1" t="str">
        <f>_xll.BDH(B198,$P$3,$P$2,$P$2)</f>
        <v>#N/A Invalid Security</v>
      </c>
      <c r="S88" s="1" t="str">
        <f>_xll.BDH(C198,$P$3,$P$2,$P$2)</f>
        <v>#N/A Invalid Security</v>
      </c>
      <c r="T88" s="1" t="str">
        <f>_xll.BDH(D198,$P$3,$P$2,$P$2)</f>
        <v>#N/A Invalid Security</v>
      </c>
      <c r="U88" s="1" t="str">
        <f>_xll.BDH(E198,$P$3,$P$2,$P$2)</f>
        <v>#N/A Invalid Security</v>
      </c>
      <c r="V88" s="16" t="str">
        <f>_xll.BDH(F198,$P$3,$P$2,$P$2)</f>
        <v>#N/A Invalid Security</v>
      </c>
      <c r="W88" s="27" t="str">
        <f>_xll.BDH(G198,$P$3,$P$2,$P$2)</f>
        <v>#N/A Invalid Security</v>
      </c>
      <c r="X88" s="27" t="str">
        <f>_xll.BDH(H198,$P$3,$P$2,$P$2)</f>
        <v>#N/A Invalid Security</v>
      </c>
      <c r="Y88" s="27" t="str">
        <f>_xll.BDH(I198,$P$3,$P$2,$P$2)</f>
        <v>#N/A Invalid Security</v>
      </c>
      <c r="Z88" s="27" t="str">
        <f>_xll.BDH(J198,$P$3,$P$2,$P$2)</f>
        <v>#N/A Invalid Security</v>
      </c>
      <c r="AA88" s="27" t="str">
        <f>_xll.BDH(K198,$P$3,$P$2,$P$2)</f>
        <v>#N/A Invalid Security</v>
      </c>
      <c r="AB88" s="57" t="str">
        <f>_xll.BDH(L198,$P$3,$P$2,$P$2)</f>
        <v>#N/A Invalid Security</v>
      </c>
      <c r="AC88" s="1" t="str">
        <f>_xll.BDH(M198,$P$3,$P$2,$P$2)</f>
        <v>#N/A Invalid Security</v>
      </c>
      <c r="AD88" s="1" t="str">
        <f>_xll.BDH(N198,$P$3,$P$2,$P$2)</f>
        <v>#N/A Invalid Security</v>
      </c>
    </row>
    <row r="89" spans="1:30" ht="16.5" x14ac:dyDescent="0.3">
      <c r="A89" s="38" t="s">
        <v>1811</v>
      </c>
      <c r="B89" s="38" t="s">
        <v>1812</v>
      </c>
      <c r="C89" s="38" t="s">
        <v>1813</v>
      </c>
      <c r="D89" s="38" t="s">
        <v>1814</v>
      </c>
      <c r="E89" s="38" t="s">
        <v>1815</v>
      </c>
      <c r="F89" s="38" t="s">
        <v>1816</v>
      </c>
      <c r="G89" s="38" t="s">
        <v>1817</v>
      </c>
      <c r="H89" s="38" t="s">
        <v>1818</v>
      </c>
      <c r="I89" s="38" t="s">
        <v>1819</v>
      </c>
      <c r="J89" s="38" t="s">
        <v>1820</v>
      </c>
      <c r="K89" s="38" t="s">
        <v>1821</v>
      </c>
      <c r="L89" s="38" t="s">
        <v>1822</v>
      </c>
      <c r="M89" s="38" t="s">
        <v>1823</v>
      </c>
      <c r="N89" s="38" t="s">
        <v>1824</v>
      </c>
      <c r="Q89" s="38" t="s">
        <v>1811</v>
      </c>
      <c r="R89" s="1" t="str">
        <f>_xll.BDH(B199,$P$3,$P$2,$P$2)</f>
        <v>#N/A Invalid Security</v>
      </c>
      <c r="S89" s="1" t="str">
        <f>_xll.BDH(C199,$P$3,$P$2,$P$2)</f>
        <v>#N/A Invalid Security</v>
      </c>
      <c r="T89" s="1" t="str">
        <f>_xll.BDH(D199,$P$3,$P$2,$P$2)</f>
        <v>#N/A Invalid Security</v>
      </c>
      <c r="U89" s="1" t="str">
        <f>_xll.BDH(E199,$P$3,$P$2,$P$2)</f>
        <v>#N/A Invalid Security</v>
      </c>
      <c r="V89" s="16" t="str">
        <f>_xll.BDH(F199,$P$3,$P$2,$P$2)</f>
        <v>#N/A Invalid Security</v>
      </c>
      <c r="W89" s="27" t="str">
        <f>_xll.BDH(G199,$P$3,$P$2,$P$2)</f>
        <v>#N/A Invalid Security</v>
      </c>
      <c r="X89" s="27" t="str">
        <f>_xll.BDH(H199,$P$3,$P$2,$P$2)</f>
        <v>#N/A Invalid Security</v>
      </c>
      <c r="Y89" s="27" t="str">
        <f>_xll.BDH(I199,$P$3,$P$2,$P$2)</f>
        <v>#N/A Invalid Security</v>
      </c>
      <c r="Z89" s="27" t="str">
        <f>_xll.BDH(J199,$P$3,$P$2,$P$2)</f>
        <v>#N/A Invalid Security</v>
      </c>
      <c r="AA89" s="27" t="str">
        <f>_xll.BDH(K199,$P$3,$P$2,$P$2)</f>
        <v>#N/A Invalid Security</v>
      </c>
      <c r="AB89" s="57" t="str">
        <f>_xll.BDH(L199,$P$3,$P$2,$P$2)</f>
        <v>#N/A Invalid Security</v>
      </c>
      <c r="AC89" s="1" t="str">
        <f>_xll.BDH(M199,$P$3,$P$2,$P$2)</f>
        <v>#N/A Invalid Security</v>
      </c>
      <c r="AD89" s="1" t="str">
        <f>_xll.BDH(N199,$P$3,$P$2,$P$2)</f>
        <v>#N/A Invalid Security</v>
      </c>
    </row>
    <row r="90" spans="1:30" ht="16.5" x14ac:dyDescent="0.3">
      <c r="A90" s="38" t="s">
        <v>1825</v>
      </c>
      <c r="B90" s="38" t="s">
        <v>1826</v>
      </c>
      <c r="C90" s="38" t="s">
        <v>1827</v>
      </c>
      <c r="D90" s="38" t="s">
        <v>1828</v>
      </c>
      <c r="E90" s="38" t="s">
        <v>1829</v>
      </c>
      <c r="F90" s="38" t="s">
        <v>1830</v>
      </c>
      <c r="G90" s="38" t="s">
        <v>1831</v>
      </c>
      <c r="H90" s="38" t="s">
        <v>1832</v>
      </c>
      <c r="I90" s="38" t="s">
        <v>1833</v>
      </c>
      <c r="J90" s="38" t="s">
        <v>1834</v>
      </c>
      <c r="K90" s="38" t="s">
        <v>1835</v>
      </c>
      <c r="L90" s="38" t="s">
        <v>1836</v>
      </c>
      <c r="M90" s="38" t="s">
        <v>1837</v>
      </c>
      <c r="N90" s="38" t="s">
        <v>1838</v>
      </c>
      <c r="Q90" s="38" t="s">
        <v>1825</v>
      </c>
      <c r="R90" s="1" t="str">
        <f>_xll.BDH(B200,$P$3,$P$2,$P$2)</f>
        <v>#N/A Invalid Security</v>
      </c>
      <c r="S90" s="1" t="str">
        <f>_xll.BDH(C200,$P$3,$P$2,$P$2)</f>
        <v>#N/A Invalid Security</v>
      </c>
      <c r="T90" s="1" t="str">
        <f>_xll.BDH(D200,$P$3,$P$2,$P$2)</f>
        <v>#N/A Invalid Security</v>
      </c>
      <c r="U90" s="1" t="str">
        <f>_xll.BDH(E200,$P$3,$P$2,$P$2)</f>
        <v>#N/A Invalid Security</v>
      </c>
      <c r="V90" s="16" t="str">
        <f>_xll.BDH(F200,$P$3,$P$2,$P$2)</f>
        <v>#N/A Invalid Security</v>
      </c>
      <c r="W90" s="27" t="str">
        <f>_xll.BDH(G200,$P$3,$P$2,$P$2)</f>
        <v>#N/A Invalid Security</v>
      </c>
      <c r="X90" s="27" t="str">
        <f>_xll.BDH(H200,$P$3,$P$2,$P$2)</f>
        <v>#N/A Invalid Security</v>
      </c>
      <c r="Y90" s="27" t="str">
        <f>_xll.BDH(I200,$P$3,$P$2,$P$2)</f>
        <v>#N/A Invalid Security</v>
      </c>
      <c r="Z90" s="27" t="str">
        <f>_xll.BDH(J200,$P$3,$P$2,$P$2)</f>
        <v>#N/A Invalid Security</v>
      </c>
      <c r="AA90" s="27" t="str">
        <f>_xll.BDH(K200,$P$3,$P$2,$P$2)</f>
        <v>#N/A Invalid Security</v>
      </c>
      <c r="AB90" s="57" t="str">
        <f>_xll.BDH(L200,$P$3,$P$2,$P$2)</f>
        <v>#N/A Invalid Security</v>
      </c>
      <c r="AC90" s="1" t="str">
        <f>_xll.BDH(M200,$P$3,$P$2,$P$2)</f>
        <v>#N/A Invalid Security</v>
      </c>
      <c r="AD90" s="1" t="str">
        <f>_xll.BDH(N200,$P$3,$P$2,$P$2)</f>
        <v>#N/A Invalid Security</v>
      </c>
    </row>
    <row r="91" spans="1:30" ht="16.5" x14ac:dyDescent="0.3">
      <c r="A91" s="38" t="s">
        <v>1839</v>
      </c>
      <c r="B91" s="38" t="s">
        <v>1840</v>
      </c>
      <c r="C91" s="38" t="s">
        <v>1841</v>
      </c>
      <c r="D91" s="38" t="s">
        <v>1842</v>
      </c>
      <c r="E91" s="38" t="s">
        <v>1843</v>
      </c>
      <c r="F91" s="38" t="s">
        <v>1844</v>
      </c>
      <c r="G91" s="38" t="s">
        <v>1845</v>
      </c>
      <c r="H91" s="38" t="s">
        <v>1846</v>
      </c>
      <c r="I91" s="38" t="s">
        <v>1847</v>
      </c>
      <c r="J91" s="38" t="s">
        <v>1848</v>
      </c>
      <c r="K91" s="38" t="s">
        <v>1849</v>
      </c>
      <c r="L91" s="38" t="s">
        <v>1850</v>
      </c>
      <c r="M91" s="38" t="s">
        <v>1851</v>
      </c>
      <c r="N91" s="38" t="s">
        <v>1852</v>
      </c>
      <c r="Q91" s="38" t="s">
        <v>1839</v>
      </c>
      <c r="R91" s="1" t="str">
        <f>_xll.BDH(B201,$P$3,$P$2,$P$2)</f>
        <v>#N/A Invalid Security</v>
      </c>
      <c r="S91" s="1" t="str">
        <f>_xll.BDH(C201,$P$3,$P$2,$P$2)</f>
        <v>#N/A Invalid Security</v>
      </c>
      <c r="T91" s="1" t="str">
        <f>_xll.BDH(D201,$P$3,$P$2,$P$2)</f>
        <v>#N/A Invalid Security</v>
      </c>
      <c r="U91" s="1" t="str">
        <f>_xll.BDH(E201,$P$3,$P$2,$P$2)</f>
        <v>#N/A Invalid Security</v>
      </c>
      <c r="V91" s="16" t="str">
        <f>_xll.BDH(F201,$P$3,$P$2,$P$2)</f>
        <v>#N/A Invalid Security</v>
      </c>
      <c r="W91" s="27" t="str">
        <f>_xll.BDH(G201,$P$3,$P$2,$P$2)</f>
        <v>#N/A Invalid Security</v>
      </c>
      <c r="X91" s="27" t="str">
        <f>_xll.BDH(H201,$P$3,$P$2,$P$2)</f>
        <v>#N/A Invalid Security</v>
      </c>
      <c r="Y91" s="27" t="str">
        <f>_xll.BDH(I201,$P$3,$P$2,$P$2)</f>
        <v>#N/A Invalid Security</v>
      </c>
      <c r="Z91" s="27" t="str">
        <f>_xll.BDH(J201,$P$3,$P$2,$P$2)</f>
        <v>#N/A Invalid Security</v>
      </c>
      <c r="AA91" s="27" t="str">
        <f>_xll.BDH(K201,$P$3,$P$2,$P$2)</f>
        <v>#N/A Invalid Security</v>
      </c>
      <c r="AB91" s="57" t="str">
        <f>_xll.BDH(L201,$P$3,$P$2,$P$2)</f>
        <v>#N/A Invalid Security</v>
      </c>
      <c r="AC91" s="1" t="str">
        <f>_xll.BDH(M201,$P$3,$P$2,$P$2)</f>
        <v>#N/A Invalid Security</v>
      </c>
      <c r="AD91" s="1" t="str">
        <f>_xll.BDH(N201,$P$3,$P$2,$P$2)</f>
        <v>#N/A Invalid Security</v>
      </c>
    </row>
    <row r="92" spans="1:30" ht="16.5" x14ac:dyDescent="0.3">
      <c r="A92" s="38" t="s">
        <v>1853</v>
      </c>
      <c r="B92" s="38" t="s">
        <v>1854</v>
      </c>
      <c r="C92" s="38" t="s">
        <v>1855</v>
      </c>
      <c r="D92" s="38" t="s">
        <v>1856</v>
      </c>
      <c r="E92" s="38" t="s">
        <v>1857</v>
      </c>
      <c r="F92" s="38" t="s">
        <v>1858</v>
      </c>
      <c r="G92" s="38" t="s">
        <v>1859</v>
      </c>
      <c r="H92" s="38" t="s">
        <v>1860</v>
      </c>
      <c r="I92" s="38" t="s">
        <v>1861</v>
      </c>
      <c r="J92" s="38" t="s">
        <v>1862</v>
      </c>
      <c r="K92" s="38" t="s">
        <v>1863</v>
      </c>
      <c r="L92" s="38" t="s">
        <v>1864</v>
      </c>
      <c r="M92" s="38" t="s">
        <v>1865</v>
      </c>
      <c r="N92" s="38" t="s">
        <v>1866</v>
      </c>
      <c r="Q92" s="38" t="s">
        <v>1853</v>
      </c>
      <c r="R92" s="1" t="str">
        <f>_xll.BDH(B202,$P$3,$P$2,$P$2)</f>
        <v>#N/A Invalid Security</v>
      </c>
      <c r="S92" s="1" t="str">
        <f>_xll.BDH(C202,$P$3,$P$2,$P$2)</f>
        <v>#N/A Invalid Security</v>
      </c>
      <c r="T92" s="1" t="str">
        <f>_xll.BDH(D202,$P$3,$P$2,$P$2)</f>
        <v>#N/A Invalid Security</v>
      </c>
      <c r="U92" s="1" t="str">
        <f>_xll.BDH(E202,$P$3,$P$2,$P$2)</f>
        <v>#N/A Invalid Security</v>
      </c>
      <c r="V92" s="16" t="str">
        <f>_xll.BDH(F202,$P$3,$P$2,$P$2)</f>
        <v>#N/A Invalid Security</v>
      </c>
      <c r="W92" s="27" t="str">
        <f>_xll.BDH(G202,$P$3,$P$2,$P$2)</f>
        <v>#N/A Invalid Security</v>
      </c>
      <c r="X92" s="27" t="str">
        <f>_xll.BDH(H202,$P$3,$P$2,$P$2)</f>
        <v>#N/A Invalid Security</v>
      </c>
      <c r="Y92" s="27" t="str">
        <f>_xll.BDH(I202,$P$3,$P$2,$P$2)</f>
        <v>#N/A Invalid Security</v>
      </c>
      <c r="Z92" s="27" t="str">
        <f>_xll.BDH(J202,$P$3,$P$2,$P$2)</f>
        <v>#N/A Invalid Security</v>
      </c>
      <c r="AA92" s="27" t="str">
        <f>_xll.BDH(K202,$P$3,$P$2,$P$2)</f>
        <v>#N/A Invalid Security</v>
      </c>
      <c r="AB92" s="57" t="str">
        <f>_xll.BDH(L202,$P$3,$P$2,$P$2)</f>
        <v>#N/A Invalid Security</v>
      </c>
      <c r="AC92" s="1" t="str">
        <f>_xll.BDH(M202,$P$3,$P$2,$P$2)</f>
        <v>#N/A Invalid Security</v>
      </c>
      <c r="AD92" s="1" t="str">
        <f>_xll.BDH(N202,$P$3,$P$2,$P$2)</f>
        <v>#N/A Invalid Security</v>
      </c>
    </row>
    <row r="93" spans="1:30" ht="16.5" x14ac:dyDescent="0.3">
      <c r="A93" s="38" t="s">
        <v>1867</v>
      </c>
      <c r="B93" s="38" t="s">
        <v>1868</v>
      </c>
      <c r="C93" s="38" t="s">
        <v>1869</v>
      </c>
      <c r="D93" s="38" t="s">
        <v>1870</v>
      </c>
      <c r="E93" s="38" t="s">
        <v>1871</v>
      </c>
      <c r="F93" s="38" t="s">
        <v>1872</v>
      </c>
      <c r="G93" s="38" t="s">
        <v>1873</v>
      </c>
      <c r="H93" s="38" t="s">
        <v>1874</v>
      </c>
      <c r="I93" s="38" t="s">
        <v>1875</v>
      </c>
      <c r="J93" s="38" t="s">
        <v>1876</v>
      </c>
      <c r="K93" s="38" t="s">
        <v>1877</v>
      </c>
      <c r="L93" s="38" t="s">
        <v>1878</v>
      </c>
      <c r="M93" s="38" t="s">
        <v>1879</v>
      </c>
      <c r="N93" s="38" t="s">
        <v>1880</v>
      </c>
      <c r="Q93" s="38" t="s">
        <v>1867</v>
      </c>
      <c r="R93" s="1" t="str">
        <f>_xll.BDH(B203,$P$3,$P$2,$P$2)</f>
        <v>#N/A Invalid Security</v>
      </c>
      <c r="S93" s="1" t="str">
        <f>_xll.BDH(C203,$P$3,$P$2,$P$2)</f>
        <v>#N/A Invalid Security</v>
      </c>
      <c r="T93" s="1" t="str">
        <f>_xll.BDH(D203,$P$3,$P$2,$P$2)</f>
        <v>#N/A Invalid Security</v>
      </c>
      <c r="U93" s="1" t="str">
        <f>_xll.BDH(E203,$P$3,$P$2,$P$2)</f>
        <v>#N/A Invalid Security</v>
      </c>
      <c r="V93" s="16" t="str">
        <f>_xll.BDH(F203,$P$3,$P$2,$P$2)</f>
        <v>#N/A Invalid Security</v>
      </c>
      <c r="W93" s="27" t="str">
        <f>_xll.BDH(G203,$P$3,$P$2,$P$2)</f>
        <v>#N/A Invalid Security</v>
      </c>
      <c r="X93" s="27" t="str">
        <f>_xll.BDH(H203,$P$3,$P$2,$P$2)</f>
        <v>#N/A Invalid Security</v>
      </c>
      <c r="Y93" s="27" t="str">
        <f>_xll.BDH(I203,$P$3,$P$2,$P$2)</f>
        <v>#N/A Invalid Security</v>
      </c>
      <c r="Z93" s="27" t="str">
        <f>_xll.BDH(J203,$P$3,$P$2,$P$2)</f>
        <v>#N/A Invalid Security</v>
      </c>
      <c r="AA93" s="27" t="str">
        <f>_xll.BDH(K203,$P$3,$P$2,$P$2)</f>
        <v>#N/A Invalid Security</v>
      </c>
      <c r="AB93" s="57" t="str">
        <f>_xll.BDH(L203,$P$3,$P$2,$P$2)</f>
        <v>#N/A Invalid Security</v>
      </c>
      <c r="AC93" s="1" t="str">
        <f>_xll.BDH(M203,$P$3,$P$2,$P$2)</f>
        <v>#N/A Invalid Security</v>
      </c>
      <c r="AD93" s="1" t="str">
        <f>_xll.BDH(N203,$P$3,$P$2,$P$2)</f>
        <v>#N/A Invalid Security</v>
      </c>
    </row>
    <row r="94" spans="1:30" ht="16.5" x14ac:dyDescent="0.3">
      <c r="A94" s="38" t="s">
        <v>1881</v>
      </c>
      <c r="B94" s="38" t="s">
        <v>1882</v>
      </c>
      <c r="C94" s="38" t="s">
        <v>1883</v>
      </c>
      <c r="D94" s="38" t="s">
        <v>1884</v>
      </c>
      <c r="E94" s="38" t="s">
        <v>1885</v>
      </c>
      <c r="F94" s="38" t="s">
        <v>1886</v>
      </c>
      <c r="G94" s="38" t="s">
        <v>1887</v>
      </c>
      <c r="H94" s="38" t="s">
        <v>1888</v>
      </c>
      <c r="I94" s="38" t="s">
        <v>1889</v>
      </c>
      <c r="J94" s="38" t="s">
        <v>1890</v>
      </c>
      <c r="K94" s="38" t="s">
        <v>1891</v>
      </c>
      <c r="L94" s="38" t="s">
        <v>1892</v>
      </c>
      <c r="M94" s="38" t="s">
        <v>1893</v>
      </c>
      <c r="N94" s="38" t="s">
        <v>1894</v>
      </c>
      <c r="Q94" s="38" t="s">
        <v>1881</v>
      </c>
      <c r="R94" s="1" t="str">
        <f>_xll.BDH(B204,$P$3,$P$2,$P$2)</f>
        <v>#N/A Invalid Security</v>
      </c>
      <c r="S94" s="1" t="str">
        <f>_xll.BDH(C204,$P$3,$P$2,$P$2)</f>
        <v>#N/A Invalid Security</v>
      </c>
      <c r="T94" s="1" t="str">
        <f>_xll.BDH(D204,$P$3,$P$2,$P$2)</f>
        <v>#N/A Invalid Security</v>
      </c>
      <c r="U94" s="1" t="str">
        <f>_xll.BDH(E204,$P$3,$P$2,$P$2)</f>
        <v>#N/A Invalid Security</v>
      </c>
      <c r="V94" s="16" t="str">
        <f>_xll.BDH(F204,$P$3,$P$2,$P$2)</f>
        <v>#N/A Invalid Security</v>
      </c>
      <c r="W94" s="27" t="str">
        <f>_xll.BDH(G204,$P$3,$P$2,$P$2)</f>
        <v>#N/A Invalid Security</v>
      </c>
      <c r="X94" s="27" t="str">
        <f>_xll.BDH(H204,$P$3,$P$2,$P$2)</f>
        <v>#N/A Invalid Security</v>
      </c>
      <c r="Y94" s="27" t="str">
        <f>_xll.BDH(I204,$P$3,$P$2,$P$2)</f>
        <v>#N/A Invalid Security</v>
      </c>
      <c r="Z94" s="27" t="str">
        <f>_xll.BDH(J204,$P$3,$P$2,$P$2)</f>
        <v>#N/A Invalid Security</v>
      </c>
      <c r="AA94" s="27" t="str">
        <f>_xll.BDH(K204,$P$3,$P$2,$P$2)</f>
        <v>#N/A Invalid Security</v>
      </c>
      <c r="AB94" s="57" t="str">
        <f>_xll.BDH(L204,$P$3,$P$2,$P$2)</f>
        <v>#N/A Invalid Security</v>
      </c>
      <c r="AC94" s="1" t="str">
        <f>_xll.BDH(M204,$P$3,$P$2,$P$2)</f>
        <v>#N/A Invalid Security</v>
      </c>
      <c r="AD94" s="1" t="str">
        <f>_xll.BDH(N204,$P$3,$P$2,$P$2)</f>
        <v>#N/A Invalid Security</v>
      </c>
    </row>
    <row r="95" spans="1:30" ht="16.5" x14ac:dyDescent="0.3">
      <c r="A95" s="38" t="s">
        <v>1895</v>
      </c>
      <c r="B95" s="38" t="s">
        <v>1896</v>
      </c>
      <c r="C95" s="38" t="s">
        <v>1897</v>
      </c>
      <c r="D95" s="38" t="s">
        <v>1898</v>
      </c>
      <c r="E95" s="38" t="s">
        <v>1899</v>
      </c>
      <c r="F95" s="38" t="s">
        <v>1900</v>
      </c>
      <c r="G95" s="38" t="s">
        <v>1901</v>
      </c>
      <c r="H95" s="38" t="s">
        <v>1902</v>
      </c>
      <c r="I95" s="38" t="s">
        <v>1903</v>
      </c>
      <c r="J95" s="38" t="s">
        <v>1904</v>
      </c>
      <c r="K95" s="38" t="s">
        <v>1905</v>
      </c>
      <c r="L95" s="38" t="s">
        <v>1906</v>
      </c>
      <c r="M95" s="38" t="s">
        <v>1907</v>
      </c>
      <c r="N95" s="38" t="s">
        <v>1908</v>
      </c>
      <c r="Q95" s="38" t="s">
        <v>1895</v>
      </c>
      <c r="R95" s="1" t="str">
        <f>_xll.BDH(B205,$P$3,$P$2,$P$2)</f>
        <v>#N/A Invalid Security</v>
      </c>
      <c r="S95" s="1" t="str">
        <f>_xll.BDH(C205,$P$3,$P$2,$P$2)</f>
        <v>#N/A Invalid Security</v>
      </c>
      <c r="T95" s="1" t="str">
        <f>_xll.BDH(D205,$P$3,$P$2,$P$2)</f>
        <v>#N/A Invalid Security</v>
      </c>
      <c r="U95" s="1" t="str">
        <f>_xll.BDH(E205,$P$3,$P$2,$P$2)</f>
        <v>#N/A Invalid Security</v>
      </c>
      <c r="V95" s="16" t="str">
        <f>_xll.BDH(F205,$P$3,$P$2,$P$2)</f>
        <v>#N/A Invalid Security</v>
      </c>
      <c r="W95" s="27" t="str">
        <f>_xll.BDH(G205,$P$3,$P$2,$P$2)</f>
        <v>#N/A Invalid Security</v>
      </c>
      <c r="X95" s="27" t="str">
        <f>_xll.BDH(H205,$P$3,$P$2,$P$2)</f>
        <v>#N/A Invalid Security</v>
      </c>
      <c r="Y95" s="27" t="str">
        <f>_xll.BDH(I205,$P$3,$P$2,$P$2)</f>
        <v>#N/A Invalid Security</v>
      </c>
      <c r="Z95" s="27" t="str">
        <f>_xll.BDH(J205,$P$3,$P$2,$P$2)</f>
        <v>#N/A Invalid Security</v>
      </c>
      <c r="AA95" s="27" t="str">
        <f>_xll.BDH(K205,$P$3,$P$2,$P$2)</f>
        <v>#N/A Invalid Security</v>
      </c>
      <c r="AB95" s="57" t="str">
        <f>_xll.BDH(L205,$P$3,$P$2,$P$2)</f>
        <v>#N/A Invalid Security</v>
      </c>
      <c r="AC95" s="1" t="str">
        <f>_xll.BDH(M205,$P$3,$P$2,$P$2)</f>
        <v>#N/A Invalid Security</v>
      </c>
      <c r="AD95" s="1" t="str">
        <f>_xll.BDH(N205,$P$3,$P$2,$P$2)</f>
        <v>#N/A Invalid Security</v>
      </c>
    </row>
    <row r="96" spans="1:30" ht="16.5" x14ac:dyDescent="0.3">
      <c r="A96" s="38" t="s">
        <v>1909</v>
      </c>
      <c r="B96" s="38" t="s">
        <v>1910</v>
      </c>
      <c r="C96" s="38" t="s">
        <v>1911</v>
      </c>
      <c r="D96" s="38" t="s">
        <v>1912</v>
      </c>
      <c r="E96" s="38" t="s">
        <v>1913</v>
      </c>
      <c r="F96" s="38" t="s">
        <v>1914</v>
      </c>
      <c r="G96" s="38" t="s">
        <v>1915</v>
      </c>
      <c r="H96" s="38" t="s">
        <v>1916</v>
      </c>
      <c r="I96" s="38" t="s">
        <v>1917</v>
      </c>
      <c r="J96" s="38" t="s">
        <v>1918</v>
      </c>
      <c r="K96" s="38" t="s">
        <v>1919</v>
      </c>
      <c r="L96" s="38" t="s">
        <v>1920</v>
      </c>
      <c r="M96" s="38" t="s">
        <v>1921</v>
      </c>
      <c r="N96" s="38" t="s">
        <v>1922</v>
      </c>
      <c r="Q96" s="38" t="s">
        <v>1909</v>
      </c>
      <c r="R96" s="1" t="str">
        <f>_xll.BDH(B206,$P$3,$P$2,$P$2)</f>
        <v>#N/A Invalid Security</v>
      </c>
      <c r="S96" s="1" t="str">
        <f>_xll.BDH(C206,$P$3,$P$2,$P$2)</f>
        <v>#N/A Invalid Security</v>
      </c>
      <c r="T96" s="1" t="str">
        <f>_xll.BDH(D206,$P$3,$P$2,$P$2)</f>
        <v>#N/A Invalid Security</v>
      </c>
      <c r="U96" s="1" t="str">
        <f>_xll.BDH(E206,$P$3,$P$2,$P$2)</f>
        <v>#N/A Invalid Security</v>
      </c>
      <c r="V96" s="16" t="str">
        <f>_xll.BDH(F206,$P$3,$P$2,$P$2)</f>
        <v>#N/A Invalid Security</v>
      </c>
      <c r="W96" s="27" t="str">
        <f>_xll.BDH(G206,$P$3,$P$2,$P$2)</f>
        <v>#N/A Invalid Security</v>
      </c>
      <c r="X96" s="27" t="str">
        <f>_xll.BDH(H206,$P$3,$P$2,$P$2)</f>
        <v>#N/A Invalid Security</v>
      </c>
      <c r="Y96" s="27" t="str">
        <f>_xll.BDH(I206,$P$3,$P$2,$P$2)</f>
        <v>#N/A Invalid Security</v>
      </c>
      <c r="Z96" s="27" t="str">
        <f>_xll.BDH(J206,$P$3,$P$2,$P$2)</f>
        <v>#N/A Invalid Security</v>
      </c>
      <c r="AA96" s="27" t="str">
        <f>_xll.BDH(K206,$P$3,$P$2,$P$2)</f>
        <v>#N/A Invalid Security</v>
      </c>
      <c r="AB96" s="57" t="str">
        <f>_xll.BDH(L206,$P$3,$P$2,$P$2)</f>
        <v>#N/A Invalid Security</v>
      </c>
      <c r="AC96" s="1" t="str">
        <f>_xll.BDH(M206,$P$3,$P$2,$P$2)</f>
        <v>#N/A Invalid Security</v>
      </c>
      <c r="AD96" s="1" t="str">
        <f>_xll.BDH(N206,$P$3,$P$2,$P$2)</f>
        <v>#N/A Invalid Security</v>
      </c>
    </row>
    <row r="97" spans="1:30" ht="16.5" x14ac:dyDescent="0.3">
      <c r="A97" s="38" t="s">
        <v>1923</v>
      </c>
      <c r="B97" s="38" t="s">
        <v>1924</v>
      </c>
      <c r="C97" s="38" t="s">
        <v>1925</v>
      </c>
      <c r="D97" s="38" t="s">
        <v>1926</v>
      </c>
      <c r="E97" s="38" t="s">
        <v>1927</v>
      </c>
      <c r="F97" s="38" t="s">
        <v>1928</v>
      </c>
      <c r="G97" s="38" t="s">
        <v>1929</v>
      </c>
      <c r="H97" s="38" t="s">
        <v>1930</v>
      </c>
      <c r="I97" s="38" t="s">
        <v>1931</v>
      </c>
      <c r="J97" s="38" t="s">
        <v>1932</v>
      </c>
      <c r="K97" s="38" t="s">
        <v>1933</v>
      </c>
      <c r="L97" s="38" t="s">
        <v>1934</v>
      </c>
      <c r="M97" s="38" t="s">
        <v>1935</v>
      </c>
      <c r="N97" s="38" t="s">
        <v>1936</v>
      </c>
      <c r="Q97" s="38" t="s">
        <v>1923</v>
      </c>
      <c r="R97" s="1" t="str">
        <f>_xll.BDH(B207,$P$3,$P$2,$P$2)</f>
        <v>#N/A Invalid Security</v>
      </c>
      <c r="S97" s="1" t="str">
        <f>_xll.BDH(C207,$P$3,$P$2,$P$2)</f>
        <v>#N/A Invalid Security</v>
      </c>
      <c r="T97" s="1" t="str">
        <f>_xll.BDH(D207,$P$3,$P$2,$P$2)</f>
        <v>#N/A Invalid Security</v>
      </c>
      <c r="U97" s="1" t="str">
        <f>_xll.BDH(E207,$P$3,$P$2,$P$2)</f>
        <v>#N/A Invalid Security</v>
      </c>
      <c r="V97" s="16" t="str">
        <f>_xll.BDH(F207,$P$3,$P$2,$P$2)</f>
        <v>#N/A Invalid Security</v>
      </c>
      <c r="W97" s="27" t="str">
        <f>_xll.BDH(G207,$P$3,$P$2,$P$2)</f>
        <v>#N/A Invalid Security</v>
      </c>
      <c r="X97" s="27" t="str">
        <f>_xll.BDH(H207,$P$3,$P$2,$P$2)</f>
        <v>#N/A Invalid Security</v>
      </c>
      <c r="Y97" s="27" t="str">
        <f>_xll.BDH(I207,$P$3,$P$2,$P$2)</f>
        <v>#N/A Invalid Security</v>
      </c>
      <c r="Z97" s="27" t="str">
        <f>_xll.BDH(J207,$P$3,$P$2,$P$2)</f>
        <v>#N/A Invalid Security</v>
      </c>
      <c r="AA97" s="27" t="str">
        <f>_xll.BDH(K207,$P$3,$P$2,$P$2)</f>
        <v>#N/A Invalid Security</v>
      </c>
      <c r="AB97" s="57" t="str">
        <f>_xll.BDH(L207,$P$3,$P$2,$P$2)</f>
        <v>#N/A Invalid Security</v>
      </c>
      <c r="AC97" s="1" t="str">
        <f>_xll.BDH(M207,$P$3,$P$2,$P$2)</f>
        <v>#N/A Invalid Security</v>
      </c>
      <c r="AD97" s="1" t="str">
        <f>_xll.BDH(N207,$P$3,$P$2,$P$2)</f>
        <v>#N/A Invalid Security</v>
      </c>
    </row>
    <row r="98" spans="1:30" ht="16.5" x14ac:dyDescent="0.3">
      <c r="A98" s="38" t="s">
        <v>1937</v>
      </c>
      <c r="B98" s="38" t="s">
        <v>1938</v>
      </c>
      <c r="C98" s="38" t="s">
        <v>1939</v>
      </c>
      <c r="D98" s="38" t="s">
        <v>1940</v>
      </c>
      <c r="E98" s="38" t="s">
        <v>1941</v>
      </c>
      <c r="F98" s="38" t="s">
        <v>1942</v>
      </c>
      <c r="G98" s="38" t="s">
        <v>1943</v>
      </c>
      <c r="H98" s="38" t="s">
        <v>1944</v>
      </c>
      <c r="I98" s="38" t="s">
        <v>1945</v>
      </c>
      <c r="J98" s="38" t="s">
        <v>1946</v>
      </c>
      <c r="K98" s="38" t="s">
        <v>1947</v>
      </c>
      <c r="L98" s="38" t="s">
        <v>1948</v>
      </c>
      <c r="M98" s="38" t="s">
        <v>1949</v>
      </c>
      <c r="N98" s="38" t="s">
        <v>1950</v>
      </c>
      <c r="Q98" s="38" t="s">
        <v>1937</v>
      </c>
      <c r="R98" s="1" t="str">
        <f>_xll.BDH(B208,$P$3,$P$2,$P$2)</f>
        <v>#N/A Invalid Security</v>
      </c>
      <c r="S98" s="1" t="str">
        <f>_xll.BDH(C208,$P$3,$P$2,$P$2)</f>
        <v>#N/A Invalid Security</v>
      </c>
      <c r="T98" s="1" t="str">
        <f>_xll.BDH(D208,$P$3,$P$2,$P$2)</f>
        <v>#N/A Invalid Security</v>
      </c>
      <c r="U98" s="1" t="str">
        <f>_xll.BDH(E208,$P$3,$P$2,$P$2)</f>
        <v>#N/A Invalid Security</v>
      </c>
      <c r="V98" s="16" t="str">
        <f>_xll.BDH(F208,$P$3,$P$2,$P$2)</f>
        <v>#N/A Invalid Security</v>
      </c>
      <c r="W98" s="27" t="str">
        <f>_xll.BDH(G208,$P$3,$P$2,$P$2)</f>
        <v>#N/A Invalid Security</v>
      </c>
      <c r="X98" s="27" t="str">
        <f>_xll.BDH(H208,$P$3,$P$2,$P$2)</f>
        <v>#N/A Invalid Security</v>
      </c>
      <c r="Y98" s="27" t="str">
        <f>_xll.BDH(I208,$P$3,$P$2,$P$2)</f>
        <v>#N/A Invalid Security</v>
      </c>
      <c r="Z98" s="27" t="str">
        <f>_xll.BDH(J208,$P$3,$P$2,$P$2)</f>
        <v>#N/A Invalid Security</v>
      </c>
      <c r="AA98" s="27" t="str">
        <f>_xll.BDH(K208,$P$3,$P$2,$P$2)</f>
        <v>#N/A Invalid Security</v>
      </c>
      <c r="AB98" s="57" t="str">
        <f>_xll.BDH(L208,$P$3,$P$2,$P$2)</f>
        <v>#N/A Invalid Security</v>
      </c>
      <c r="AC98" s="1" t="str">
        <f>_xll.BDH(M208,$P$3,$P$2,$P$2)</f>
        <v>#N/A Invalid Security</v>
      </c>
      <c r="AD98" s="1" t="str">
        <f>_xll.BDH(N208,$P$3,$P$2,$P$2)</f>
        <v>#N/A Invalid Security</v>
      </c>
    </row>
    <row r="99" spans="1:30" ht="16.5" x14ac:dyDescent="0.3">
      <c r="A99" s="38" t="s">
        <v>1951</v>
      </c>
      <c r="B99" s="38" t="s">
        <v>1952</v>
      </c>
      <c r="C99" s="38" t="s">
        <v>1953</v>
      </c>
      <c r="D99" s="38" t="s">
        <v>1954</v>
      </c>
      <c r="E99" s="38" t="s">
        <v>1955</v>
      </c>
      <c r="F99" s="38" t="s">
        <v>1956</v>
      </c>
      <c r="G99" s="38" t="s">
        <v>1957</v>
      </c>
      <c r="H99" s="38" t="s">
        <v>1958</v>
      </c>
      <c r="I99" s="38" t="s">
        <v>1959</v>
      </c>
      <c r="J99" s="38" t="s">
        <v>1960</v>
      </c>
      <c r="K99" s="38" t="s">
        <v>1961</v>
      </c>
      <c r="L99" s="38" t="s">
        <v>1962</v>
      </c>
      <c r="M99" s="38" t="s">
        <v>1963</v>
      </c>
      <c r="N99" s="38" t="s">
        <v>1964</v>
      </c>
      <c r="Q99" s="38" t="s">
        <v>1951</v>
      </c>
      <c r="R99" s="1" t="str">
        <f>_xll.BDH(B209,$P$3,$P$2,$P$2)</f>
        <v>#N/A Invalid Security</v>
      </c>
      <c r="S99" s="1" t="str">
        <f>_xll.BDH(C209,$P$3,$P$2,$P$2)</f>
        <v>#N/A Invalid Security</v>
      </c>
      <c r="T99" s="1" t="str">
        <f>_xll.BDH(D209,$P$3,$P$2,$P$2)</f>
        <v>#N/A Invalid Security</v>
      </c>
      <c r="U99" s="1" t="str">
        <f>_xll.BDH(E209,$P$3,$P$2,$P$2)</f>
        <v>#N/A Invalid Security</v>
      </c>
      <c r="V99" s="16" t="str">
        <f>_xll.BDH(F209,$P$3,$P$2,$P$2)</f>
        <v>#N/A Invalid Security</v>
      </c>
      <c r="W99" s="27" t="str">
        <f>_xll.BDH(G209,$P$3,$P$2,$P$2)</f>
        <v>#N/A Invalid Security</v>
      </c>
      <c r="X99" s="27" t="str">
        <f>_xll.BDH(H209,$P$3,$P$2,$P$2)</f>
        <v>#N/A Invalid Security</v>
      </c>
      <c r="Y99" s="27" t="str">
        <f>_xll.BDH(I209,$P$3,$P$2,$P$2)</f>
        <v>#N/A Invalid Security</v>
      </c>
      <c r="Z99" s="27" t="str">
        <f>_xll.BDH(J209,$P$3,$P$2,$P$2)</f>
        <v>#N/A Invalid Security</v>
      </c>
      <c r="AA99" s="27" t="str">
        <f>_xll.BDH(K209,$P$3,$P$2,$P$2)</f>
        <v>#N/A Invalid Security</v>
      </c>
      <c r="AB99" s="57" t="str">
        <f>_xll.BDH(L209,$P$3,$P$2,$P$2)</f>
        <v>#N/A Invalid Security</v>
      </c>
      <c r="AC99" s="1" t="str">
        <f>_xll.BDH(M209,$P$3,$P$2,$P$2)</f>
        <v>#N/A Invalid Security</v>
      </c>
      <c r="AD99" s="1" t="str">
        <f>_xll.BDH(N209,$P$3,$P$2,$P$2)</f>
        <v>#N/A Invalid Security</v>
      </c>
    </row>
    <row r="100" spans="1:30" ht="16.5" x14ac:dyDescent="0.3">
      <c r="A100" s="38" t="s">
        <v>1965</v>
      </c>
      <c r="B100" s="38" t="s">
        <v>1966</v>
      </c>
      <c r="C100" s="38" t="s">
        <v>1967</v>
      </c>
      <c r="D100" s="38" t="s">
        <v>1968</v>
      </c>
      <c r="E100" s="38" t="s">
        <v>1969</v>
      </c>
      <c r="F100" s="38" t="s">
        <v>1970</v>
      </c>
      <c r="G100" s="38" t="s">
        <v>1971</v>
      </c>
      <c r="H100" s="38" t="s">
        <v>1972</v>
      </c>
      <c r="I100" s="38" t="s">
        <v>1973</v>
      </c>
      <c r="J100" s="38" t="s">
        <v>1974</v>
      </c>
      <c r="K100" s="38" t="s">
        <v>1975</v>
      </c>
      <c r="L100" s="38" t="s">
        <v>1976</v>
      </c>
      <c r="M100" s="38" t="s">
        <v>1977</v>
      </c>
      <c r="N100" s="38" t="s">
        <v>1978</v>
      </c>
      <c r="Q100" s="38" t="s">
        <v>1965</v>
      </c>
      <c r="R100" s="1" t="str">
        <f>_xll.BDH(B210,$P$3,$P$2,$P$2)</f>
        <v>#N/A Invalid Security</v>
      </c>
      <c r="S100" s="1" t="str">
        <f>_xll.BDH(C210,$P$3,$P$2,$P$2)</f>
        <v>#N/A Invalid Security</v>
      </c>
      <c r="T100" s="1" t="str">
        <f>_xll.BDH(D210,$P$3,$P$2,$P$2)</f>
        <v>#N/A Invalid Security</v>
      </c>
      <c r="U100" s="1" t="str">
        <f>_xll.BDH(E210,$P$3,$P$2,$P$2)</f>
        <v>#N/A Invalid Security</v>
      </c>
      <c r="V100" s="16" t="str">
        <f>_xll.BDH(F210,$P$3,$P$2,$P$2)</f>
        <v>#N/A Invalid Security</v>
      </c>
      <c r="W100" s="27" t="str">
        <f>_xll.BDH(G210,$P$3,$P$2,$P$2)</f>
        <v>#N/A Invalid Security</v>
      </c>
      <c r="X100" s="27" t="str">
        <f>_xll.BDH(H210,$P$3,$P$2,$P$2)</f>
        <v>#N/A Invalid Security</v>
      </c>
      <c r="Y100" s="27" t="str">
        <f>_xll.BDH(I210,$P$3,$P$2,$P$2)</f>
        <v>#N/A Invalid Security</v>
      </c>
      <c r="Z100" s="27" t="str">
        <f>_xll.BDH(J210,$P$3,$P$2,$P$2)</f>
        <v>#N/A Invalid Security</v>
      </c>
      <c r="AA100" s="27" t="str">
        <f>_xll.BDH(K210,$P$3,$P$2,$P$2)</f>
        <v>#N/A Invalid Security</v>
      </c>
      <c r="AB100" s="57" t="str">
        <f>_xll.BDH(L210,$P$3,$P$2,$P$2)</f>
        <v>#N/A Invalid Security</v>
      </c>
      <c r="AC100" s="1" t="str">
        <f>_xll.BDH(M210,$P$3,$P$2,$P$2)</f>
        <v>#N/A Invalid Security</v>
      </c>
      <c r="AD100" s="1" t="str">
        <f>_xll.BDH(N210,$P$3,$P$2,$P$2)</f>
        <v>#N/A Invalid Security</v>
      </c>
    </row>
    <row r="101" spans="1:30" ht="16.5" x14ac:dyDescent="0.3">
      <c r="A101" s="38" t="s">
        <v>1979</v>
      </c>
      <c r="B101" s="38" t="s">
        <v>1980</v>
      </c>
      <c r="C101" s="38" t="s">
        <v>1981</v>
      </c>
      <c r="D101" s="38" t="s">
        <v>1982</v>
      </c>
      <c r="E101" s="38" t="s">
        <v>1983</v>
      </c>
      <c r="F101" s="38" t="s">
        <v>1984</v>
      </c>
      <c r="G101" s="38" t="s">
        <v>1985</v>
      </c>
      <c r="H101" s="38" t="s">
        <v>1986</v>
      </c>
      <c r="I101" s="38" t="s">
        <v>1987</v>
      </c>
      <c r="J101" s="38" t="s">
        <v>1988</v>
      </c>
      <c r="K101" s="38" t="s">
        <v>1989</v>
      </c>
      <c r="L101" s="38" t="s">
        <v>1990</v>
      </c>
      <c r="M101" s="38" t="s">
        <v>1991</v>
      </c>
      <c r="N101" s="38" t="s">
        <v>1992</v>
      </c>
      <c r="Q101" s="38" t="s">
        <v>1979</v>
      </c>
      <c r="R101" s="1" t="str">
        <f>_xll.BDH(B211,$P$3,$P$2,$P$2)</f>
        <v>#N/A Invalid Security</v>
      </c>
      <c r="S101" s="1" t="str">
        <f>_xll.BDH(C211,$P$3,$P$2,$P$2)</f>
        <v>#N/A Invalid Security</v>
      </c>
      <c r="T101" s="1" t="str">
        <f>_xll.BDH(D211,$P$3,$P$2,$P$2)</f>
        <v>#N/A Invalid Security</v>
      </c>
      <c r="U101" s="1" t="str">
        <f>_xll.BDH(E211,$P$3,$P$2,$P$2)</f>
        <v>#N/A Invalid Security</v>
      </c>
      <c r="V101" s="16" t="str">
        <f>_xll.BDH(F211,$P$3,$P$2,$P$2)</f>
        <v>#N/A Invalid Security</v>
      </c>
      <c r="W101" s="27" t="str">
        <f>_xll.BDH(G211,$P$3,$P$2,$P$2)</f>
        <v>#N/A Invalid Security</v>
      </c>
      <c r="X101" s="27" t="str">
        <f>_xll.BDH(H211,$P$3,$P$2,$P$2)</f>
        <v>#N/A Invalid Security</v>
      </c>
      <c r="Y101" s="27" t="str">
        <f>_xll.BDH(I211,$P$3,$P$2,$P$2)</f>
        <v>#N/A Invalid Security</v>
      </c>
      <c r="Z101" s="27" t="str">
        <f>_xll.BDH(J211,$P$3,$P$2,$P$2)</f>
        <v>#N/A Invalid Security</v>
      </c>
      <c r="AA101" s="27" t="str">
        <f>_xll.BDH(K211,$P$3,$P$2,$P$2)</f>
        <v>#N/A Invalid Security</v>
      </c>
      <c r="AB101" s="57" t="str">
        <f>_xll.BDH(L211,$P$3,$P$2,$P$2)</f>
        <v>#N/A Invalid Security</v>
      </c>
      <c r="AC101" s="1" t="str">
        <f>_xll.BDH(M211,$P$3,$P$2,$P$2)</f>
        <v>#N/A Invalid Security</v>
      </c>
      <c r="AD101" s="1" t="str">
        <f>_xll.BDH(N211,$P$3,$P$2,$P$2)</f>
        <v>#N/A Invalid Security</v>
      </c>
    </row>
    <row r="102" spans="1:30" ht="16.5" x14ac:dyDescent="0.3">
      <c r="A102" s="38" t="s">
        <v>1993</v>
      </c>
      <c r="B102" s="38" t="s">
        <v>1994</v>
      </c>
      <c r="C102" s="38" t="s">
        <v>1995</v>
      </c>
      <c r="D102" s="38" t="s">
        <v>1996</v>
      </c>
      <c r="E102" s="38" t="s">
        <v>1997</v>
      </c>
      <c r="F102" s="38" t="s">
        <v>1998</v>
      </c>
      <c r="G102" s="38" t="s">
        <v>1999</v>
      </c>
      <c r="H102" s="38" t="s">
        <v>2000</v>
      </c>
      <c r="I102" s="38" t="s">
        <v>2001</v>
      </c>
      <c r="J102" s="38" t="s">
        <v>2002</v>
      </c>
      <c r="K102" s="38" t="s">
        <v>2003</v>
      </c>
      <c r="L102" s="38" t="s">
        <v>2004</v>
      </c>
      <c r="M102" s="38" t="s">
        <v>2005</v>
      </c>
      <c r="N102" s="38" t="s">
        <v>2006</v>
      </c>
      <c r="Q102" s="38" t="s">
        <v>1993</v>
      </c>
      <c r="R102" s="1" t="str">
        <f>_xll.BDH(B212,$P$3,$P$2,$P$2)</f>
        <v>#N/A Invalid Security</v>
      </c>
      <c r="S102" s="1" t="str">
        <f>_xll.BDH(C212,$P$3,$P$2,$P$2)</f>
        <v>#N/A Invalid Security</v>
      </c>
      <c r="T102" s="1" t="str">
        <f>_xll.BDH(D212,$P$3,$P$2,$P$2)</f>
        <v>#N/A Invalid Security</v>
      </c>
      <c r="U102" s="1" t="str">
        <f>_xll.BDH(E212,$P$3,$P$2,$P$2)</f>
        <v>#N/A Invalid Security</v>
      </c>
      <c r="V102" s="16" t="str">
        <f>_xll.BDH(F212,$P$3,$P$2,$P$2)</f>
        <v>#N/A Invalid Security</v>
      </c>
      <c r="W102" s="27" t="str">
        <f>_xll.BDH(G212,$P$3,$P$2,$P$2)</f>
        <v>#N/A Invalid Security</v>
      </c>
      <c r="X102" s="27" t="str">
        <f>_xll.BDH(H212,$P$3,$P$2,$P$2)</f>
        <v>#N/A Invalid Security</v>
      </c>
      <c r="Y102" s="27" t="str">
        <f>_xll.BDH(I212,$P$3,$P$2,$P$2)</f>
        <v>#N/A Invalid Security</v>
      </c>
      <c r="Z102" s="27" t="str">
        <f>_xll.BDH(J212,$P$3,$P$2,$P$2)</f>
        <v>#N/A Invalid Security</v>
      </c>
      <c r="AA102" s="27" t="str">
        <f>_xll.BDH(K212,$P$3,$P$2,$P$2)</f>
        <v>#N/A Invalid Security</v>
      </c>
      <c r="AB102" s="57" t="str">
        <f>_xll.BDH(L212,$P$3,$P$2,$P$2)</f>
        <v>#N/A Invalid Security</v>
      </c>
      <c r="AC102" s="1" t="str">
        <f>_xll.BDH(M212,$P$3,$P$2,$P$2)</f>
        <v>#N/A Invalid Security</v>
      </c>
      <c r="AD102" s="1" t="str">
        <f>_xll.BDH(N212,$P$3,$P$2,$P$2)</f>
        <v>#N/A Invalid Security</v>
      </c>
    </row>
    <row r="103" spans="1:30" ht="16.5" x14ac:dyDescent="0.3">
      <c r="A103" s="38" t="s">
        <v>2007</v>
      </c>
      <c r="B103" s="38" t="s">
        <v>2008</v>
      </c>
      <c r="C103" s="38" t="s">
        <v>2009</v>
      </c>
      <c r="D103" s="38" t="s">
        <v>2010</v>
      </c>
      <c r="E103" s="38" t="s">
        <v>2011</v>
      </c>
      <c r="F103" s="38" t="s">
        <v>2012</v>
      </c>
      <c r="G103" s="38" t="s">
        <v>2013</v>
      </c>
      <c r="H103" s="38" t="s">
        <v>2014</v>
      </c>
      <c r="I103" s="38" t="s">
        <v>2015</v>
      </c>
      <c r="J103" s="38" t="s">
        <v>2016</v>
      </c>
      <c r="K103" s="38" t="s">
        <v>2017</v>
      </c>
      <c r="L103" s="38" t="s">
        <v>2018</v>
      </c>
      <c r="M103" s="38" t="s">
        <v>2019</v>
      </c>
      <c r="N103" s="38" t="s">
        <v>2020</v>
      </c>
      <c r="Q103" s="38" t="s">
        <v>2007</v>
      </c>
      <c r="R103" s="1" t="str">
        <f>_xll.BDH(B213,$P$3,$P$2,$P$2)</f>
        <v>#N/A Invalid Security</v>
      </c>
      <c r="S103" s="1" t="str">
        <f>_xll.BDH(C213,$P$3,$P$2,$P$2)</f>
        <v>#N/A Invalid Security</v>
      </c>
      <c r="T103" s="1" t="str">
        <f>_xll.BDH(D213,$P$3,$P$2,$P$2)</f>
        <v>#N/A Invalid Security</v>
      </c>
      <c r="U103" s="1" t="str">
        <f>_xll.BDH(E213,$P$3,$P$2,$P$2)</f>
        <v>#N/A Invalid Security</v>
      </c>
      <c r="V103" s="16" t="str">
        <f>_xll.BDH(F213,$P$3,$P$2,$P$2)</f>
        <v>#N/A Invalid Security</v>
      </c>
      <c r="W103" s="27" t="str">
        <f>_xll.BDH(G213,$P$3,$P$2,$P$2)</f>
        <v>#N/A Invalid Security</v>
      </c>
      <c r="X103" s="27" t="str">
        <f>_xll.BDH(H213,$P$3,$P$2,$P$2)</f>
        <v>#N/A Invalid Security</v>
      </c>
      <c r="Y103" s="27" t="str">
        <f>_xll.BDH(I213,$P$3,$P$2,$P$2)</f>
        <v>#N/A Invalid Security</v>
      </c>
      <c r="Z103" s="27" t="str">
        <f>_xll.BDH(J213,$P$3,$P$2,$P$2)</f>
        <v>#N/A Invalid Security</v>
      </c>
      <c r="AA103" s="27" t="str">
        <f>_xll.BDH(K213,$P$3,$P$2,$P$2)</f>
        <v>#N/A Invalid Security</v>
      </c>
      <c r="AB103" s="57" t="str">
        <f>_xll.BDH(L213,$P$3,$P$2,$P$2)</f>
        <v>#N/A Invalid Security</v>
      </c>
      <c r="AC103" s="1" t="str">
        <f>_xll.BDH(M213,$P$3,$P$2,$P$2)</f>
        <v>#N/A Invalid Security</v>
      </c>
      <c r="AD103" s="1" t="str">
        <f>_xll.BDH(N213,$P$3,$P$2,$P$2)</f>
        <v>#N/A Invalid Security</v>
      </c>
    </row>
    <row r="104" spans="1:30" ht="16.5" x14ac:dyDescent="0.3">
      <c r="A104" s="38" t="s">
        <v>2021</v>
      </c>
      <c r="B104" s="38" t="s">
        <v>2022</v>
      </c>
      <c r="C104" s="38" t="s">
        <v>2023</v>
      </c>
      <c r="D104" s="38" t="s">
        <v>2024</v>
      </c>
      <c r="E104" s="38" t="s">
        <v>2025</v>
      </c>
      <c r="F104" s="38" t="s">
        <v>2026</v>
      </c>
      <c r="G104" s="38" t="s">
        <v>2027</v>
      </c>
      <c r="H104" s="38" t="s">
        <v>2028</v>
      </c>
      <c r="I104" s="38" t="s">
        <v>2029</v>
      </c>
      <c r="J104" s="38" t="s">
        <v>2030</v>
      </c>
      <c r="K104" s="38" t="s">
        <v>2031</v>
      </c>
      <c r="L104" s="38" t="s">
        <v>2032</v>
      </c>
      <c r="M104" s="38" t="s">
        <v>2033</v>
      </c>
      <c r="N104" s="38" t="s">
        <v>2034</v>
      </c>
      <c r="Q104" s="38" t="s">
        <v>2021</v>
      </c>
      <c r="R104" s="1" t="str">
        <f>_xll.BDH(B214,$P$3,$P$2,$P$2)</f>
        <v>#N/A Invalid Security</v>
      </c>
      <c r="S104" s="1" t="str">
        <f>_xll.BDH(C214,$P$3,$P$2,$P$2)</f>
        <v>#N/A Invalid Security</v>
      </c>
      <c r="T104" s="1" t="str">
        <f>_xll.BDH(D214,$P$3,$P$2,$P$2)</f>
        <v>#N/A Invalid Security</v>
      </c>
      <c r="U104" s="1" t="str">
        <f>_xll.BDH(E214,$P$3,$P$2,$P$2)</f>
        <v>#N/A Invalid Security</v>
      </c>
      <c r="V104" s="16" t="str">
        <f>_xll.BDH(F214,$P$3,$P$2,$P$2)</f>
        <v>#N/A Invalid Security</v>
      </c>
      <c r="W104" s="27" t="str">
        <f>_xll.BDH(G214,$P$3,$P$2,$P$2)</f>
        <v>#N/A Invalid Security</v>
      </c>
      <c r="X104" s="27" t="str">
        <f>_xll.BDH(H214,$P$3,$P$2,$P$2)</f>
        <v>#N/A Invalid Security</v>
      </c>
      <c r="Y104" s="27" t="str">
        <f>_xll.BDH(I214,$P$3,$P$2,$P$2)</f>
        <v>#N/A Invalid Security</v>
      </c>
      <c r="Z104" s="27" t="str">
        <f>_xll.BDH(J214,$P$3,$P$2,$P$2)</f>
        <v>#N/A Invalid Security</v>
      </c>
      <c r="AA104" s="27" t="str">
        <f>_xll.BDH(K214,$P$3,$P$2,$P$2)</f>
        <v>#N/A Invalid Security</v>
      </c>
      <c r="AB104" s="57" t="str">
        <f>_xll.BDH(L214,$P$3,$P$2,$P$2)</f>
        <v>#N/A Invalid Security</v>
      </c>
      <c r="AC104" s="1" t="str">
        <f>_xll.BDH(M214,$P$3,$P$2,$P$2)</f>
        <v>#N/A Invalid Security</v>
      </c>
      <c r="AD104" s="1" t="str">
        <f>_xll.BDH(N214,$P$3,$P$2,$P$2)</f>
        <v>#N/A Invalid Security</v>
      </c>
    </row>
    <row r="105" spans="1:30" ht="16.5" x14ac:dyDescent="0.3">
      <c r="A105" s="38" t="s">
        <v>2035</v>
      </c>
      <c r="B105" s="38" t="s">
        <v>2036</v>
      </c>
      <c r="C105" s="38" t="s">
        <v>2037</v>
      </c>
      <c r="D105" s="38" t="s">
        <v>2038</v>
      </c>
      <c r="E105" s="38" t="s">
        <v>2039</v>
      </c>
      <c r="F105" s="38" t="s">
        <v>2040</v>
      </c>
      <c r="G105" s="38" t="s">
        <v>2041</v>
      </c>
      <c r="H105" s="38" t="s">
        <v>2042</v>
      </c>
      <c r="I105" s="38" t="s">
        <v>2043</v>
      </c>
      <c r="J105" s="38" t="s">
        <v>2044</v>
      </c>
      <c r="K105" s="38" t="s">
        <v>2045</v>
      </c>
      <c r="L105" s="38" t="s">
        <v>2046</v>
      </c>
      <c r="M105" s="38" t="s">
        <v>2047</v>
      </c>
      <c r="N105" s="38" t="s">
        <v>2048</v>
      </c>
      <c r="Q105" s="38" t="s">
        <v>2035</v>
      </c>
      <c r="R105" s="1" t="str">
        <f>_xll.BDH(B215,$P$3,$P$2,$P$2)</f>
        <v>#N/A Invalid Security</v>
      </c>
      <c r="S105" s="1" t="str">
        <f>_xll.BDH(C215,$P$3,$P$2,$P$2)</f>
        <v>#N/A Invalid Security</v>
      </c>
      <c r="T105" s="1" t="str">
        <f>_xll.BDH(D215,$P$3,$P$2,$P$2)</f>
        <v>#N/A Invalid Security</v>
      </c>
      <c r="U105" s="1" t="str">
        <f>_xll.BDH(E215,$P$3,$P$2,$P$2)</f>
        <v>#N/A Invalid Security</v>
      </c>
      <c r="V105" s="16" t="str">
        <f>_xll.BDH(F215,$P$3,$P$2,$P$2)</f>
        <v>#N/A Invalid Security</v>
      </c>
      <c r="W105" s="27" t="str">
        <f>_xll.BDH(G215,$P$3,$P$2,$P$2)</f>
        <v>#N/A Invalid Security</v>
      </c>
      <c r="X105" s="27" t="str">
        <f>_xll.BDH(H215,$P$3,$P$2,$P$2)</f>
        <v>#N/A Invalid Security</v>
      </c>
      <c r="Y105" s="27" t="str">
        <f>_xll.BDH(I215,$P$3,$P$2,$P$2)</f>
        <v>#N/A Invalid Security</v>
      </c>
      <c r="Z105" s="27" t="str">
        <f>_xll.BDH(J215,$P$3,$P$2,$P$2)</f>
        <v>#N/A Invalid Security</v>
      </c>
      <c r="AA105" s="27" t="str">
        <f>_xll.BDH(K215,$P$3,$P$2,$P$2)</f>
        <v>#N/A Invalid Security</v>
      </c>
      <c r="AB105" s="57" t="str">
        <f>_xll.BDH(L215,$P$3,$P$2,$P$2)</f>
        <v>#N/A Invalid Security</v>
      </c>
      <c r="AC105" s="1" t="str">
        <f>_xll.BDH(M215,$P$3,$P$2,$P$2)</f>
        <v>#N/A Invalid Security</v>
      </c>
      <c r="AD105" s="1" t="str">
        <f>_xll.BDH(N215,$P$3,$P$2,$P$2)</f>
        <v>#N/A Invalid Security</v>
      </c>
    </row>
    <row r="106" spans="1:30" ht="16.5" x14ac:dyDescent="0.3">
      <c r="A106" s="38" t="s">
        <v>2049</v>
      </c>
      <c r="B106" s="38" t="s">
        <v>2050</v>
      </c>
      <c r="C106" s="38" t="s">
        <v>2051</v>
      </c>
      <c r="D106" s="38" t="s">
        <v>2052</v>
      </c>
      <c r="E106" s="38" t="s">
        <v>2053</v>
      </c>
      <c r="F106" s="38" t="s">
        <v>2054</v>
      </c>
      <c r="G106" s="38" t="s">
        <v>2055</v>
      </c>
      <c r="H106" s="38" t="s">
        <v>2056</v>
      </c>
      <c r="I106" s="38" t="s">
        <v>2057</v>
      </c>
      <c r="J106" s="38" t="s">
        <v>2058</v>
      </c>
      <c r="K106" s="38" t="s">
        <v>2059</v>
      </c>
      <c r="L106" s="38" t="s">
        <v>2060</v>
      </c>
      <c r="M106" s="38" t="s">
        <v>2061</v>
      </c>
      <c r="N106" s="38" t="s">
        <v>2062</v>
      </c>
      <c r="Q106" s="38" t="s">
        <v>2049</v>
      </c>
      <c r="R106" s="1" t="str">
        <f>_xll.BDH(B216,$P$3,$P$2,$P$2)</f>
        <v>#N/A Invalid Security</v>
      </c>
      <c r="S106" s="1" t="str">
        <f>_xll.BDH(C216,$P$3,$P$2,$P$2)</f>
        <v>#N/A Invalid Security</v>
      </c>
      <c r="T106" s="1" t="str">
        <f>_xll.BDH(D216,$P$3,$P$2,$P$2)</f>
        <v>#N/A Invalid Security</v>
      </c>
      <c r="U106" s="1" t="str">
        <f>_xll.BDH(E216,$P$3,$P$2,$P$2)</f>
        <v>#N/A Invalid Security</v>
      </c>
      <c r="V106" s="16" t="str">
        <f>_xll.BDH(F216,$P$3,$P$2,$P$2)</f>
        <v>#N/A Invalid Security</v>
      </c>
      <c r="W106" s="27" t="str">
        <f>_xll.BDH(G216,$P$3,$P$2,$P$2)</f>
        <v>#N/A Invalid Security</v>
      </c>
      <c r="X106" s="27" t="str">
        <f>_xll.BDH(H216,$P$3,$P$2,$P$2)</f>
        <v>#N/A Invalid Security</v>
      </c>
      <c r="Y106" s="27" t="str">
        <f>_xll.BDH(I216,$P$3,$P$2,$P$2)</f>
        <v>#N/A Invalid Security</v>
      </c>
      <c r="Z106" s="27" t="str">
        <f>_xll.BDH(J216,$P$3,$P$2,$P$2)</f>
        <v>#N/A Invalid Security</v>
      </c>
      <c r="AA106" s="27" t="str">
        <f>_xll.BDH(K216,$P$3,$P$2,$P$2)</f>
        <v>#N/A Invalid Security</v>
      </c>
      <c r="AB106" s="57" t="str">
        <f>_xll.BDH(L216,$P$3,$P$2,$P$2)</f>
        <v>#N/A Invalid Security</v>
      </c>
      <c r="AC106" s="1" t="str">
        <f>_xll.BDH(M216,$P$3,$P$2,$P$2)</f>
        <v>#N/A Invalid Security</v>
      </c>
      <c r="AD106" s="1" t="str">
        <f>_xll.BDH(N216,$P$3,$P$2,$P$2)</f>
        <v>#N/A Invalid Security</v>
      </c>
    </row>
    <row r="107" spans="1:30" ht="16.5" x14ac:dyDescent="0.3">
      <c r="A107" s="38" t="s">
        <v>2063</v>
      </c>
      <c r="B107" s="38" t="s">
        <v>2064</v>
      </c>
      <c r="C107" s="38" t="s">
        <v>2065</v>
      </c>
      <c r="D107" s="38" t="s">
        <v>2066</v>
      </c>
      <c r="E107" s="38" t="s">
        <v>2067</v>
      </c>
      <c r="F107" s="38" t="s">
        <v>2068</v>
      </c>
      <c r="G107" s="38" t="s">
        <v>2069</v>
      </c>
      <c r="H107" s="38" t="s">
        <v>2070</v>
      </c>
      <c r="I107" s="38" t="s">
        <v>2071</v>
      </c>
      <c r="J107" s="38" t="s">
        <v>2072</v>
      </c>
      <c r="K107" s="38" t="s">
        <v>2073</v>
      </c>
      <c r="L107" s="38" t="s">
        <v>2074</v>
      </c>
      <c r="M107" s="38" t="s">
        <v>2075</v>
      </c>
      <c r="N107" s="38" t="s">
        <v>2076</v>
      </c>
      <c r="Q107" s="38" t="s">
        <v>2063</v>
      </c>
      <c r="R107" s="1" t="str">
        <f>_xll.BDH(B217,$P$3,$P$2,$P$2)</f>
        <v>#N/A Invalid Security</v>
      </c>
      <c r="S107" s="1" t="str">
        <f>_xll.BDH(C217,$P$3,$P$2,$P$2)</f>
        <v>#N/A Invalid Security</v>
      </c>
      <c r="T107" s="1" t="str">
        <f>_xll.BDH(D217,$P$3,$P$2,$P$2)</f>
        <v>#N/A Invalid Security</v>
      </c>
      <c r="U107" s="1" t="str">
        <f>_xll.BDH(E217,$P$3,$P$2,$P$2)</f>
        <v>#N/A Invalid Security</v>
      </c>
      <c r="V107" s="16" t="str">
        <f>_xll.BDH(F217,$P$3,$P$2,$P$2)</f>
        <v>#N/A Invalid Security</v>
      </c>
      <c r="W107" s="27" t="str">
        <f>_xll.BDH(G217,$P$3,$P$2,$P$2)</f>
        <v>#N/A Invalid Security</v>
      </c>
      <c r="X107" s="27" t="str">
        <f>_xll.BDH(H217,$P$3,$P$2,$P$2)</f>
        <v>#N/A Invalid Security</v>
      </c>
      <c r="Y107" s="27" t="str">
        <f>_xll.BDH(I217,$P$3,$P$2,$P$2)</f>
        <v>#N/A Invalid Security</v>
      </c>
      <c r="Z107" s="27" t="str">
        <f>_xll.BDH(J217,$P$3,$P$2,$P$2)</f>
        <v>#N/A Invalid Security</v>
      </c>
      <c r="AA107" s="27" t="str">
        <f>_xll.BDH(K217,$P$3,$P$2,$P$2)</f>
        <v>#N/A Invalid Security</v>
      </c>
      <c r="AB107" s="57" t="str">
        <f>_xll.BDH(L217,$P$3,$P$2,$P$2)</f>
        <v>#N/A Invalid Security</v>
      </c>
      <c r="AC107" s="1" t="str">
        <f>_xll.BDH(M217,$P$3,$P$2,$P$2)</f>
        <v>#N/A Invalid Security</v>
      </c>
      <c r="AD107" s="1" t="str">
        <f>_xll.BDH(N217,$P$3,$P$2,$P$2)</f>
        <v>#N/A Invalid Security</v>
      </c>
    </row>
    <row r="108" spans="1:30" ht="16.5" x14ac:dyDescent="0.3">
      <c r="A108" s="38" t="s">
        <v>2077</v>
      </c>
      <c r="B108" s="38" t="s">
        <v>2078</v>
      </c>
      <c r="C108" s="38" t="s">
        <v>2079</v>
      </c>
      <c r="D108" s="38" t="s">
        <v>2080</v>
      </c>
      <c r="E108" s="38" t="s">
        <v>2081</v>
      </c>
      <c r="F108" s="38" t="s">
        <v>2082</v>
      </c>
      <c r="G108" s="38" t="s">
        <v>2083</v>
      </c>
      <c r="H108" s="38" t="s">
        <v>2084</v>
      </c>
      <c r="I108" s="38" t="s">
        <v>2085</v>
      </c>
      <c r="J108" s="38" t="s">
        <v>2086</v>
      </c>
      <c r="K108" s="38" t="s">
        <v>2087</v>
      </c>
      <c r="L108" s="38" t="s">
        <v>2088</v>
      </c>
      <c r="M108" s="38" t="s">
        <v>2089</v>
      </c>
      <c r="N108" s="38" t="s">
        <v>2090</v>
      </c>
      <c r="Q108" s="38" t="s">
        <v>2077</v>
      </c>
      <c r="R108" s="1" t="str">
        <f>_xll.BDH(B218,$P$3,$P$2,$P$2)</f>
        <v>#N/A Invalid Security</v>
      </c>
      <c r="S108" s="1" t="str">
        <f>_xll.BDH(C218,$P$3,$P$2,$P$2)</f>
        <v>#N/A Invalid Security</v>
      </c>
      <c r="T108" s="1" t="str">
        <f>_xll.BDH(D218,$P$3,$P$2,$P$2)</f>
        <v>#N/A Invalid Security</v>
      </c>
      <c r="U108" s="1" t="str">
        <f>_xll.BDH(E218,$P$3,$P$2,$P$2)</f>
        <v>#N/A Invalid Security</v>
      </c>
      <c r="V108" s="16" t="str">
        <f>_xll.BDH(F218,$P$3,$P$2,$P$2)</f>
        <v>#N/A Invalid Security</v>
      </c>
      <c r="W108" s="27" t="str">
        <f>_xll.BDH(G218,$P$3,$P$2,$P$2)</f>
        <v>#N/A Invalid Security</v>
      </c>
      <c r="X108" s="27" t="str">
        <f>_xll.BDH(H218,$P$3,$P$2,$P$2)</f>
        <v>#N/A Invalid Security</v>
      </c>
      <c r="Y108" s="27" t="str">
        <f>_xll.BDH(I218,$P$3,$P$2,$P$2)</f>
        <v>#N/A Invalid Security</v>
      </c>
      <c r="Z108" s="27" t="str">
        <f>_xll.BDH(J218,$P$3,$P$2,$P$2)</f>
        <v>#N/A Invalid Security</v>
      </c>
      <c r="AA108" s="27" t="str">
        <f>_xll.BDH(K218,$P$3,$P$2,$P$2)</f>
        <v>#N/A Invalid Security</v>
      </c>
      <c r="AB108" s="57" t="str">
        <f>_xll.BDH(L218,$P$3,$P$2,$P$2)</f>
        <v>#N/A Invalid Security</v>
      </c>
      <c r="AC108" s="1" t="str">
        <f>_xll.BDH(M218,$P$3,$P$2,$P$2)</f>
        <v>#N/A Invalid Security</v>
      </c>
      <c r="AD108" s="1" t="str">
        <f>_xll.BDH(N218,$P$3,$P$2,$P$2)</f>
        <v>#N/A Invalid Security</v>
      </c>
    </row>
    <row r="109" spans="1:30" ht="16.5" x14ac:dyDescent="0.3">
      <c r="A109" s="38" t="s">
        <v>2091</v>
      </c>
      <c r="B109" s="38" t="s">
        <v>2092</v>
      </c>
      <c r="C109" s="38" t="s">
        <v>2093</v>
      </c>
      <c r="D109" s="38" t="s">
        <v>2094</v>
      </c>
      <c r="E109" s="38" t="s">
        <v>2095</v>
      </c>
      <c r="F109" s="38" t="s">
        <v>2096</v>
      </c>
      <c r="G109" s="38" t="s">
        <v>2097</v>
      </c>
      <c r="H109" s="38" t="s">
        <v>2098</v>
      </c>
      <c r="I109" s="38" t="s">
        <v>2099</v>
      </c>
      <c r="J109" s="38" t="s">
        <v>2100</v>
      </c>
      <c r="K109" s="38" t="s">
        <v>2101</v>
      </c>
      <c r="L109" s="38" t="s">
        <v>2102</v>
      </c>
      <c r="M109" s="38" t="s">
        <v>2103</v>
      </c>
      <c r="N109" s="38" t="s">
        <v>2104</v>
      </c>
      <c r="Q109" s="38" t="s">
        <v>2091</v>
      </c>
      <c r="R109" s="1" t="str">
        <f>_xll.BDH(B219,$P$3,$P$2,$P$2)</f>
        <v>#N/A Invalid Security</v>
      </c>
      <c r="S109" s="1" t="str">
        <f>_xll.BDH(C219,$P$3,$P$2,$P$2)</f>
        <v>#N/A Invalid Security</v>
      </c>
      <c r="T109" s="1" t="str">
        <f>_xll.BDH(D219,$P$3,$P$2,$P$2)</f>
        <v>#N/A Invalid Security</v>
      </c>
      <c r="U109" s="1" t="str">
        <f>_xll.BDH(E219,$P$3,$P$2,$P$2)</f>
        <v>#N/A Invalid Security</v>
      </c>
      <c r="V109" s="16" t="str">
        <f>_xll.BDH(F219,$P$3,$P$2,$P$2)</f>
        <v>#N/A Invalid Security</v>
      </c>
      <c r="W109" s="27" t="str">
        <f>_xll.BDH(G219,$P$3,$P$2,$P$2)</f>
        <v>#N/A Invalid Security</v>
      </c>
      <c r="X109" s="27" t="str">
        <f>_xll.BDH(H219,$P$3,$P$2,$P$2)</f>
        <v>#N/A Invalid Security</v>
      </c>
      <c r="Y109" s="27" t="str">
        <f>_xll.BDH(I219,$P$3,$P$2,$P$2)</f>
        <v>#N/A Invalid Security</v>
      </c>
      <c r="Z109" s="27" t="str">
        <f>_xll.BDH(J219,$P$3,$P$2,$P$2)</f>
        <v>#N/A Invalid Security</v>
      </c>
      <c r="AA109" s="27" t="str">
        <f>_xll.BDH(K219,$P$3,$P$2,$P$2)</f>
        <v>#N/A Invalid Security</v>
      </c>
      <c r="AB109" s="57" t="str">
        <f>_xll.BDH(L219,$P$3,$P$2,$P$2)</f>
        <v>#N/A Invalid Security</v>
      </c>
      <c r="AC109" s="1" t="str">
        <f>_xll.BDH(M219,$P$3,$P$2,$P$2)</f>
        <v>#N/A Invalid Security</v>
      </c>
      <c r="AD109" s="1" t="str">
        <f>_xll.BDH(N219,$P$3,$P$2,$P$2)</f>
        <v>#N/A Invalid Security</v>
      </c>
    </row>
    <row r="110" spans="1:30" ht="17.25" thickBot="1" x14ac:dyDescent="0.35">
      <c r="A110" s="38" t="s">
        <v>2105</v>
      </c>
      <c r="B110" s="38" t="s">
        <v>2106</v>
      </c>
      <c r="C110" s="38" t="s">
        <v>2107</v>
      </c>
      <c r="D110" s="38" t="s">
        <v>2108</v>
      </c>
      <c r="E110" s="38" t="s">
        <v>2109</v>
      </c>
      <c r="F110" s="38" t="s">
        <v>2110</v>
      </c>
      <c r="G110" s="38" t="s">
        <v>2111</v>
      </c>
      <c r="H110" s="38" t="s">
        <v>2112</v>
      </c>
      <c r="I110" s="38" t="s">
        <v>2113</v>
      </c>
      <c r="J110" s="38" t="s">
        <v>2114</v>
      </c>
      <c r="K110" s="38" t="s">
        <v>2115</v>
      </c>
      <c r="L110" s="38" t="s">
        <v>2116</v>
      </c>
      <c r="M110" s="38" t="s">
        <v>2117</v>
      </c>
      <c r="N110" s="38" t="s">
        <v>2118</v>
      </c>
      <c r="Q110" s="38" t="s">
        <v>2105</v>
      </c>
      <c r="R110" s="1" t="str">
        <f>_xll.BDH(B220,$P$3,$P$2,$P$2)</f>
        <v>#N/A Invalid Security</v>
      </c>
      <c r="S110" s="1" t="str">
        <f>_xll.BDH(C220,$P$3,$P$2,$P$2)</f>
        <v>#N/A Invalid Security</v>
      </c>
      <c r="T110" s="1" t="str">
        <f>_xll.BDH(D220,$P$3,$P$2,$P$2)</f>
        <v>#N/A Invalid Security</v>
      </c>
      <c r="U110" s="1" t="str">
        <f>_xll.BDH(E220,$P$3,$P$2,$P$2)</f>
        <v>#N/A Invalid Security</v>
      </c>
      <c r="V110" s="19" t="str">
        <f>_xll.BDH(F220,$P$3,$P$2,$P$2)</f>
        <v>#N/A Invalid Security</v>
      </c>
      <c r="W110" s="29" t="str">
        <f>_xll.BDH(G220,$P$3,$P$2,$P$2)</f>
        <v>#N/A Invalid Security</v>
      </c>
      <c r="X110" s="29" t="str">
        <f>_xll.BDH(H220,$P$3,$P$2,$P$2)</f>
        <v>#N/A Invalid Security</v>
      </c>
      <c r="Y110" s="29" t="str">
        <f>_xll.BDH(I220,$P$3,$P$2,$P$2)</f>
        <v>#N/A Invalid Security</v>
      </c>
      <c r="Z110" s="29" t="str">
        <f>_xll.BDH(J220,$P$3,$P$2,$P$2)</f>
        <v>#N/A Invalid Security</v>
      </c>
      <c r="AA110" s="29" t="str">
        <f>_xll.BDH(K220,$P$3,$P$2,$P$2)</f>
        <v>#N/A Invalid Security</v>
      </c>
      <c r="AB110" s="58" t="str">
        <f>_xll.BDH(L220,$P$3,$P$2,$P$2)</f>
        <v>#N/A Invalid Security</v>
      </c>
      <c r="AC110" s="1" t="str">
        <f>_xll.BDH(M220,$P$3,$P$2,$P$2)</f>
        <v>#N/A Invalid Security</v>
      </c>
      <c r="AD110" s="1" t="str">
        <f>_xll.BDH(N220,$P$3,$P$2,$P$2)</f>
        <v>#N/A Invalid Security</v>
      </c>
    </row>
    <row r="112" spans="1:30" ht="15" x14ac:dyDescent="0.25">
      <c r="A112" s="37" t="s">
        <v>594</v>
      </c>
      <c r="B112" s="37" t="s">
        <v>595</v>
      </c>
      <c r="C112" s="37" t="s">
        <v>596</v>
      </c>
      <c r="D112" s="37" t="s">
        <v>597</v>
      </c>
      <c r="E112" s="37" t="s">
        <v>598</v>
      </c>
      <c r="F112" s="37" t="s">
        <v>599</v>
      </c>
      <c r="G112" s="37" t="s">
        <v>600</v>
      </c>
      <c r="H112" s="37" t="s">
        <v>531</v>
      </c>
      <c r="I112" s="37" t="s">
        <v>601</v>
      </c>
      <c r="J112" s="37" t="s">
        <v>602</v>
      </c>
      <c r="K112" s="37" t="s">
        <v>603</v>
      </c>
      <c r="L112" s="37" t="s">
        <v>604</v>
      </c>
      <c r="M112" s="37" t="s">
        <v>605</v>
      </c>
      <c r="N112" s="37" t="s">
        <v>606</v>
      </c>
    </row>
    <row r="113" spans="1:14" ht="16.5" x14ac:dyDescent="0.3">
      <c r="A113" s="38" t="s">
        <v>607</v>
      </c>
      <c r="B113" s="1" t="str">
        <f t="shared" ref="B113:N113" si="0">B3&amp;$B$1</f>
        <v>KRWA0A01   LCLS Curncy</v>
      </c>
      <c r="C113" s="1" t="str">
        <f t="shared" si="0"/>
        <v>KRWK0A01   LCLS Curncy</v>
      </c>
      <c r="D113" s="1" t="str">
        <f t="shared" si="0"/>
        <v>KRWL0A01   LCLS Curncy</v>
      </c>
      <c r="E113" s="1" t="str">
        <f t="shared" si="0"/>
        <v>KRWB0A01   LCLS Curncy</v>
      </c>
      <c r="F113" s="1" t="str">
        <f t="shared" si="0"/>
        <v>KRWM0A01   LCLS Curncy</v>
      </c>
      <c r="G113" s="1" t="str">
        <f t="shared" si="0"/>
        <v>KRWN0A01   LCLS Curncy</v>
      </c>
      <c r="H113" s="1" t="str">
        <f t="shared" si="0"/>
        <v>KWSN0A1    LCLS Curncy</v>
      </c>
      <c r="I113" s="1" t="str">
        <f t="shared" si="0"/>
        <v>KRWO0A01   LCLS Curncy</v>
      </c>
      <c r="J113" s="1" t="str">
        <f t="shared" si="0"/>
        <v>KRWP0A01   LCLS Curncy</v>
      </c>
      <c r="K113" s="1" t="str">
        <f t="shared" si="0"/>
        <v>KRWC0A01   LCLS Curncy</v>
      </c>
      <c r="L113" s="1" t="str">
        <f t="shared" si="0"/>
        <v>KRWQ0A01   LCLS Curncy</v>
      </c>
      <c r="M113" s="1" t="str">
        <f t="shared" si="0"/>
        <v>KRWR0A01   LCLS Curncy</v>
      </c>
      <c r="N113" s="1" t="str">
        <f t="shared" si="0"/>
        <v>KRWD0A01   LCLS Curncy</v>
      </c>
    </row>
    <row r="114" spans="1:14" ht="16.5" x14ac:dyDescent="0.3">
      <c r="A114" s="38" t="s">
        <v>621</v>
      </c>
      <c r="B114" s="1" t="str">
        <f t="shared" ref="B114:N114" si="1">B4&amp;$B$1</f>
        <v>KRWA0A02   LCLS Curncy</v>
      </c>
      <c r="C114" s="1" t="str">
        <f t="shared" si="1"/>
        <v>KRWK0A02   LCLS Curncy</v>
      </c>
      <c r="D114" s="1" t="str">
        <f t="shared" si="1"/>
        <v>KRWL0A02   LCLS Curncy</v>
      </c>
      <c r="E114" s="1" t="str">
        <f t="shared" si="1"/>
        <v>KRWB0A02   LCLS Curncy</v>
      </c>
      <c r="F114" s="1" t="str">
        <f t="shared" si="1"/>
        <v>KRWM0A02   LCLS Curncy</v>
      </c>
      <c r="G114" s="1" t="str">
        <f t="shared" si="1"/>
        <v>KRWN0A02   LCLS Curncy</v>
      </c>
      <c r="H114" s="1" t="str">
        <f t="shared" si="1"/>
        <v>KWSN0A2    LCLS Curncy</v>
      </c>
      <c r="I114" s="1" t="str">
        <f t="shared" si="1"/>
        <v>KRWO0A02   LCLS Curncy</v>
      </c>
      <c r="J114" s="1" t="str">
        <f t="shared" si="1"/>
        <v>KRWP0A02   LCLS Curncy</v>
      </c>
      <c r="K114" s="1" t="str">
        <f t="shared" si="1"/>
        <v>KRWC0A02   LCLS Curncy</v>
      </c>
      <c r="L114" s="1" t="str">
        <f t="shared" si="1"/>
        <v>KRWQ0A02   LCLS Curncy</v>
      </c>
      <c r="M114" s="1" t="str">
        <f t="shared" si="1"/>
        <v>KRWR0A02   LCLS Curncy</v>
      </c>
      <c r="N114" s="1" t="str">
        <f t="shared" si="1"/>
        <v>KRWD0A02   LCLS Curncy</v>
      </c>
    </row>
    <row r="115" spans="1:14" ht="16.5" x14ac:dyDescent="0.3">
      <c r="A115" s="38" t="s">
        <v>635</v>
      </c>
      <c r="B115" s="1" t="str">
        <f t="shared" ref="B115:N115" si="2">B5&amp;$B$1</f>
        <v>KRWA0A03   LCLS Curncy</v>
      </c>
      <c r="C115" s="1" t="str">
        <f t="shared" si="2"/>
        <v>KRWK0A03   LCLS Curncy</v>
      </c>
      <c r="D115" s="1" t="str">
        <f t="shared" si="2"/>
        <v>KRWL0A03   LCLS Curncy</v>
      </c>
      <c r="E115" s="1" t="str">
        <f t="shared" si="2"/>
        <v>KRWB0A03   LCLS Curncy</v>
      </c>
      <c r="F115" s="1" t="str">
        <f t="shared" si="2"/>
        <v>KRWM0A03   LCLS Curncy</v>
      </c>
      <c r="G115" s="1" t="str">
        <f t="shared" si="2"/>
        <v>KRWN0A03   LCLS Curncy</v>
      </c>
      <c r="H115" s="1" t="str">
        <f t="shared" si="2"/>
        <v>KWSN0A3    LCLS Curncy</v>
      </c>
      <c r="I115" s="1" t="str">
        <f t="shared" si="2"/>
        <v>KRWO0A03   LCLS Curncy</v>
      </c>
      <c r="J115" s="1" t="str">
        <f t="shared" si="2"/>
        <v>KRWP0A03   LCLS Curncy</v>
      </c>
      <c r="K115" s="1" t="str">
        <f t="shared" si="2"/>
        <v>KRWC0A03   LCLS Curncy</v>
      </c>
      <c r="L115" s="1" t="str">
        <f t="shared" si="2"/>
        <v>KRWQ0A03   LCLS Curncy</v>
      </c>
      <c r="M115" s="1" t="str">
        <f t="shared" si="2"/>
        <v>KRWR0A03   LCLS Curncy</v>
      </c>
      <c r="N115" s="1" t="str">
        <f t="shared" si="2"/>
        <v>KRWD0A03   LCLS Curncy</v>
      </c>
    </row>
    <row r="116" spans="1:14" ht="16.5" x14ac:dyDescent="0.3">
      <c r="A116" s="38" t="s">
        <v>649</v>
      </c>
      <c r="B116" s="1" t="str">
        <f t="shared" ref="B116:N116" si="3">B6&amp;$B$1</f>
        <v>KRWA0A04   LCLS Curncy</v>
      </c>
      <c r="C116" s="1" t="str">
        <f t="shared" si="3"/>
        <v>KRWK0A04   LCLS Curncy</v>
      </c>
      <c r="D116" s="1" t="str">
        <f t="shared" si="3"/>
        <v>KRWL0A04   LCLS Curncy</v>
      </c>
      <c r="E116" s="1" t="str">
        <f t="shared" si="3"/>
        <v>KRWB0A04   LCLS Curncy</v>
      </c>
      <c r="F116" s="1" t="str">
        <f t="shared" si="3"/>
        <v>KRWM0A04   LCLS Curncy</v>
      </c>
      <c r="G116" s="1" t="str">
        <f t="shared" si="3"/>
        <v>KRWN0A04   LCLS Curncy</v>
      </c>
      <c r="H116" s="1" t="str">
        <f t="shared" si="3"/>
        <v>KWSN0A4    LCLS Curncy</v>
      </c>
      <c r="I116" s="1" t="str">
        <f t="shared" si="3"/>
        <v>KRWO0A04   LCLS Curncy</v>
      </c>
      <c r="J116" s="1" t="str">
        <f t="shared" si="3"/>
        <v>KRWP0A04   LCLS Curncy</v>
      </c>
      <c r="K116" s="1" t="str">
        <f t="shared" si="3"/>
        <v>KRWC0A04   LCLS Curncy</v>
      </c>
      <c r="L116" s="1" t="str">
        <f t="shared" si="3"/>
        <v>KRWQ0A04   LCLS Curncy</v>
      </c>
      <c r="M116" s="1" t="str">
        <f t="shared" si="3"/>
        <v>KRWR0A04   LCLS Curncy</v>
      </c>
      <c r="N116" s="1" t="str">
        <f t="shared" si="3"/>
        <v>KRWD0A04   LCLS Curncy</v>
      </c>
    </row>
    <row r="117" spans="1:14" ht="16.5" x14ac:dyDescent="0.3">
      <c r="A117" s="38" t="s">
        <v>663</v>
      </c>
      <c r="B117" s="1" t="str">
        <f t="shared" ref="B117:N117" si="4">B7&amp;$B$1</f>
        <v>KRWA0A05   LCLS Curncy</v>
      </c>
      <c r="C117" s="1" t="str">
        <f t="shared" si="4"/>
        <v>KRWK0A05   LCLS Curncy</v>
      </c>
      <c r="D117" s="1" t="str">
        <f t="shared" si="4"/>
        <v>KRWL0A05   LCLS Curncy</v>
      </c>
      <c r="E117" s="1" t="str">
        <f t="shared" si="4"/>
        <v>KRWB0A05   LCLS Curncy</v>
      </c>
      <c r="F117" s="1" t="str">
        <f t="shared" si="4"/>
        <v>KRWM0A05   LCLS Curncy</v>
      </c>
      <c r="G117" s="1" t="str">
        <f t="shared" si="4"/>
        <v>KRWN0A05   LCLS Curncy</v>
      </c>
      <c r="H117" s="1" t="str">
        <f t="shared" si="4"/>
        <v>KWSN0A5    LCLS Curncy</v>
      </c>
      <c r="I117" s="1" t="str">
        <f t="shared" si="4"/>
        <v>KRWO0A05   LCLS Curncy</v>
      </c>
      <c r="J117" s="1" t="str">
        <f t="shared" si="4"/>
        <v>KRWP0A05   LCLS Curncy</v>
      </c>
      <c r="K117" s="1" t="str">
        <f t="shared" si="4"/>
        <v>KRWC0A05   LCLS Curncy</v>
      </c>
      <c r="L117" s="1" t="str">
        <f t="shared" si="4"/>
        <v>KRWQ0A05   LCLS Curncy</v>
      </c>
      <c r="M117" s="1" t="str">
        <f t="shared" si="4"/>
        <v>KRWR0A05   LCLS Curncy</v>
      </c>
      <c r="N117" s="1" t="str">
        <f t="shared" si="4"/>
        <v>KRWD0A05   LCLS Curncy</v>
      </c>
    </row>
    <row r="118" spans="1:14" ht="16.5" x14ac:dyDescent="0.3">
      <c r="A118" s="38" t="s">
        <v>677</v>
      </c>
      <c r="B118" s="1" t="str">
        <f t="shared" ref="B118:N118" si="5">B8&amp;$B$1</f>
        <v>KRWA0A06   LCLS Curncy</v>
      </c>
      <c r="C118" s="1" t="str">
        <f t="shared" si="5"/>
        <v>KRWK0A06   LCLS Curncy</v>
      </c>
      <c r="D118" s="1" t="str">
        <f t="shared" si="5"/>
        <v>KRWL0A06   LCLS Curncy</v>
      </c>
      <c r="E118" s="1" t="str">
        <f t="shared" si="5"/>
        <v>KRWB0A06   LCLS Curncy</v>
      </c>
      <c r="F118" s="1" t="str">
        <f t="shared" si="5"/>
        <v>KRWM0A06   LCLS Curncy</v>
      </c>
      <c r="G118" s="1" t="str">
        <f t="shared" si="5"/>
        <v>KRWN0A06   LCLS Curncy</v>
      </c>
      <c r="H118" s="1" t="str">
        <f t="shared" si="5"/>
        <v>KWSN0A6    LCLS Curncy</v>
      </c>
      <c r="I118" s="1" t="str">
        <f t="shared" si="5"/>
        <v>KRWO0A06   LCLS Curncy</v>
      </c>
      <c r="J118" s="1" t="str">
        <f t="shared" si="5"/>
        <v>KRWP0A06   LCLS Curncy</v>
      </c>
      <c r="K118" s="1" t="str">
        <f t="shared" si="5"/>
        <v>KRWC0A06   LCLS Curncy</v>
      </c>
      <c r="L118" s="1" t="str">
        <f t="shared" si="5"/>
        <v>KRWQ0A06   LCLS Curncy</v>
      </c>
      <c r="M118" s="1" t="str">
        <f t="shared" si="5"/>
        <v>KRWR0A06   LCLS Curncy</v>
      </c>
      <c r="N118" s="1" t="str">
        <f t="shared" si="5"/>
        <v>KRWD0A06   LCLS Curncy</v>
      </c>
    </row>
    <row r="119" spans="1:14" ht="16.5" x14ac:dyDescent="0.3">
      <c r="A119" s="38" t="s">
        <v>691</v>
      </c>
      <c r="B119" s="1" t="str">
        <f t="shared" ref="B119:N119" si="6">B9&amp;$B$1</f>
        <v>KRWA0A07   LCLS Curncy</v>
      </c>
      <c r="C119" s="1" t="str">
        <f t="shared" si="6"/>
        <v>KRWK0A07   LCLS Curncy</v>
      </c>
      <c r="D119" s="1" t="str">
        <f t="shared" si="6"/>
        <v>KRWL0A07   LCLS Curncy</v>
      </c>
      <c r="E119" s="1" t="str">
        <f t="shared" si="6"/>
        <v>KRWB0A07   LCLS Curncy</v>
      </c>
      <c r="F119" s="1" t="str">
        <f t="shared" si="6"/>
        <v>KRWM0A07   LCLS Curncy</v>
      </c>
      <c r="G119" s="1" t="str">
        <f t="shared" si="6"/>
        <v>KRWN0A07   LCLS Curncy</v>
      </c>
      <c r="H119" s="1" t="str">
        <f t="shared" si="6"/>
        <v>KWSN0A7    LCLS Curncy</v>
      </c>
      <c r="I119" s="1" t="str">
        <f t="shared" si="6"/>
        <v>KRWO0A07   LCLS Curncy</v>
      </c>
      <c r="J119" s="1" t="str">
        <f t="shared" si="6"/>
        <v>KRWP0A07   LCLS Curncy</v>
      </c>
      <c r="K119" s="1" t="str">
        <f t="shared" si="6"/>
        <v>KRWC0A07   LCLS Curncy</v>
      </c>
      <c r="L119" s="1" t="str">
        <f t="shared" si="6"/>
        <v>KRWQ0A07   LCLS Curncy</v>
      </c>
      <c r="M119" s="1" t="str">
        <f t="shared" si="6"/>
        <v>KRWR0A07   LCLS Curncy</v>
      </c>
      <c r="N119" s="1" t="str">
        <f t="shared" si="6"/>
        <v>KRWD0A07   LCLS Curncy</v>
      </c>
    </row>
    <row r="120" spans="1:14" ht="16.5" x14ac:dyDescent="0.3">
      <c r="A120" s="38" t="s">
        <v>705</v>
      </c>
      <c r="B120" s="1" t="str">
        <f t="shared" ref="B120:N120" si="7">B10&amp;$B$1</f>
        <v>KRWA0A08   LCLS Curncy</v>
      </c>
      <c r="C120" s="1" t="str">
        <f t="shared" si="7"/>
        <v>KRWK0A08   LCLS Curncy</v>
      </c>
      <c r="D120" s="1" t="str">
        <f t="shared" si="7"/>
        <v>KRWL0A08   LCLS Curncy</v>
      </c>
      <c r="E120" s="1" t="str">
        <f t="shared" si="7"/>
        <v>KRWB0A08   LCLS Curncy</v>
      </c>
      <c r="F120" s="1" t="str">
        <f t="shared" si="7"/>
        <v>KRWM0A08   LCLS Curncy</v>
      </c>
      <c r="G120" s="1" t="str">
        <f t="shared" si="7"/>
        <v>KRWN0A08   LCLS Curncy</v>
      </c>
      <c r="H120" s="1" t="str">
        <f t="shared" si="7"/>
        <v>KWSN0A8    LCLS Curncy</v>
      </c>
      <c r="I120" s="1" t="str">
        <f t="shared" si="7"/>
        <v>KRWO0A08   LCLS Curncy</v>
      </c>
      <c r="J120" s="1" t="str">
        <f t="shared" si="7"/>
        <v>KRWP0A08   LCLS Curncy</v>
      </c>
      <c r="K120" s="1" t="str">
        <f t="shared" si="7"/>
        <v>KRWC0A08   LCLS Curncy</v>
      </c>
      <c r="L120" s="1" t="str">
        <f t="shared" si="7"/>
        <v>KRWQ0A08   LCLS Curncy</v>
      </c>
      <c r="M120" s="1" t="str">
        <f t="shared" si="7"/>
        <v>KRWR0A08   LCLS Curncy</v>
      </c>
      <c r="N120" s="1" t="str">
        <f t="shared" si="7"/>
        <v>KRWD0A08   LCLS Curncy</v>
      </c>
    </row>
    <row r="121" spans="1:14" ht="16.5" x14ac:dyDescent="0.3">
      <c r="A121" s="38" t="s">
        <v>719</v>
      </c>
      <c r="B121" s="1" t="str">
        <f t="shared" ref="B121:N121" si="8">B11&amp;$B$1</f>
        <v>KRWA0A09   LCLS Curncy</v>
      </c>
      <c r="C121" s="1" t="str">
        <f t="shared" si="8"/>
        <v>KRWK0A09   LCLS Curncy</v>
      </c>
      <c r="D121" s="1" t="str">
        <f t="shared" si="8"/>
        <v>KRWL0A09   LCLS Curncy</v>
      </c>
      <c r="E121" s="1" t="str">
        <f t="shared" si="8"/>
        <v>KRWB0A09   LCLS Curncy</v>
      </c>
      <c r="F121" s="1" t="str">
        <f t="shared" si="8"/>
        <v>KRWM0A09   LCLS Curncy</v>
      </c>
      <c r="G121" s="1" t="str">
        <f t="shared" si="8"/>
        <v>KRWN0A09   LCLS Curncy</v>
      </c>
      <c r="H121" s="1" t="str">
        <f t="shared" si="8"/>
        <v>KWSN0A9    LCLS Curncy</v>
      </c>
      <c r="I121" s="1" t="str">
        <f t="shared" si="8"/>
        <v>KRWO0A09   LCLS Curncy</v>
      </c>
      <c r="J121" s="1" t="str">
        <f t="shared" si="8"/>
        <v>KRWP0A09   LCLS Curncy</v>
      </c>
      <c r="K121" s="1" t="str">
        <f t="shared" si="8"/>
        <v>KRWC0A09   LCLS Curncy</v>
      </c>
      <c r="L121" s="1" t="str">
        <f t="shared" si="8"/>
        <v>KRWQ0A09   LCLS Curncy</v>
      </c>
      <c r="M121" s="1" t="str">
        <f t="shared" si="8"/>
        <v>KRWR0A09   LCLS Curncy</v>
      </c>
      <c r="N121" s="1" t="str">
        <f t="shared" si="8"/>
        <v>KRWD0A09   LCLS Curncy</v>
      </c>
    </row>
    <row r="122" spans="1:14" ht="16.5" x14ac:dyDescent="0.3">
      <c r="A122" s="38" t="s">
        <v>733</v>
      </c>
      <c r="B122" s="1" t="str">
        <f t="shared" ref="B122:N122" si="9">B12&amp;$B$1</f>
        <v>KRWA0A10   LCLS Curncy</v>
      </c>
      <c r="C122" s="1" t="str">
        <f t="shared" si="9"/>
        <v>KRWK0A10   LCLS Curncy</v>
      </c>
      <c r="D122" s="1" t="str">
        <f t="shared" si="9"/>
        <v>KRWL0A10   LCLS Curncy</v>
      </c>
      <c r="E122" s="1" t="str">
        <f t="shared" si="9"/>
        <v>KRWB0A10   LCLS Curncy</v>
      </c>
      <c r="F122" s="1" t="str">
        <f t="shared" si="9"/>
        <v>KRWM0A10   LCLS Curncy</v>
      </c>
      <c r="G122" s="1" t="str">
        <f t="shared" si="9"/>
        <v>KRWN0A10   LCLS Curncy</v>
      </c>
      <c r="H122" s="1" t="str">
        <f t="shared" si="9"/>
        <v>KWSN0A10   LCLS Curncy</v>
      </c>
      <c r="I122" s="1" t="str">
        <f t="shared" si="9"/>
        <v>KRWO0A10   LCLS Curncy</v>
      </c>
      <c r="J122" s="1" t="str">
        <f t="shared" si="9"/>
        <v>KRWP0A10   LCLS Curncy</v>
      </c>
      <c r="K122" s="1" t="str">
        <f t="shared" si="9"/>
        <v>KRWC0A10   LCLS Curncy</v>
      </c>
      <c r="L122" s="1" t="str">
        <f t="shared" si="9"/>
        <v>KRWQ0A10   LCLS Curncy</v>
      </c>
      <c r="M122" s="1" t="str">
        <f t="shared" si="9"/>
        <v>KRWR0A10   LCLS Curncy</v>
      </c>
      <c r="N122" s="1" t="str">
        <f t="shared" si="9"/>
        <v>KRWD0A10   LCLS Curncy</v>
      </c>
    </row>
    <row r="123" spans="1:14" ht="16.5" x14ac:dyDescent="0.3">
      <c r="A123" s="38" t="s">
        <v>747</v>
      </c>
      <c r="B123" s="1" t="str">
        <f t="shared" ref="B123:N123" si="10">B13&amp;$B$1</f>
        <v>KRWA0A15   LCLS Curncy</v>
      </c>
      <c r="C123" s="1" t="str">
        <f t="shared" si="10"/>
        <v>KRWK0A15   LCLS Curncy</v>
      </c>
      <c r="D123" s="1" t="str">
        <f t="shared" si="10"/>
        <v>KRWL0A15   LCLS Curncy</v>
      </c>
      <c r="E123" s="1" t="str">
        <f t="shared" si="10"/>
        <v>KRWB0A15   LCLS Curncy</v>
      </c>
      <c r="F123" s="1" t="str">
        <f t="shared" si="10"/>
        <v>KRWM0A15   LCLS Curncy</v>
      </c>
      <c r="G123" s="1" t="str">
        <f t="shared" si="10"/>
        <v>KRWN0A15   LCLS Curncy</v>
      </c>
      <c r="H123" s="1" t="str">
        <f t="shared" si="10"/>
        <v>KWSN0A15   LCLS Curncy</v>
      </c>
      <c r="I123" s="1" t="str">
        <f t="shared" si="10"/>
        <v>KRWO0A15   LCLS Curncy</v>
      </c>
      <c r="J123" s="1" t="str">
        <f t="shared" si="10"/>
        <v>KRWP0A15   LCLS Curncy</v>
      </c>
      <c r="K123" s="1" t="str">
        <f t="shared" si="10"/>
        <v>KRWC0A15   LCLS Curncy</v>
      </c>
      <c r="L123" s="1" t="str">
        <f t="shared" si="10"/>
        <v>KRWQ0A15   LCLS Curncy</v>
      </c>
      <c r="M123" s="1" t="str">
        <f t="shared" si="10"/>
        <v>KRWR0A15   LCLS Curncy</v>
      </c>
      <c r="N123" s="1" t="str">
        <f t="shared" si="10"/>
        <v>KRWD0A15   LCLS Curncy</v>
      </c>
    </row>
    <row r="124" spans="1:14" ht="16.5" x14ac:dyDescent="0.3">
      <c r="A124" s="38" t="s">
        <v>761</v>
      </c>
      <c r="B124" s="1" t="str">
        <f t="shared" ref="B124:N124" si="11">B14&amp;$B$1</f>
        <v>KRWA0A20   LCLS Curncy</v>
      </c>
      <c r="C124" s="1" t="str">
        <f t="shared" si="11"/>
        <v>KRWK0A20   LCLS Curncy</v>
      </c>
      <c r="D124" s="1" t="str">
        <f t="shared" si="11"/>
        <v>KRWL0A20   LCLS Curncy</v>
      </c>
      <c r="E124" s="1" t="str">
        <f t="shared" si="11"/>
        <v>KRWB0A20   LCLS Curncy</v>
      </c>
      <c r="F124" s="1" t="str">
        <f t="shared" si="11"/>
        <v>KRWM0A20   LCLS Curncy</v>
      </c>
      <c r="G124" s="1" t="str">
        <f t="shared" si="11"/>
        <v>KRWN0A20   LCLS Curncy</v>
      </c>
      <c r="H124" s="1" t="str">
        <f t="shared" si="11"/>
        <v>KWSN0A20   LCLS Curncy</v>
      </c>
      <c r="I124" s="1" t="str">
        <f t="shared" si="11"/>
        <v>KRWO0A20   LCLS Curncy</v>
      </c>
      <c r="J124" s="1" t="str">
        <f t="shared" si="11"/>
        <v>KRWP0A20   LCLS Curncy</v>
      </c>
      <c r="K124" s="1" t="str">
        <f t="shared" si="11"/>
        <v>KRWC0A20   LCLS Curncy</v>
      </c>
      <c r="L124" s="1" t="str">
        <f t="shared" si="11"/>
        <v>KRWQ0A20   LCLS Curncy</v>
      </c>
      <c r="M124" s="1" t="str">
        <f t="shared" si="11"/>
        <v>KRWR0A20   LCLS Curncy</v>
      </c>
      <c r="N124" s="1" t="str">
        <f t="shared" si="11"/>
        <v>KRWD0A20   LCLS Curncy</v>
      </c>
    </row>
    <row r="125" spans="1:14" ht="16.5" x14ac:dyDescent="0.3">
      <c r="A125" s="38" t="s">
        <v>775</v>
      </c>
      <c r="B125" s="1" t="str">
        <f t="shared" ref="B125:N125" si="12">B15&amp;$B$1</f>
        <v>KRWA0C01   LCLS Curncy</v>
      </c>
      <c r="C125" s="1" t="str">
        <f t="shared" si="12"/>
        <v>KRWK0C01   LCLS Curncy</v>
      </c>
      <c r="D125" s="1" t="str">
        <f t="shared" si="12"/>
        <v>KRWL0C01   LCLS Curncy</v>
      </c>
      <c r="E125" s="1" t="str">
        <f t="shared" si="12"/>
        <v>KRWB0C01   LCLS Curncy</v>
      </c>
      <c r="F125" s="1" t="str">
        <f t="shared" si="12"/>
        <v>KRWM0C01   LCLS Curncy</v>
      </c>
      <c r="G125" s="1" t="str">
        <f t="shared" si="12"/>
        <v>KRWN0C01   LCLS Curncy</v>
      </c>
      <c r="H125" s="1" t="str">
        <f t="shared" si="12"/>
        <v>KWSN0C1    LCLS Curncy</v>
      </c>
      <c r="I125" s="1" t="str">
        <f t="shared" si="12"/>
        <v>KRWO0C01   LCLS Curncy</v>
      </c>
      <c r="J125" s="1" t="str">
        <f t="shared" si="12"/>
        <v>KRWP0C01   LCLS Curncy</v>
      </c>
      <c r="K125" s="1" t="str">
        <f t="shared" si="12"/>
        <v>KRWC0C01   LCLS Curncy</v>
      </c>
      <c r="L125" s="1" t="str">
        <f t="shared" si="12"/>
        <v>KRWQ0C01   LCLS Curncy</v>
      </c>
      <c r="M125" s="1" t="str">
        <f t="shared" si="12"/>
        <v>KRWR0C01   LCLS Curncy</v>
      </c>
      <c r="N125" s="1" t="str">
        <f t="shared" si="12"/>
        <v>KRWD0C01   LCLS Curncy</v>
      </c>
    </row>
    <row r="126" spans="1:14" ht="16.5" x14ac:dyDescent="0.3">
      <c r="A126" s="38" t="s">
        <v>789</v>
      </c>
      <c r="B126" s="1" t="str">
        <f t="shared" ref="B126:N126" si="13">B16&amp;$B$1</f>
        <v>KRWA0C02   LCLS Curncy</v>
      </c>
      <c r="C126" s="1" t="str">
        <f t="shared" si="13"/>
        <v>KRWK0C02   LCLS Curncy</v>
      </c>
      <c r="D126" s="1" t="str">
        <f t="shared" si="13"/>
        <v>KRWL0C02   LCLS Curncy</v>
      </c>
      <c r="E126" s="1" t="str">
        <f t="shared" si="13"/>
        <v>KRWB0C02   LCLS Curncy</v>
      </c>
      <c r="F126" s="1" t="str">
        <f t="shared" si="13"/>
        <v>KRWM0C02   LCLS Curncy</v>
      </c>
      <c r="G126" s="1" t="str">
        <f t="shared" si="13"/>
        <v>KRWN0C02   LCLS Curncy</v>
      </c>
      <c r="H126" s="1" t="str">
        <f t="shared" si="13"/>
        <v>KWSN0C2    LCLS Curncy</v>
      </c>
      <c r="I126" s="1" t="str">
        <f t="shared" si="13"/>
        <v>KRWO0C02   LCLS Curncy</v>
      </c>
      <c r="J126" s="1" t="str">
        <f t="shared" si="13"/>
        <v>KRWP0C02   LCLS Curncy</v>
      </c>
      <c r="K126" s="1" t="str">
        <f t="shared" si="13"/>
        <v>KRWC0C02   LCLS Curncy</v>
      </c>
      <c r="L126" s="1" t="str">
        <f t="shared" si="13"/>
        <v>KRWQ0C02   LCLS Curncy</v>
      </c>
      <c r="M126" s="1" t="str">
        <f t="shared" si="13"/>
        <v>KRWR0C02   LCLS Curncy</v>
      </c>
      <c r="N126" s="1" t="str">
        <f t="shared" si="13"/>
        <v>KRWD0C02   LCLS Curncy</v>
      </c>
    </row>
    <row r="127" spans="1:14" ht="16.5" x14ac:dyDescent="0.3">
      <c r="A127" s="38" t="s">
        <v>803</v>
      </c>
      <c r="B127" s="1" t="str">
        <f t="shared" ref="B127:N127" si="14">B17&amp;$B$1</f>
        <v>KRWA0C03   LCLS Curncy</v>
      </c>
      <c r="C127" s="1" t="str">
        <f t="shared" si="14"/>
        <v>KRWK0C03   LCLS Curncy</v>
      </c>
      <c r="D127" s="1" t="str">
        <f t="shared" si="14"/>
        <v>KRWL0C03   LCLS Curncy</v>
      </c>
      <c r="E127" s="1" t="str">
        <f t="shared" si="14"/>
        <v>KRWB0C03   LCLS Curncy</v>
      </c>
      <c r="F127" s="1" t="str">
        <f t="shared" si="14"/>
        <v>KRWM0C03   LCLS Curncy</v>
      </c>
      <c r="G127" s="1" t="str">
        <f t="shared" si="14"/>
        <v>KRWN0C03   LCLS Curncy</v>
      </c>
      <c r="H127" s="1" t="str">
        <f t="shared" si="14"/>
        <v>KWSN0C3    LCLS Curncy</v>
      </c>
      <c r="I127" s="1" t="str">
        <f t="shared" si="14"/>
        <v>KRWO0C03   LCLS Curncy</v>
      </c>
      <c r="J127" s="1" t="str">
        <f t="shared" si="14"/>
        <v>KRWP0C03   LCLS Curncy</v>
      </c>
      <c r="K127" s="1" t="str">
        <f t="shared" si="14"/>
        <v>KRWC0C03   LCLS Curncy</v>
      </c>
      <c r="L127" s="1" t="str">
        <f t="shared" si="14"/>
        <v>KRWQ0C03   LCLS Curncy</v>
      </c>
      <c r="M127" s="1" t="str">
        <f t="shared" si="14"/>
        <v>KRWR0C03   LCLS Curncy</v>
      </c>
      <c r="N127" s="1" t="str">
        <f t="shared" si="14"/>
        <v>KRWD0C03   LCLS Curncy</v>
      </c>
    </row>
    <row r="128" spans="1:14" ht="16.5" x14ac:dyDescent="0.3">
      <c r="A128" s="38" t="s">
        <v>817</v>
      </c>
      <c r="B128" s="1" t="str">
        <f t="shared" ref="B128:N128" si="15">B18&amp;$B$1</f>
        <v>KRWA0C04   LCLS Curncy</v>
      </c>
      <c r="C128" s="1" t="str">
        <f t="shared" si="15"/>
        <v>KRWK0C04   LCLS Curncy</v>
      </c>
      <c r="D128" s="1" t="str">
        <f t="shared" si="15"/>
        <v>KRWL0C04   LCLS Curncy</v>
      </c>
      <c r="E128" s="1" t="str">
        <f t="shared" si="15"/>
        <v>KRWB0C04   LCLS Curncy</v>
      </c>
      <c r="F128" s="1" t="str">
        <f t="shared" si="15"/>
        <v>KRWM0C04   LCLS Curncy</v>
      </c>
      <c r="G128" s="1" t="str">
        <f t="shared" si="15"/>
        <v>KRWN0C04   LCLS Curncy</v>
      </c>
      <c r="H128" s="1" t="str">
        <f t="shared" si="15"/>
        <v>KWSN0C4    LCLS Curncy</v>
      </c>
      <c r="I128" s="1" t="str">
        <f t="shared" si="15"/>
        <v>KRWO0C04   LCLS Curncy</v>
      </c>
      <c r="J128" s="1" t="str">
        <f t="shared" si="15"/>
        <v>KRWP0C04   LCLS Curncy</v>
      </c>
      <c r="K128" s="1" t="str">
        <f t="shared" si="15"/>
        <v>KRWC0C04   LCLS Curncy</v>
      </c>
      <c r="L128" s="1" t="str">
        <f t="shared" si="15"/>
        <v>KRWQ0C04   LCLS Curncy</v>
      </c>
      <c r="M128" s="1" t="str">
        <f t="shared" si="15"/>
        <v>KRWR0C04   LCLS Curncy</v>
      </c>
      <c r="N128" s="1" t="str">
        <f t="shared" si="15"/>
        <v>KRWD0C04   LCLS Curncy</v>
      </c>
    </row>
    <row r="129" spans="1:14" ht="16.5" x14ac:dyDescent="0.3">
      <c r="A129" s="38" t="s">
        <v>831</v>
      </c>
      <c r="B129" s="1" t="str">
        <f t="shared" ref="B129:N129" si="16">B19&amp;$B$1</f>
        <v>KRWA0C05   LCLS Curncy</v>
      </c>
      <c r="C129" s="1" t="str">
        <f t="shared" si="16"/>
        <v>KRWK0C05   LCLS Curncy</v>
      </c>
      <c r="D129" s="1" t="str">
        <f t="shared" si="16"/>
        <v>KRWL0C05   LCLS Curncy</v>
      </c>
      <c r="E129" s="1" t="str">
        <f t="shared" si="16"/>
        <v>KRWB0C05   LCLS Curncy</v>
      </c>
      <c r="F129" s="1" t="str">
        <f t="shared" si="16"/>
        <v>KRWM0C05   LCLS Curncy</v>
      </c>
      <c r="G129" s="1" t="str">
        <f t="shared" si="16"/>
        <v>KRWN0C05   LCLS Curncy</v>
      </c>
      <c r="H129" s="1" t="str">
        <f t="shared" si="16"/>
        <v>KWSN0C5    LCLS Curncy</v>
      </c>
      <c r="I129" s="1" t="str">
        <f t="shared" si="16"/>
        <v>KRWO0C05   LCLS Curncy</v>
      </c>
      <c r="J129" s="1" t="str">
        <f t="shared" si="16"/>
        <v>KRWP0C05   LCLS Curncy</v>
      </c>
      <c r="K129" s="1" t="str">
        <f t="shared" si="16"/>
        <v>KRWC0C05   LCLS Curncy</v>
      </c>
      <c r="L129" s="1" t="str">
        <f t="shared" si="16"/>
        <v>KRWQ0C05   LCLS Curncy</v>
      </c>
      <c r="M129" s="1" t="str">
        <f t="shared" si="16"/>
        <v>KRWR0C05   LCLS Curncy</v>
      </c>
      <c r="N129" s="1" t="str">
        <f t="shared" si="16"/>
        <v>KRWD0C05   LCLS Curncy</v>
      </c>
    </row>
    <row r="130" spans="1:14" ht="16.5" x14ac:dyDescent="0.3">
      <c r="A130" s="38" t="s">
        <v>845</v>
      </c>
      <c r="B130" s="1" t="str">
        <f t="shared" ref="B130:N130" si="17">B20&amp;$B$1</f>
        <v>KRWA0C06   LCLS Curncy</v>
      </c>
      <c r="C130" s="1" t="str">
        <f t="shared" si="17"/>
        <v>KRWK0C06   LCLS Curncy</v>
      </c>
      <c r="D130" s="1" t="str">
        <f t="shared" si="17"/>
        <v>KRWL0C06   LCLS Curncy</v>
      </c>
      <c r="E130" s="1" t="str">
        <f t="shared" si="17"/>
        <v>KRWB0C06   LCLS Curncy</v>
      </c>
      <c r="F130" s="1" t="str">
        <f t="shared" si="17"/>
        <v>KRWM0C06   LCLS Curncy</v>
      </c>
      <c r="G130" s="1" t="str">
        <f t="shared" si="17"/>
        <v>KRWN0C06   LCLS Curncy</v>
      </c>
      <c r="H130" s="1" t="str">
        <f t="shared" si="17"/>
        <v>KWSN0C6    LCLS Curncy</v>
      </c>
      <c r="I130" s="1" t="str">
        <f t="shared" si="17"/>
        <v>KRWO0C06   LCLS Curncy</v>
      </c>
      <c r="J130" s="1" t="str">
        <f t="shared" si="17"/>
        <v>KRWP0C06   LCLS Curncy</v>
      </c>
      <c r="K130" s="1" t="str">
        <f t="shared" si="17"/>
        <v>KRWC0C06   LCLS Curncy</v>
      </c>
      <c r="L130" s="1" t="str">
        <f t="shared" si="17"/>
        <v>KRWQ0C06   LCLS Curncy</v>
      </c>
      <c r="M130" s="1" t="str">
        <f t="shared" si="17"/>
        <v>KRWR0C06   LCLS Curncy</v>
      </c>
      <c r="N130" s="1" t="str">
        <f t="shared" si="17"/>
        <v>KRWD0C06   LCLS Curncy</v>
      </c>
    </row>
    <row r="131" spans="1:14" ht="16.5" x14ac:dyDescent="0.3">
      <c r="A131" s="38" t="s">
        <v>859</v>
      </c>
      <c r="B131" s="1" t="str">
        <f t="shared" ref="B131:N131" si="18">B21&amp;$B$1</f>
        <v>KRWA0C07   LCLS Curncy</v>
      </c>
      <c r="C131" s="1" t="str">
        <f t="shared" si="18"/>
        <v>KRWK0C07   LCLS Curncy</v>
      </c>
      <c r="D131" s="1" t="str">
        <f t="shared" si="18"/>
        <v>KRWL0C07   LCLS Curncy</v>
      </c>
      <c r="E131" s="1" t="str">
        <f t="shared" si="18"/>
        <v>KRWB0C07   LCLS Curncy</v>
      </c>
      <c r="F131" s="1" t="str">
        <f t="shared" si="18"/>
        <v>KRWM0C07   LCLS Curncy</v>
      </c>
      <c r="G131" s="1" t="str">
        <f t="shared" si="18"/>
        <v>KRWN0C07   LCLS Curncy</v>
      </c>
      <c r="H131" s="1" t="str">
        <f t="shared" si="18"/>
        <v>KWSN0C7    LCLS Curncy</v>
      </c>
      <c r="I131" s="1" t="str">
        <f t="shared" si="18"/>
        <v>KRWO0C07   LCLS Curncy</v>
      </c>
      <c r="J131" s="1" t="str">
        <f t="shared" si="18"/>
        <v>KRWP0C07   LCLS Curncy</v>
      </c>
      <c r="K131" s="1" t="str">
        <f t="shared" si="18"/>
        <v>KRWC0C07   LCLS Curncy</v>
      </c>
      <c r="L131" s="1" t="str">
        <f t="shared" si="18"/>
        <v>KRWQ0C07   LCLS Curncy</v>
      </c>
      <c r="M131" s="1" t="str">
        <f t="shared" si="18"/>
        <v>KRWR0C07   LCLS Curncy</v>
      </c>
      <c r="N131" s="1" t="str">
        <f t="shared" si="18"/>
        <v>KRWD0C07   LCLS Curncy</v>
      </c>
    </row>
    <row r="132" spans="1:14" ht="16.5" x14ac:dyDescent="0.3">
      <c r="A132" s="38" t="s">
        <v>873</v>
      </c>
      <c r="B132" s="1" t="str">
        <f t="shared" ref="B132:N132" si="19">B22&amp;$B$1</f>
        <v>KRWA0C08   LCLS Curncy</v>
      </c>
      <c r="C132" s="1" t="str">
        <f t="shared" si="19"/>
        <v>KRWK0C08   LCLS Curncy</v>
      </c>
      <c r="D132" s="1" t="str">
        <f t="shared" si="19"/>
        <v>KRWL0C08   LCLS Curncy</v>
      </c>
      <c r="E132" s="1" t="str">
        <f t="shared" si="19"/>
        <v>KRWB0C08   LCLS Curncy</v>
      </c>
      <c r="F132" s="1" t="str">
        <f t="shared" si="19"/>
        <v>KRWM0C08   LCLS Curncy</v>
      </c>
      <c r="G132" s="1" t="str">
        <f t="shared" si="19"/>
        <v>KRWN0C08   LCLS Curncy</v>
      </c>
      <c r="H132" s="1" t="str">
        <f t="shared" si="19"/>
        <v>KWSN0C8    LCLS Curncy</v>
      </c>
      <c r="I132" s="1" t="str">
        <f t="shared" si="19"/>
        <v>KRWO0C08   LCLS Curncy</v>
      </c>
      <c r="J132" s="1" t="str">
        <f t="shared" si="19"/>
        <v>KRWP0C08   LCLS Curncy</v>
      </c>
      <c r="K132" s="1" t="str">
        <f t="shared" si="19"/>
        <v>KRWC0C08   LCLS Curncy</v>
      </c>
      <c r="L132" s="1" t="str">
        <f t="shared" si="19"/>
        <v>KRWQ0C08   LCLS Curncy</v>
      </c>
      <c r="M132" s="1" t="str">
        <f t="shared" si="19"/>
        <v>KRWR0C08   LCLS Curncy</v>
      </c>
      <c r="N132" s="1" t="str">
        <f t="shared" si="19"/>
        <v>KRWD0C08   LCLS Curncy</v>
      </c>
    </row>
    <row r="133" spans="1:14" ht="16.5" x14ac:dyDescent="0.3">
      <c r="A133" s="38" t="s">
        <v>887</v>
      </c>
      <c r="B133" s="1" t="str">
        <f t="shared" ref="B133:N133" si="20">B23&amp;$B$1</f>
        <v>KRWA0C09   LCLS Curncy</v>
      </c>
      <c r="C133" s="1" t="str">
        <f t="shared" si="20"/>
        <v>KRWK0C09   LCLS Curncy</v>
      </c>
      <c r="D133" s="1" t="str">
        <f t="shared" si="20"/>
        <v>KRWL0C09   LCLS Curncy</v>
      </c>
      <c r="E133" s="1" t="str">
        <f t="shared" si="20"/>
        <v>KRWB0C09   LCLS Curncy</v>
      </c>
      <c r="F133" s="1" t="str">
        <f t="shared" si="20"/>
        <v>KRWM0C09   LCLS Curncy</v>
      </c>
      <c r="G133" s="1" t="str">
        <f t="shared" si="20"/>
        <v>KRWN0C09   LCLS Curncy</v>
      </c>
      <c r="H133" s="1" t="str">
        <f t="shared" si="20"/>
        <v>KWSN0C9    LCLS Curncy</v>
      </c>
      <c r="I133" s="1" t="str">
        <f t="shared" si="20"/>
        <v>KRWO0C09   LCLS Curncy</v>
      </c>
      <c r="J133" s="1" t="str">
        <f t="shared" si="20"/>
        <v>KRWP0C09   LCLS Curncy</v>
      </c>
      <c r="K133" s="1" t="str">
        <f t="shared" si="20"/>
        <v>KRWC0C09   LCLS Curncy</v>
      </c>
      <c r="L133" s="1" t="str">
        <f t="shared" si="20"/>
        <v>KRWQ0C09   LCLS Curncy</v>
      </c>
      <c r="M133" s="1" t="str">
        <f t="shared" si="20"/>
        <v>KRWR0C09   LCLS Curncy</v>
      </c>
      <c r="N133" s="1" t="str">
        <f t="shared" si="20"/>
        <v>KRWD0C09   LCLS Curncy</v>
      </c>
    </row>
    <row r="134" spans="1:14" ht="16.5" x14ac:dyDescent="0.3">
      <c r="A134" s="38" t="s">
        <v>901</v>
      </c>
      <c r="B134" s="1" t="str">
        <f t="shared" ref="B134:N134" si="21">B24&amp;$B$1</f>
        <v>KRWA0C10   LCLS Curncy</v>
      </c>
      <c r="C134" s="1" t="str">
        <f t="shared" si="21"/>
        <v>KRWK0C10   LCLS Curncy</v>
      </c>
      <c r="D134" s="1" t="str">
        <f t="shared" si="21"/>
        <v>KRWL0C10   LCLS Curncy</v>
      </c>
      <c r="E134" s="1" t="str">
        <f t="shared" si="21"/>
        <v>KRWB0C10   LCLS Curncy</v>
      </c>
      <c r="F134" s="1" t="str">
        <f t="shared" si="21"/>
        <v>KRWM0C10   LCLS Curncy</v>
      </c>
      <c r="G134" s="1" t="str">
        <f t="shared" si="21"/>
        <v>KRWN0C10   LCLS Curncy</v>
      </c>
      <c r="H134" s="1" t="str">
        <f t="shared" si="21"/>
        <v>KWSN0C10   LCLS Curncy</v>
      </c>
      <c r="I134" s="1" t="str">
        <f t="shared" si="21"/>
        <v>KRWO0C10   LCLS Curncy</v>
      </c>
      <c r="J134" s="1" t="str">
        <f t="shared" si="21"/>
        <v>KRWP0C10   LCLS Curncy</v>
      </c>
      <c r="K134" s="1" t="str">
        <f t="shared" si="21"/>
        <v>KRWC0C10   LCLS Curncy</v>
      </c>
      <c r="L134" s="1" t="str">
        <f t="shared" si="21"/>
        <v>KRWQ0C10   LCLS Curncy</v>
      </c>
      <c r="M134" s="1" t="str">
        <f t="shared" si="21"/>
        <v>KRWR0C10   LCLS Curncy</v>
      </c>
      <c r="N134" s="1" t="str">
        <f t="shared" si="21"/>
        <v>KRWD0C10   LCLS Curncy</v>
      </c>
    </row>
    <row r="135" spans="1:14" ht="16.5" x14ac:dyDescent="0.3">
      <c r="A135" s="38" t="s">
        <v>915</v>
      </c>
      <c r="B135" s="1" t="str">
        <f t="shared" ref="B135:N135" si="22">B25&amp;$B$1</f>
        <v>KRWA0C15   LCLS Curncy</v>
      </c>
      <c r="C135" s="1" t="str">
        <f t="shared" si="22"/>
        <v>KRWK0C15   LCLS Curncy</v>
      </c>
      <c r="D135" s="1" t="str">
        <f t="shared" si="22"/>
        <v>KRWL0C15   LCLS Curncy</v>
      </c>
      <c r="E135" s="1" t="str">
        <f t="shared" si="22"/>
        <v>KRWB0C15   LCLS Curncy</v>
      </c>
      <c r="F135" s="1" t="str">
        <f t="shared" si="22"/>
        <v>KRWM0C15   LCLS Curncy</v>
      </c>
      <c r="G135" s="1" t="str">
        <f t="shared" si="22"/>
        <v>KRWN0C15   LCLS Curncy</v>
      </c>
      <c r="H135" s="1" t="str">
        <f t="shared" si="22"/>
        <v>KWSN0C15   LCLS Curncy</v>
      </c>
      <c r="I135" s="1" t="str">
        <f t="shared" si="22"/>
        <v>KRWO0C15   LCLS Curncy</v>
      </c>
      <c r="J135" s="1" t="str">
        <f t="shared" si="22"/>
        <v>KRWP0C15   LCLS Curncy</v>
      </c>
      <c r="K135" s="1" t="str">
        <f t="shared" si="22"/>
        <v>KRWC0C15   LCLS Curncy</v>
      </c>
      <c r="L135" s="1" t="str">
        <f t="shared" si="22"/>
        <v>KRWQ0C15   LCLS Curncy</v>
      </c>
      <c r="M135" s="1" t="str">
        <f t="shared" si="22"/>
        <v>KRWR0C15   LCLS Curncy</v>
      </c>
      <c r="N135" s="1" t="str">
        <f t="shared" si="22"/>
        <v>KRWD0C15   LCLS Curncy</v>
      </c>
    </row>
    <row r="136" spans="1:14" ht="16.5" x14ac:dyDescent="0.3">
      <c r="A136" s="38" t="s">
        <v>929</v>
      </c>
      <c r="B136" s="1" t="str">
        <f t="shared" ref="B136:N136" si="23">B26&amp;$B$1</f>
        <v>KRWA0C20   LCLS Curncy</v>
      </c>
      <c r="C136" s="1" t="str">
        <f t="shared" si="23"/>
        <v>KRWK0C20   LCLS Curncy</v>
      </c>
      <c r="D136" s="1" t="str">
        <f t="shared" si="23"/>
        <v>KRWL0C20   LCLS Curncy</v>
      </c>
      <c r="E136" s="1" t="str">
        <f t="shared" si="23"/>
        <v>KRWB0C20   LCLS Curncy</v>
      </c>
      <c r="F136" s="1" t="str">
        <f t="shared" si="23"/>
        <v>KRWM0C20   LCLS Curncy</v>
      </c>
      <c r="G136" s="1" t="str">
        <f t="shared" si="23"/>
        <v>KRWN0C20   LCLS Curncy</v>
      </c>
      <c r="H136" s="1" t="str">
        <f t="shared" si="23"/>
        <v>KWSN0C20   LCLS Curncy</v>
      </c>
      <c r="I136" s="1" t="str">
        <f t="shared" si="23"/>
        <v>KRWO0C20   LCLS Curncy</v>
      </c>
      <c r="J136" s="1" t="str">
        <f t="shared" si="23"/>
        <v>KRWP0C20   LCLS Curncy</v>
      </c>
      <c r="K136" s="1" t="str">
        <f t="shared" si="23"/>
        <v>KRWC0C20   LCLS Curncy</v>
      </c>
      <c r="L136" s="1" t="str">
        <f t="shared" si="23"/>
        <v>KRWQ0C20   LCLS Curncy</v>
      </c>
      <c r="M136" s="1" t="str">
        <f t="shared" si="23"/>
        <v>KRWR0C20   LCLS Curncy</v>
      </c>
      <c r="N136" s="1" t="str">
        <f t="shared" si="23"/>
        <v>KRWD0C20   LCLS Curncy</v>
      </c>
    </row>
    <row r="137" spans="1:14" ht="16.5" x14ac:dyDescent="0.3">
      <c r="A137" s="38" t="s">
        <v>943</v>
      </c>
      <c r="B137" s="1" t="str">
        <f t="shared" ref="B137:N137" si="24">B27&amp;$B$1</f>
        <v>KRWA0F01   LCLS Curncy</v>
      </c>
      <c r="C137" s="1" t="str">
        <f t="shared" si="24"/>
        <v>KRWK0F01   LCLS Curncy</v>
      </c>
      <c r="D137" s="1" t="str">
        <f t="shared" si="24"/>
        <v>KRWL0F01   LCLS Curncy</v>
      </c>
      <c r="E137" s="1" t="str">
        <f t="shared" si="24"/>
        <v>KRWB0F01   LCLS Curncy</v>
      </c>
      <c r="F137" s="1" t="str">
        <f t="shared" si="24"/>
        <v>KRWM0F01   LCLS Curncy</v>
      </c>
      <c r="G137" s="1" t="str">
        <f t="shared" si="24"/>
        <v>KRWN0F01   LCLS Curncy</v>
      </c>
      <c r="H137" s="1" t="str">
        <f t="shared" si="24"/>
        <v>KWSN0F1    LCLS Curncy</v>
      </c>
      <c r="I137" s="1" t="str">
        <f t="shared" si="24"/>
        <v>KRWO0F01   LCLS Curncy</v>
      </c>
      <c r="J137" s="1" t="str">
        <f t="shared" si="24"/>
        <v>KRWP0F01   LCLS Curncy</v>
      </c>
      <c r="K137" s="1" t="str">
        <f t="shared" si="24"/>
        <v>KRWC0F01   LCLS Curncy</v>
      </c>
      <c r="L137" s="1" t="str">
        <f t="shared" si="24"/>
        <v>KRWQ0F01   LCLS Curncy</v>
      </c>
      <c r="M137" s="1" t="str">
        <f t="shared" si="24"/>
        <v>KRWR0F01   LCLS Curncy</v>
      </c>
      <c r="N137" s="1" t="str">
        <f t="shared" si="24"/>
        <v>KRWD0F01   LCLS Curncy</v>
      </c>
    </row>
    <row r="138" spans="1:14" ht="16.5" x14ac:dyDescent="0.3">
      <c r="A138" s="38" t="s">
        <v>957</v>
      </c>
      <c r="B138" s="1" t="str">
        <f t="shared" ref="B138:N138" si="25">B28&amp;$B$1</f>
        <v>KRWA0F02   LCLS Curncy</v>
      </c>
      <c r="C138" s="1" t="str">
        <f t="shared" si="25"/>
        <v>KRWK0F02   LCLS Curncy</v>
      </c>
      <c r="D138" s="1" t="str">
        <f t="shared" si="25"/>
        <v>KRWL0F02   LCLS Curncy</v>
      </c>
      <c r="E138" s="1" t="str">
        <f t="shared" si="25"/>
        <v>KRWB0F02   LCLS Curncy</v>
      </c>
      <c r="F138" s="1" t="str">
        <f t="shared" si="25"/>
        <v>KRWM0F02   LCLS Curncy</v>
      </c>
      <c r="G138" s="1" t="str">
        <f t="shared" si="25"/>
        <v>KRWN0F02   LCLS Curncy</v>
      </c>
      <c r="H138" s="1" t="str">
        <f t="shared" si="25"/>
        <v>KWSN0F2    LCLS Curncy</v>
      </c>
      <c r="I138" s="1" t="str">
        <f t="shared" si="25"/>
        <v>KRWO0F02   LCLS Curncy</v>
      </c>
      <c r="J138" s="1" t="str">
        <f t="shared" si="25"/>
        <v>KRWP0F02   LCLS Curncy</v>
      </c>
      <c r="K138" s="1" t="str">
        <f t="shared" si="25"/>
        <v>KRWC0F02   LCLS Curncy</v>
      </c>
      <c r="L138" s="1" t="str">
        <f t="shared" si="25"/>
        <v>KRWQ0F02   LCLS Curncy</v>
      </c>
      <c r="M138" s="1" t="str">
        <f t="shared" si="25"/>
        <v>KRWR0F02   LCLS Curncy</v>
      </c>
      <c r="N138" s="1" t="str">
        <f t="shared" si="25"/>
        <v>KRWD0F02   LCLS Curncy</v>
      </c>
    </row>
    <row r="139" spans="1:14" ht="16.5" x14ac:dyDescent="0.3">
      <c r="A139" s="38" t="s">
        <v>971</v>
      </c>
      <c r="B139" s="1" t="str">
        <f t="shared" ref="B139:N139" si="26">B29&amp;$B$1</f>
        <v>KRWA0F03   LCLS Curncy</v>
      </c>
      <c r="C139" s="1" t="str">
        <f t="shared" si="26"/>
        <v>KRWK0F03   LCLS Curncy</v>
      </c>
      <c r="D139" s="1" t="str">
        <f t="shared" si="26"/>
        <v>KRWL0F03   LCLS Curncy</v>
      </c>
      <c r="E139" s="1" t="str">
        <f t="shared" si="26"/>
        <v>KRWB0F03   LCLS Curncy</v>
      </c>
      <c r="F139" s="1" t="str">
        <f t="shared" si="26"/>
        <v>KRWM0F03   LCLS Curncy</v>
      </c>
      <c r="G139" s="1" t="str">
        <f t="shared" si="26"/>
        <v>KRWN0F03   LCLS Curncy</v>
      </c>
      <c r="H139" s="1" t="str">
        <f t="shared" si="26"/>
        <v>KWSN0F3    LCLS Curncy</v>
      </c>
      <c r="I139" s="1" t="str">
        <f t="shared" si="26"/>
        <v>KRWO0F03   LCLS Curncy</v>
      </c>
      <c r="J139" s="1" t="str">
        <f t="shared" si="26"/>
        <v>KRWP0F03   LCLS Curncy</v>
      </c>
      <c r="K139" s="1" t="str">
        <f t="shared" si="26"/>
        <v>KRWC0F03   LCLS Curncy</v>
      </c>
      <c r="L139" s="1" t="str">
        <f t="shared" si="26"/>
        <v>KRWQ0F03   LCLS Curncy</v>
      </c>
      <c r="M139" s="1" t="str">
        <f t="shared" si="26"/>
        <v>KRWR0F03   LCLS Curncy</v>
      </c>
      <c r="N139" s="1" t="str">
        <f t="shared" si="26"/>
        <v>KRWD0F03   LCLS Curncy</v>
      </c>
    </row>
    <row r="140" spans="1:14" ht="16.5" x14ac:dyDescent="0.3">
      <c r="A140" s="38" t="s">
        <v>985</v>
      </c>
      <c r="B140" s="1" t="str">
        <f t="shared" ref="B140:N140" si="27">B30&amp;$B$1</f>
        <v>KRWA0F04   LCLS Curncy</v>
      </c>
      <c r="C140" s="1" t="str">
        <f t="shared" si="27"/>
        <v>KRWK0F04   LCLS Curncy</v>
      </c>
      <c r="D140" s="1" t="str">
        <f t="shared" si="27"/>
        <v>KRWL0F04   LCLS Curncy</v>
      </c>
      <c r="E140" s="1" t="str">
        <f t="shared" si="27"/>
        <v>KRWB0F04   LCLS Curncy</v>
      </c>
      <c r="F140" s="1" t="str">
        <f t="shared" si="27"/>
        <v>KRWM0F04   LCLS Curncy</v>
      </c>
      <c r="G140" s="1" t="str">
        <f t="shared" si="27"/>
        <v>KRWN0F04   LCLS Curncy</v>
      </c>
      <c r="H140" s="1" t="str">
        <f t="shared" si="27"/>
        <v>KWSN0F4    LCLS Curncy</v>
      </c>
      <c r="I140" s="1" t="str">
        <f t="shared" si="27"/>
        <v>KRWO0F04   LCLS Curncy</v>
      </c>
      <c r="J140" s="1" t="str">
        <f t="shared" si="27"/>
        <v>KRWP0F04   LCLS Curncy</v>
      </c>
      <c r="K140" s="1" t="str">
        <f t="shared" si="27"/>
        <v>KRWC0F04   LCLS Curncy</v>
      </c>
      <c r="L140" s="1" t="str">
        <f t="shared" si="27"/>
        <v>KRWQ0F04   LCLS Curncy</v>
      </c>
      <c r="M140" s="1" t="str">
        <f t="shared" si="27"/>
        <v>KRWR0F04   LCLS Curncy</v>
      </c>
      <c r="N140" s="1" t="str">
        <f t="shared" si="27"/>
        <v>KRWD0F04   LCLS Curncy</v>
      </c>
    </row>
    <row r="141" spans="1:14" ht="16.5" x14ac:dyDescent="0.3">
      <c r="A141" s="38" t="s">
        <v>999</v>
      </c>
      <c r="B141" s="1" t="str">
        <f t="shared" ref="B141:N141" si="28">B31&amp;$B$1</f>
        <v>KRWA0F05   LCLS Curncy</v>
      </c>
      <c r="C141" s="1" t="str">
        <f t="shared" si="28"/>
        <v>KRWK0F05   LCLS Curncy</v>
      </c>
      <c r="D141" s="1" t="str">
        <f t="shared" si="28"/>
        <v>KRWL0F05   LCLS Curncy</v>
      </c>
      <c r="E141" s="1" t="str">
        <f t="shared" si="28"/>
        <v>KRWB0F05   LCLS Curncy</v>
      </c>
      <c r="F141" s="1" t="str">
        <f t="shared" si="28"/>
        <v>KRWM0F05   LCLS Curncy</v>
      </c>
      <c r="G141" s="1" t="str">
        <f t="shared" si="28"/>
        <v>KRWN0F05   LCLS Curncy</v>
      </c>
      <c r="H141" s="1" t="str">
        <f t="shared" si="28"/>
        <v>KWSN0F5    LCLS Curncy</v>
      </c>
      <c r="I141" s="1" t="str">
        <f t="shared" si="28"/>
        <v>KRWO0F05   LCLS Curncy</v>
      </c>
      <c r="J141" s="1" t="str">
        <f t="shared" si="28"/>
        <v>KRWP0F05   LCLS Curncy</v>
      </c>
      <c r="K141" s="1" t="str">
        <f t="shared" si="28"/>
        <v>KRWC0F05   LCLS Curncy</v>
      </c>
      <c r="L141" s="1" t="str">
        <f t="shared" si="28"/>
        <v>KRWQ0F05   LCLS Curncy</v>
      </c>
      <c r="M141" s="1" t="str">
        <f t="shared" si="28"/>
        <v>KRWR0F05   LCLS Curncy</v>
      </c>
      <c r="N141" s="1" t="str">
        <f t="shared" si="28"/>
        <v>KRWD0F05   LCLS Curncy</v>
      </c>
    </row>
    <row r="142" spans="1:14" ht="16.5" x14ac:dyDescent="0.3">
      <c r="A142" s="38" t="s">
        <v>1013</v>
      </c>
      <c r="B142" s="1" t="str">
        <f t="shared" ref="B142:N142" si="29">B32&amp;$B$1</f>
        <v>KRWA0F06   LCLS Curncy</v>
      </c>
      <c r="C142" s="1" t="str">
        <f t="shared" si="29"/>
        <v>KRWK0F06   LCLS Curncy</v>
      </c>
      <c r="D142" s="1" t="str">
        <f t="shared" si="29"/>
        <v>KRWL0F06   LCLS Curncy</v>
      </c>
      <c r="E142" s="1" t="str">
        <f t="shared" si="29"/>
        <v>KRWB0F06   LCLS Curncy</v>
      </c>
      <c r="F142" s="1" t="str">
        <f t="shared" si="29"/>
        <v>KRWM0F06   LCLS Curncy</v>
      </c>
      <c r="G142" s="1" t="str">
        <f t="shared" si="29"/>
        <v>KRWN0F06   LCLS Curncy</v>
      </c>
      <c r="H142" s="1" t="str">
        <f t="shared" si="29"/>
        <v>KWSN0F6    LCLS Curncy</v>
      </c>
      <c r="I142" s="1" t="str">
        <f t="shared" si="29"/>
        <v>KRWO0F06   LCLS Curncy</v>
      </c>
      <c r="J142" s="1" t="str">
        <f t="shared" si="29"/>
        <v>KRWP0F06   LCLS Curncy</v>
      </c>
      <c r="K142" s="1" t="str">
        <f t="shared" si="29"/>
        <v>KRWC0F06   LCLS Curncy</v>
      </c>
      <c r="L142" s="1" t="str">
        <f t="shared" si="29"/>
        <v>KRWQ0F06   LCLS Curncy</v>
      </c>
      <c r="M142" s="1" t="str">
        <f t="shared" si="29"/>
        <v>KRWR0F06   LCLS Curncy</v>
      </c>
      <c r="N142" s="1" t="str">
        <f t="shared" si="29"/>
        <v>KRWD0F06   LCLS Curncy</v>
      </c>
    </row>
    <row r="143" spans="1:14" ht="16.5" x14ac:dyDescent="0.3">
      <c r="A143" s="38" t="s">
        <v>1027</v>
      </c>
      <c r="B143" s="1" t="str">
        <f t="shared" ref="B143:N143" si="30">B33&amp;$B$1</f>
        <v>KRWA0F07   LCLS Curncy</v>
      </c>
      <c r="C143" s="1" t="str">
        <f t="shared" si="30"/>
        <v>KRWK0F07   LCLS Curncy</v>
      </c>
      <c r="D143" s="1" t="str">
        <f t="shared" si="30"/>
        <v>KRWL0F07   LCLS Curncy</v>
      </c>
      <c r="E143" s="1" t="str">
        <f t="shared" si="30"/>
        <v>KRWB0F07   LCLS Curncy</v>
      </c>
      <c r="F143" s="1" t="str">
        <f t="shared" si="30"/>
        <v>KRWM0F07   LCLS Curncy</v>
      </c>
      <c r="G143" s="1" t="str">
        <f t="shared" si="30"/>
        <v>KRWN0F07   LCLS Curncy</v>
      </c>
      <c r="H143" s="1" t="str">
        <f t="shared" si="30"/>
        <v>KWSN0F7    LCLS Curncy</v>
      </c>
      <c r="I143" s="1" t="str">
        <f t="shared" si="30"/>
        <v>KRWO0F07   LCLS Curncy</v>
      </c>
      <c r="J143" s="1" t="str">
        <f t="shared" si="30"/>
        <v>KRWP0F07   LCLS Curncy</v>
      </c>
      <c r="K143" s="1" t="str">
        <f t="shared" si="30"/>
        <v>KRWC0F07   LCLS Curncy</v>
      </c>
      <c r="L143" s="1" t="str">
        <f t="shared" si="30"/>
        <v>KRWQ0F07   LCLS Curncy</v>
      </c>
      <c r="M143" s="1" t="str">
        <f t="shared" si="30"/>
        <v>KRWR0F07   LCLS Curncy</v>
      </c>
      <c r="N143" s="1" t="str">
        <f t="shared" si="30"/>
        <v>KRWD0F07   LCLS Curncy</v>
      </c>
    </row>
    <row r="144" spans="1:14" ht="16.5" x14ac:dyDescent="0.3">
      <c r="A144" s="38" t="s">
        <v>1041</v>
      </c>
      <c r="B144" s="1" t="str">
        <f t="shared" ref="B144:N144" si="31">B34&amp;$B$1</f>
        <v>KRWA0F08   LCLS Curncy</v>
      </c>
      <c r="C144" s="1" t="str">
        <f t="shared" si="31"/>
        <v>KRWK0F08   LCLS Curncy</v>
      </c>
      <c r="D144" s="1" t="str">
        <f t="shared" si="31"/>
        <v>KRWL0F08   LCLS Curncy</v>
      </c>
      <c r="E144" s="1" t="str">
        <f t="shared" si="31"/>
        <v>KRWB0F08   LCLS Curncy</v>
      </c>
      <c r="F144" s="1" t="str">
        <f t="shared" si="31"/>
        <v>KRWM0F08   LCLS Curncy</v>
      </c>
      <c r="G144" s="1" t="str">
        <f t="shared" si="31"/>
        <v>KRWN0F08   LCLS Curncy</v>
      </c>
      <c r="H144" s="1" t="str">
        <f t="shared" si="31"/>
        <v>KWSN0F8    LCLS Curncy</v>
      </c>
      <c r="I144" s="1" t="str">
        <f t="shared" si="31"/>
        <v>KRWO0F08   LCLS Curncy</v>
      </c>
      <c r="J144" s="1" t="str">
        <f t="shared" si="31"/>
        <v>KRWP0F08   LCLS Curncy</v>
      </c>
      <c r="K144" s="1" t="str">
        <f t="shared" si="31"/>
        <v>KRWC0F08   LCLS Curncy</v>
      </c>
      <c r="L144" s="1" t="str">
        <f t="shared" si="31"/>
        <v>KRWQ0F08   LCLS Curncy</v>
      </c>
      <c r="M144" s="1" t="str">
        <f t="shared" si="31"/>
        <v>KRWR0F08   LCLS Curncy</v>
      </c>
      <c r="N144" s="1" t="str">
        <f t="shared" si="31"/>
        <v>KRWD0F08   LCLS Curncy</v>
      </c>
    </row>
    <row r="145" spans="1:14" ht="16.5" x14ac:dyDescent="0.3">
      <c r="A145" s="38" t="s">
        <v>1055</v>
      </c>
      <c r="B145" s="1" t="str">
        <f t="shared" ref="B145:N145" si="32">B35&amp;$B$1</f>
        <v>KRWA0F09   LCLS Curncy</v>
      </c>
      <c r="C145" s="1" t="str">
        <f t="shared" si="32"/>
        <v>KRWK0F09   LCLS Curncy</v>
      </c>
      <c r="D145" s="1" t="str">
        <f t="shared" si="32"/>
        <v>KRWL0F09   LCLS Curncy</v>
      </c>
      <c r="E145" s="1" t="str">
        <f t="shared" si="32"/>
        <v>KRWB0F09   LCLS Curncy</v>
      </c>
      <c r="F145" s="1" t="str">
        <f t="shared" si="32"/>
        <v>KRWM0F09   LCLS Curncy</v>
      </c>
      <c r="G145" s="1" t="str">
        <f t="shared" si="32"/>
        <v>KRWN0F09   LCLS Curncy</v>
      </c>
      <c r="H145" s="1" t="str">
        <f t="shared" si="32"/>
        <v>KWSN0F9    LCLS Curncy</v>
      </c>
      <c r="I145" s="1" t="str">
        <f t="shared" si="32"/>
        <v>KRWO0F09   LCLS Curncy</v>
      </c>
      <c r="J145" s="1" t="str">
        <f t="shared" si="32"/>
        <v>KRWP0F09   LCLS Curncy</v>
      </c>
      <c r="K145" s="1" t="str">
        <f t="shared" si="32"/>
        <v>KRWC0F09   LCLS Curncy</v>
      </c>
      <c r="L145" s="1" t="str">
        <f t="shared" si="32"/>
        <v>KRWQ0F09   LCLS Curncy</v>
      </c>
      <c r="M145" s="1" t="str">
        <f t="shared" si="32"/>
        <v>KRWR0F09   LCLS Curncy</v>
      </c>
      <c r="N145" s="1" t="str">
        <f t="shared" si="32"/>
        <v>KRWD0F09   LCLS Curncy</v>
      </c>
    </row>
    <row r="146" spans="1:14" ht="16.5" x14ac:dyDescent="0.3">
      <c r="A146" s="38" t="s">
        <v>1069</v>
      </c>
      <c r="B146" s="1" t="str">
        <f t="shared" ref="B146:N146" si="33">B36&amp;$B$1</f>
        <v>KRWA0F10   LCLS Curncy</v>
      </c>
      <c r="C146" s="1" t="str">
        <f t="shared" si="33"/>
        <v>KRWK0F10   LCLS Curncy</v>
      </c>
      <c r="D146" s="1" t="str">
        <f t="shared" si="33"/>
        <v>KRWL0F10   LCLS Curncy</v>
      </c>
      <c r="E146" s="1" t="str">
        <f t="shared" si="33"/>
        <v>KRWB0F10   LCLS Curncy</v>
      </c>
      <c r="F146" s="1" t="str">
        <f t="shared" si="33"/>
        <v>KRWM0F10   LCLS Curncy</v>
      </c>
      <c r="G146" s="1" t="str">
        <f t="shared" si="33"/>
        <v>KRWN0F10   LCLS Curncy</v>
      </c>
      <c r="H146" s="1" t="str">
        <f t="shared" si="33"/>
        <v>KWSN0F10   LCLS Curncy</v>
      </c>
      <c r="I146" s="1" t="str">
        <f t="shared" si="33"/>
        <v>KRWO0F10   LCLS Curncy</v>
      </c>
      <c r="J146" s="1" t="str">
        <f t="shared" si="33"/>
        <v>KRWP0F10   LCLS Curncy</v>
      </c>
      <c r="K146" s="1" t="str">
        <f t="shared" si="33"/>
        <v>KRWC0F10   LCLS Curncy</v>
      </c>
      <c r="L146" s="1" t="str">
        <f t="shared" si="33"/>
        <v>KRWQ0F10   LCLS Curncy</v>
      </c>
      <c r="M146" s="1" t="str">
        <f t="shared" si="33"/>
        <v>KRWR0F10   LCLS Curncy</v>
      </c>
      <c r="N146" s="1" t="str">
        <f t="shared" si="33"/>
        <v>KRWD0F10   LCLS Curncy</v>
      </c>
    </row>
    <row r="147" spans="1:14" ht="16.5" x14ac:dyDescent="0.3">
      <c r="A147" s="38" t="s">
        <v>1083</v>
      </c>
      <c r="B147" s="1" t="str">
        <f t="shared" ref="B147:N147" si="34">B37&amp;$B$1</f>
        <v>KRWA0F15   LCLS Curncy</v>
      </c>
      <c r="C147" s="1" t="str">
        <f t="shared" si="34"/>
        <v>KRWK0F15   LCLS Curncy</v>
      </c>
      <c r="D147" s="1" t="str">
        <f t="shared" si="34"/>
        <v>KRWL0F15   LCLS Curncy</v>
      </c>
      <c r="E147" s="1" t="str">
        <f t="shared" si="34"/>
        <v>KRWB0F15   LCLS Curncy</v>
      </c>
      <c r="F147" s="1" t="str">
        <f t="shared" si="34"/>
        <v>KRWM0F15   LCLS Curncy</v>
      </c>
      <c r="G147" s="1" t="str">
        <f t="shared" si="34"/>
        <v>KRWN0F15   LCLS Curncy</v>
      </c>
      <c r="H147" s="1" t="str">
        <f t="shared" si="34"/>
        <v>KWSN0F15   LCLS Curncy</v>
      </c>
      <c r="I147" s="1" t="str">
        <f t="shared" si="34"/>
        <v>KRWO0F15   LCLS Curncy</v>
      </c>
      <c r="J147" s="1" t="str">
        <f t="shared" si="34"/>
        <v>KRWP0F15   LCLS Curncy</v>
      </c>
      <c r="K147" s="1" t="str">
        <f t="shared" si="34"/>
        <v>KRWC0F15   LCLS Curncy</v>
      </c>
      <c r="L147" s="1" t="str">
        <f t="shared" si="34"/>
        <v>KRWQ0F15   LCLS Curncy</v>
      </c>
      <c r="M147" s="1" t="str">
        <f t="shared" si="34"/>
        <v>KRWR0F15   LCLS Curncy</v>
      </c>
      <c r="N147" s="1" t="str">
        <f t="shared" si="34"/>
        <v>KRWD0F15   LCLS Curncy</v>
      </c>
    </row>
    <row r="148" spans="1:14" ht="16.5" x14ac:dyDescent="0.3">
      <c r="A148" s="38" t="s">
        <v>1097</v>
      </c>
      <c r="B148" s="1" t="str">
        <f t="shared" ref="B148:N148" si="35">B38&amp;$B$1</f>
        <v>KRWA0F20   LCLS Curncy</v>
      </c>
      <c r="C148" s="1" t="str">
        <f t="shared" si="35"/>
        <v>KRWK0F20   LCLS Curncy</v>
      </c>
      <c r="D148" s="1" t="str">
        <f t="shared" si="35"/>
        <v>KRWL0F20   LCLS Curncy</v>
      </c>
      <c r="E148" s="1" t="str">
        <f t="shared" si="35"/>
        <v>KRWB0F20   LCLS Curncy</v>
      </c>
      <c r="F148" s="1" t="str">
        <f t="shared" si="35"/>
        <v>KRWM0F20   LCLS Curncy</v>
      </c>
      <c r="G148" s="1" t="str">
        <f t="shared" si="35"/>
        <v>KRWN0F20   LCLS Curncy</v>
      </c>
      <c r="H148" s="1" t="str">
        <f t="shared" si="35"/>
        <v>KWSN0F20   LCLS Curncy</v>
      </c>
      <c r="I148" s="1" t="str">
        <f t="shared" si="35"/>
        <v>KRWO0F20   LCLS Curncy</v>
      </c>
      <c r="J148" s="1" t="str">
        <f t="shared" si="35"/>
        <v>KRWP0F20   LCLS Curncy</v>
      </c>
      <c r="K148" s="1" t="str">
        <f t="shared" si="35"/>
        <v>KRWC0F20   LCLS Curncy</v>
      </c>
      <c r="L148" s="1" t="str">
        <f t="shared" si="35"/>
        <v>KRWQ0F20   LCLS Curncy</v>
      </c>
      <c r="M148" s="1" t="str">
        <f t="shared" si="35"/>
        <v>KRWR0F20   LCLS Curncy</v>
      </c>
      <c r="N148" s="1" t="str">
        <f t="shared" si="35"/>
        <v>KRWD0F20   LCLS Curncy</v>
      </c>
    </row>
    <row r="149" spans="1:14" ht="16.5" x14ac:dyDescent="0.3">
      <c r="A149" s="38" t="s">
        <v>1111</v>
      </c>
      <c r="B149" s="1" t="str">
        <f t="shared" ref="B149:N149" si="36">B39&amp;$B$1</f>
        <v>KRWA0101   LCLS Curncy</v>
      </c>
      <c r="C149" s="1" t="str">
        <f t="shared" si="36"/>
        <v>KRWK0101   LCLS Curncy</v>
      </c>
      <c r="D149" s="1" t="str">
        <f t="shared" si="36"/>
        <v>KRWL0101   LCLS Curncy</v>
      </c>
      <c r="E149" s="1" t="str">
        <f t="shared" si="36"/>
        <v>KRWB0101   LCLS Curncy</v>
      </c>
      <c r="F149" s="1" t="str">
        <f t="shared" si="36"/>
        <v>KRWM0101   LCLS Curncy</v>
      </c>
      <c r="G149" s="1" t="str">
        <f t="shared" si="36"/>
        <v>KRWN0101   LCLS Curncy</v>
      </c>
      <c r="H149" s="1" t="str">
        <f t="shared" si="36"/>
        <v>KWSN011    LCLS Curncy</v>
      </c>
      <c r="I149" s="1" t="str">
        <f t="shared" si="36"/>
        <v>KRWO0101   LCLS Curncy</v>
      </c>
      <c r="J149" s="1" t="str">
        <f t="shared" si="36"/>
        <v>KRWP0101   LCLS Curncy</v>
      </c>
      <c r="K149" s="1" t="str">
        <f t="shared" si="36"/>
        <v>KRWC0101   LCLS Curncy</v>
      </c>
      <c r="L149" s="1" t="str">
        <f t="shared" si="36"/>
        <v>KRWQ0101   LCLS Curncy</v>
      </c>
      <c r="M149" s="1" t="str">
        <f t="shared" si="36"/>
        <v>KRWR0101   LCLS Curncy</v>
      </c>
      <c r="N149" s="1" t="str">
        <f t="shared" si="36"/>
        <v>KRWD0101   LCLS Curncy</v>
      </c>
    </row>
    <row r="150" spans="1:14" ht="16.5" x14ac:dyDescent="0.3">
      <c r="A150" s="38" t="s">
        <v>1125</v>
      </c>
      <c r="B150" s="1" t="str">
        <f t="shared" ref="B150:N150" si="37">B40&amp;$B$1</f>
        <v>KRWA0102   LCLS Curncy</v>
      </c>
      <c r="C150" s="1" t="str">
        <f t="shared" si="37"/>
        <v>KRWK0102   LCLS Curncy</v>
      </c>
      <c r="D150" s="1" t="str">
        <f t="shared" si="37"/>
        <v>KRWL0102   LCLS Curncy</v>
      </c>
      <c r="E150" s="1" t="str">
        <f t="shared" si="37"/>
        <v>KRWB0102   LCLS Curncy</v>
      </c>
      <c r="F150" s="1" t="str">
        <f t="shared" si="37"/>
        <v>KRWM0102   LCLS Curncy</v>
      </c>
      <c r="G150" s="1" t="str">
        <f t="shared" si="37"/>
        <v>KRWN0102   LCLS Curncy</v>
      </c>
      <c r="H150" s="1" t="str">
        <f t="shared" si="37"/>
        <v>KWSN012    LCLS Curncy</v>
      </c>
      <c r="I150" s="1" t="str">
        <f t="shared" si="37"/>
        <v>KRWO0102   LCLS Curncy</v>
      </c>
      <c r="J150" s="1" t="str">
        <f t="shared" si="37"/>
        <v>KRWP0102   LCLS Curncy</v>
      </c>
      <c r="K150" s="1" t="str">
        <f t="shared" si="37"/>
        <v>KRWC0102   LCLS Curncy</v>
      </c>
      <c r="L150" s="1" t="str">
        <f t="shared" si="37"/>
        <v>KRWQ0102   LCLS Curncy</v>
      </c>
      <c r="M150" s="1" t="str">
        <f t="shared" si="37"/>
        <v>KRWR0102   LCLS Curncy</v>
      </c>
      <c r="N150" s="1" t="str">
        <f t="shared" si="37"/>
        <v>KRWD0102   LCLS Curncy</v>
      </c>
    </row>
    <row r="151" spans="1:14" ht="16.5" x14ac:dyDescent="0.3">
      <c r="A151" s="38" t="s">
        <v>1139</v>
      </c>
      <c r="B151" s="1" t="str">
        <f t="shared" ref="B151:N151" si="38">B41&amp;$B$1</f>
        <v>KRWA0103   LCLS Curncy</v>
      </c>
      <c r="C151" s="1" t="str">
        <f t="shared" si="38"/>
        <v>KRWK0103   LCLS Curncy</v>
      </c>
      <c r="D151" s="1" t="str">
        <f t="shared" si="38"/>
        <v>KRWL0103   LCLS Curncy</v>
      </c>
      <c r="E151" s="1" t="str">
        <f t="shared" si="38"/>
        <v>KRWB0103   LCLS Curncy</v>
      </c>
      <c r="F151" s="1" t="str">
        <f t="shared" si="38"/>
        <v>KRWM0103   LCLS Curncy</v>
      </c>
      <c r="G151" s="1" t="str">
        <f t="shared" si="38"/>
        <v>KRWN0103   LCLS Curncy</v>
      </c>
      <c r="H151" s="1" t="str">
        <f t="shared" si="38"/>
        <v>KWSN013    LCLS Curncy</v>
      </c>
      <c r="I151" s="1" t="str">
        <f t="shared" si="38"/>
        <v>KRWO0103   LCLS Curncy</v>
      </c>
      <c r="J151" s="1" t="str">
        <f t="shared" si="38"/>
        <v>KRWP0103   LCLS Curncy</v>
      </c>
      <c r="K151" s="1" t="str">
        <f t="shared" si="38"/>
        <v>KRWC0103   LCLS Curncy</v>
      </c>
      <c r="L151" s="1" t="str">
        <f t="shared" si="38"/>
        <v>KRWQ0103   LCLS Curncy</v>
      </c>
      <c r="M151" s="1" t="str">
        <f t="shared" si="38"/>
        <v>KRWR0103   LCLS Curncy</v>
      </c>
      <c r="N151" s="1" t="str">
        <f t="shared" si="38"/>
        <v>KRWD0103   LCLS Curncy</v>
      </c>
    </row>
    <row r="152" spans="1:14" ht="16.5" x14ac:dyDescent="0.3">
      <c r="A152" s="38" t="s">
        <v>1153</v>
      </c>
      <c r="B152" s="1" t="str">
        <f t="shared" ref="B152:N152" si="39">B42&amp;$B$1</f>
        <v>KRWA0104   LCLS Curncy</v>
      </c>
      <c r="C152" s="1" t="str">
        <f t="shared" si="39"/>
        <v>KRWK0104   LCLS Curncy</v>
      </c>
      <c r="D152" s="1" t="str">
        <f t="shared" si="39"/>
        <v>KRWL0104   LCLS Curncy</v>
      </c>
      <c r="E152" s="1" t="str">
        <f t="shared" si="39"/>
        <v>KRWB0104   LCLS Curncy</v>
      </c>
      <c r="F152" s="1" t="str">
        <f t="shared" si="39"/>
        <v>KRWM0104   LCLS Curncy</v>
      </c>
      <c r="G152" s="1" t="str">
        <f t="shared" si="39"/>
        <v>KRWN0104   LCLS Curncy</v>
      </c>
      <c r="H152" s="1" t="str">
        <f t="shared" si="39"/>
        <v>KWSN014    LCLS Curncy</v>
      </c>
      <c r="I152" s="1" t="str">
        <f t="shared" si="39"/>
        <v>KRWO0104   LCLS Curncy</v>
      </c>
      <c r="J152" s="1" t="str">
        <f t="shared" si="39"/>
        <v>KRWP0104   LCLS Curncy</v>
      </c>
      <c r="K152" s="1" t="str">
        <f t="shared" si="39"/>
        <v>KRWC0104   LCLS Curncy</v>
      </c>
      <c r="L152" s="1" t="str">
        <f t="shared" si="39"/>
        <v>KRWQ0104   LCLS Curncy</v>
      </c>
      <c r="M152" s="1" t="str">
        <f t="shared" si="39"/>
        <v>KRWR0104   LCLS Curncy</v>
      </c>
      <c r="N152" s="1" t="str">
        <f t="shared" si="39"/>
        <v>KRWD0104   LCLS Curncy</v>
      </c>
    </row>
    <row r="153" spans="1:14" ht="16.5" x14ac:dyDescent="0.3">
      <c r="A153" s="38" t="s">
        <v>1167</v>
      </c>
      <c r="B153" s="1" t="str">
        <f t="shared" ref="B153:N153" si="40">B43&amp;$B$1</f>
        <v>KRWA0105   LCLS Curncy</v>
      </c>
      <c r="C153" s="1" t="str">
        <f t="shared" si="40"/>
        <v>KRWK0105   LCLS Curncy</v>
      </c>
      <c r="D153" s="1" t="str">
        <f t="shared" si="40"/>
        <v>KRWL0105   LCLS Curncy</v>
      </c>
      <c r="E153" s="1" t="str">
        <f t="shared" si="40"/>
        <v>KRWB0105   LCLS Curncy</v>
      </c>
      <c r="F153" s="1" t="str">
        <f t="shared" si="40"/>
        <v>KRWM0105   LCLS Curncy</v>
      </c>
      <c r="G153" s="1" t="str">
        <f t="shared" si="40"/>
        <v>KRWN0105   LCLS Curncy</v>
      </c>
      <c r="H153" s="1" t="str">
        <f t="shared" si="40"/>
        <v>KWSN015    LCLS Curncy</v>
      </c>
      <c r="I153" s="1" t="str">
        <f t="shared" si="40"/>
        <v>KRWO0105   LCLS Curncy</v>
      </c>
      <c r="J153" s="1" t="str">
        <f t="shared" si="40"/>
        <v>KRWP0105   LCLS Curncy</v>
      </c>
      <c r="K153" s="1" t="str">
        <f t="shared" si="40"/>
        <v>KRWC0105   LCLS Curncy</v>
      </c>
      <c r="L153" s="1" t="str">
        <f t="shared" si="40"/>
        <v>KRWQ0105   LCLS Curncy</v>
      </c>
      <c r="M153" s="1" t="str">
        <f t="shared" si="40"/>
        <v>KRWR0105   LCLS Curncy</v>
      </c>
      <c r="N153" s="1" t="str">
        <f t="shared" si="40"/>
        <v>KRWD0105   LCLS Curncy</v>
      </c>
    </row>
    <row r="154" spans="1:14" ht="16.5" x14ac:dyDescent="0.3">
      <c r="A154" s="38" t="s">
        <v>1181</v>
      </c>
      <c r="B154" s="1" t="str">
        <f t="shared" ref="B154:N154" si="41">B44&amp;$B$1</f>
        <v>KRWA0106   LCLS Curncy</v>
      </c>
      <c r="C154" s="1" t="str">
        <f t="shared" si="41"/>
        <v>KRWK0106   LCLS Curncy</v>
      </c>
      <c r="D154" s="1" t="str">
        <f t="shared" si="41"/>
        <v>KRWL0106   LCLS Curncy</v>
      </c>
      <c r="E154" s="1" t="str">
        <f t="shared" si="41"/>
        <v>KRWB0106   LCLS Curncy</v>
      </c>
      <c r="F154" s="1" t="str">
        <f t="shared" si="41"/>
        <v>KRWM0106   LCLS Curncy</v>
      </c>
      <c r="G154" s="1" t="str">
        <f t="shared" si="41"/>
        <v>KRWN0106   LCLS Curncy</v>
      </c>
      <c r="H154" s="1" t="str">
        <f t="shared" si="41"/>
        <v>KWSN016    LCLS Curncy</v>
      </c>
      <c r="I154" s="1" t="str">
        <f t="shared" si="41"/>
        <v>KRWO0106   LCLS Curncy</v>
      </c>
      <c r="J154" s="1" t="str">
        <f t="shared" si="41"/>
        <v>KRWP0106   LCLS Curncy</v>
      </c>
      <c r="K154" s="1" t="str">
        <f t="shared" si="41"/>
        <v>KRWC0106   LCLS Curncy</v>
      </c>
      <c r="L154" s="1" t="str">
        <f t="shared" si="41"/>
        <v>KRWQ0106   LCLS Curncy</v>
      </c>
      <c r="M154" s="1" t="str">
        <f t="shared" si="41"/>
        <v>KRWR0106   LCLS Curncy</v>
      </c>
      <c r="N154" s="1" t="str">
        <f t="shared" si="41"/>
        <v>KRWD0106   LCLS Curncy</v>
      </c>
    </row>
    <row r="155" spans="1:14" ht="16.5" x14ac:dyDescent="0.3">
      <c r="A155" s="38" t="s">
        <v>1195</v>
      </c>
      <c r="B155" s="1" t="str">
        <f t="shared" ref="B155:N155" si="42">B45&amp;$B$1</f>
        <v>KRWA0107   LCLS Curncy</v>
      </c>
      <c r="C155" s="1" t="str">
        <f t="shared" si="42"/>
        <v>KRWK0107   LCLS Curncy</v>
      </c>
      <c r="D155" s="1" t="str">
        <f t="shared" si="42"/>
        <v>KRWL0107   LCLS Curncy</v>
      </c>
      <c r="E155" s="1" t="str">
        <f t="shared" si="42"/>
        <v>KRWB0107   LCLS Curncy</v>
      </c>
      <c r="F155" s="1" t="str">
        <f t="shared" si="42"/>
        <v>KRWM0107   LCLS Curncy</v>
      </c>
      <c r="G155" s="1" t="str">
        <f t="shared" si="42"/>
        <v>KRWN0107   LCLS Curncy</v>
      </c>
      <c r="H155" s="1" t="str">
        <f t="shared" si="42"/>
        <v>KWSN017    LCLS Curncy</v>
      </c>
      <c r="I155" s="1" t="str">
        <f t="shared" si="42"/>
        <v>KRWO0107   LCLS Curncy</v>
      </c>
      <c r="J155" s="1" t="str">
        <f t="shared" si="42"/>
        <v>KRWP0107   LCLS Curncy</v>
      </c>
      <c r="K155" s="1" t="str">
        <f t="shared" si="42"/>
        <v>KRWC0107   LCLS Curncy</v>
      </c>
      <c r="L155" s="1" t="str">
        <f t="shared" si="42"/>
        <v>KRWQ0107   LCLS Curncy</v>
      </c>
      <c r="M155" s="1" t="str">
        <f t="shared" si="42"/>
        <v>KRWR0107   LCLS Curncy</v>
      </c>
      <c r="N155" s="1" t="str">
        <f t="shared" si="42"/>
        <v>KRWD0107   LCLS Curncy</v>
      </c>
    </row>
    <row r="156" spans="1:14" ht="16.5" x14ac:dyDescent="0.3">
      <c r="A156" s="38" t="s">
        <v>1209</v>
      </c>
      <c r="B156" s="1" t="str">
        <f t="shared" ref="B156:N156" si="43">B46&amp;$B$1</f>
        <v>KRWA0108   LCLS Curncy</v>
      </c>
      <c r="C156" s="1" t="str">
        <f t="shared" si="43"/>
        <v>KRWK0108   LCLS Curncy</v>
      </c>
      <c r="D156" s="1" t="str">
        <f t="shared" si="43"/>
        <v>KRWL0108   LCLS Curncy</v>
      </c>
      <c r="E156" s="1" t="str">
        <f t="shared" si="43"/>
        <v>KRWB0108   LCLS Curncy</v>
      </c>
      <c r="F156" s="1" t="str">
        <f t="shared" si="43"/>
        <v>KRWM0108   LCLS Curncy</v>
      </c>
      <c r="G156" s="1" t="str">
        <f t="shared" si="43"/>
        <v>KRWN0108   LCLS Curncy</v>
      </c>
      <c r="H156" s="1" t="str">
        <f t="shared" si="43"/>
        <v>KWSN018    LCLS Curncy</v>
      </c>
      <c r="I156" s="1" t="str">
        <f t="shared" si="43"/>
        <v>KRWO0108   LCLS Curncy</v>
      </c>
      <c r="J156" s="1" t="str">
        <f t="shared" si="43"/>
        <v>KRWP0108   LCLS Curncy</v>
      </c>
      <c r="K156" s="1" t="str">
        <f t="shared" si="43"/>
        <v>KRWC0108   LCLS Curncy</v>
      </c>
      <c r="L156" s="1" t="str">
        <f t="shared" si="43"/>
        <v>KRWQ0108   LCLS Curncy</v>
      </c>
      <c r="M156" s="1" t="str">
        <f t="shared" si="43"/>
        <v>KRWR0108   LCLS Curncy</v>
      </c>
      <c r="N156" s="1" t="str">
        <f t="shared" si="43"/>
        <v>KRWD0108   LCLS Curncy</v>
      </c>
    </row>
    <row r="157" spans="1:14" ht="16.5" x14ac:dyDescent="0.3">
      <c r="A157" s="38" t="s">
        <v>1223</v>
      </c>
      <c r="B157" s="1" t="str">
        <f t="shared" ref="B157:N157" si="44">B47&amp;$B$1</f>
        <v>KRWA0109   LCLS Curncy</v>
      </c>
      <c r="C157" s="1" t="str">
        <f t="shared" si="44"/>
        <v>KRWK0109   LCLS Curncy</v>
      </c>
      <c r="D157" s="1" t="str">
        <f t="shared" si="44"/>
        <v>KRWL0109   LCLS Curncy</v>
      </c>
      <c r="E157" s="1" t="str">
        <f t="shared" si="44"/>
        <v>KRWB0109   LCLS Curncy</v>
      </c>
      <c r="F157" s="1" t="str">
        <f t="shared" si="44"/>
        <v>KRWM0109   LCLS Curncy</v>
      </c>
      <c r="G157" s="1" t="str">
        <f t="shared" si="44"/>
        <v>KRWN0109   LCLS Curncy</v>
      </c>
      <c r="H157" s="1" t="str">
        <f t="shared" si="44"/>
        <v>KWSN019    LCLS Curncy</v>
      </c>
      <c r="I157" s="1" t="str">
        <f t="shared" si="44"/>
        <v>KRWO0109   LCLS Curncy</v>
      </c>
      <c r="J157" s="1" t="str">
        <f t="shared" si="44"/>
        <v>KRWP0109   LCLS Curncy</v>
      </c>
      <c r="K157" s="1" t="str">
        <f t="shared" si="44"/>
        <v>KRWC0109   LCLS Curncy</v>
      </c>
      <c r="L157" s="1" t="str">
        <f t="shared" si="44"/>
        <v>KRWQ0109   LCLS Curncy</v>
      </c>
      <c r="M157" s="1" t="str">
        <f t="shared" si="44"/>
        <v>KRWR0109   LCLS Curncy</v>
      </c>
      <c r="N157" s="1" t="str">
        <f t="shared" si="44"/>
        <v>KRWD0109   LCLS Curncy</v>
      </c>
    </row>
    <row r="158" spans="1:14" ht="16.5" x14ac:dyDescent="0.3">
      <c r="A158" s="38" t="s">
        <v>1237</v>
      </c>
      <c r="B158" s="1" t="str">
        <f t="shared" ref="B158:N158" si="45">B48&amp;$B$1</f>
        <v>KRWA0110   LCLS Curncy</v>
      </c>
      <c r="C158" s="1" t="str">
        <f t="shared" si="45"/>
        <v>KRWK0110   LCLS Curncy</v>
      </c>
      <c r="D158" s="1" t="str">
        <f t="shared" si="45"/>
        <v>KRWL0110   LCLS Curncy</v>
      </c>
      <c r="E158" s="1" t="str">
        <f t="shared" si="45"/>
        <v>KRWB0110   LCLS Curncy</v>
      </c>
      <c r="F158" s="1" t="str">
        <f t="shared" si="45"/>
        <v>KRWM0110   LCLS Curncy</v>
      </c>
      <c r="G158" s="1" t="str">
        <f t="shared" si="45"/>
        <v>KRWN0110   LCLS Curncy</v>
      </c>
      <c r="H158" s="1" t="str">
        <f t="shared" si="45"/>
        <v>KWSN0110   LCLS Curncy</v>
      </c>
      <c r="I158" s="1" t="str">
        <f t="shared" si="45"/>
        <v>KRWO0110   LCLS Curncy</v>
      </c>
      <c r="J158" s="1" t="str">
        <f t="shared" si="45"/>
        <v>KRWP0110   LCLS Curncy</v>
      </c>
      <c r="K158" s="1" t="str">
        <f t="shared" si="45"/>
        <v>KRWC0110   LCLS Curncy</v>
      </c>
      <c r="L158" s="1" t="str">
        <f t="shared" si="45"/>
        <v>KRWQ0110   LCLS Curncy</v>
      </c>
      <c r="M158" s="1" t="str">
        <f t="shared" si="45"/>
        <v>KRWR0110   LCLS Curncy</v>
      </c>
      <c r="N158" s="1" t="str">
        <f t="shared" si="45"/>
        <v>KRWD0110   LCLS Curncy</v>
      </c>
    </row>
    <row r="159" spans="1:14" ht="16.5" x14ac:dyDescent="0.3">
      <c r="A159" s="38" t="s">
        <v>1251</v>
      </c>
      <c r="B159" s="1" t="str">
        <f t="shared" ref="B159:N159" si="46">B49&amp;$B$1</f>
        <v>KRWA0115   LCLS Curncy</v>
      </c>
      <c r="C159" s="1" t="str">
        <f t="shared" si="46"/>
        <v>KRWK0115   LCLS Curncy</v>
      </c>
      <c r="D159" s="1" t="str">
        <f t="shared" si="46"/>
        <v>KRWL0115   LCLS Curncy</v>
      </c>
      <c r="E159" s="1" t="str">
        <f t="shared" si="46"/>
        <v>KRWB0115   LCLS Curncy</v>
      </c>
      <c r="F159" s="1" t="str">
        <f t="shared" si="46"/>
        <v>KRWM0115   LCLS Curncy</v>
      </c>
      <c r="G159" s="1" t="str">
        <f t="shared" si="46"/>
        <v>KRWN0115   LCLS Curncy</v>
      </c>
      <c r="H159" s="1" t="str">
        <f t="shared" si="46"/>
        <v>KWSN0115   LCLS Curncy</v>
      </c>
      <c r="I159" s="1" t="str">
        <f t="shared" si="46"/>
        <v>KRWO0115   LCLS Curncy</v>
      </c>
      <c r="J159" s="1" t="str">
        <f t="shared" si="46"/>
        <v>KRWP0115   LCLS Curncy</v>
      </c>
      <c r="K159" s="1" t="str">
        <f t="shared" si="46"/>
        <v>KRWC0115   LCLS Curncy</v>
      </c>
      <c r="L159" s="1" t="str">
        <f t="shared" si="46"/>
        <v>KRWQ0115   LCLS Curncy</v>
      </c>
      <c r="M159" s="1" t="str">
        <f t="shared" si="46"/>
        <v>KRWR0115   LCLS Curncy</v>
      </c>
      <c r="N159" s="1" t="str">
        <f t="shared" si="46"/>
        <v>KRWD0115   LCLS Curncy</v>
      </c>
    </row>
    <row r="160" spans="1:14" ht="16.5" x14ac:dyDescent="0.3">
      <c r="A160" s="38" t="s">
        <v>1265</v>
      </c>
      <c r="B160" s="1" t="str">
        <f t="shared" ref="B160:N160" si="47">B50&amp;$B$1</f>
        <v>KRWA0120   LCLS Curncy</v>
      </c>
      <c r="C160" s="1" t="str">
        <f t="shared" si="47"/>
        <v>KRWK0120   LCLS Curncy</v>
      </c>
      <c r="D160" s="1" t="str">
        <f t="shared" si="47"/>
        <v>KRWL0120   LCLS Curncy</v>
      </c>
      <c r="E160" s="1" t="str">
        <f t="shared" si="47"/>
        <v>KRWB0120   LCLS Curncy</v>
      </c>
      <c r="F160" s="1" t="str">
        <f t="shared" si="47"/>
        <v>KRWM0120   LCLS Curncy</v>
      </c>
      <c r="G160" s="1" t="str">
        <f t="shared" si="47"/>
        <v>KRWN0120   LCLS Curncy</v>
      </c>
      <c r="H160" s="1" t="str">
        <f t="shared" si="47"/>
        <v>KWSN0120   LCLS Curncy</v>
      </c>
      <c r="I160" s="1" t="str">
        <f t="shared" si="47"/>
        <v>KRWO0120   LCLS Curncy</v>
      </c>
      <c r="J160" s="1" t="str">
        <f t="shared" si="47"/>
        <v>KRWP0120   LCLS Curncy</v>
      </c>
      <c r="K160" s="1" t="str">
        <f t="shared" si="47"/>
        <v>KRWC0120   LCLS Curncy</v>
      </c>
      <c r="L160" s="1" t="str">
        <f t="shared" si="47"/>
        <v>KRWQ0120   LCLS Curncy</v>
      </c>
      <c r="M160" s="1" t="str">
        <f t="shared" si="47"/>
        <v>KRWR0120   LCLS Curncy</v>
      </c>
      <c r="N160" s="1" t="str">
        <f t="shared" si="47"/>
        <v>KRWD0120   LCLS Curncy</v>
      </c>
    </row>
    <row r="161" spans="1:14" ht="16.5" x14ac:dyDescent="0.3">
      <c r="A161" s="38" t="s">
        <v>1279</v>
      </c>
      <c r="B161" s="1" t="str">
        <f t="shared" ref="B161:N161" si="48">B51&amp;$B$1</f>
        <v>KRWA0201   LCLS Curncy</v>
      </c>
      <c r="C161" s="1" t="str">
        <f t="shared" si="48"/>
        <v>KRWK0201   LCLS Curncy</v>
      </c>
      <c r="D161" s="1" t="str">
        <f t="shared" si="48"/>
        <v>KRWL0201   LCLS Curncy</v>
      </c>
      <c r="E161" s="1" t="str">
        <f t="shared" si="48"/>
        <v>KRWB0201   LCLS Curncy</v>
      </c>
      <c r="F161" s="1" t="str">
        <f t="shared" si="48"/>
        <v>KRWM0201   LCLS Curncy</v>
      </c>
      <c r="G161" s="1" t="str">
        <f t="shared" si="48"/>
        <v>KRWN0201   LCLS Curncy</v>
      </c>
      <c r="H161" s="1" t="str">
        <f t="shared" si="48"/>
        <v>KWSN021    LCLS Curncy</v>
      </c>
      <c r="I161" s="1" t="str">
        <f t="shared" si="48"/>
        <v>KRWO0201   LCLS Curncy</v>
      </c>
      <c r="J161" s="1" t="str">
        <f t="shared" si="48"/>
        <v>KRWP0201   LCLS Curncy</v>
      </c>
      <c r="K161" s="1" t="str">
        <f t="shared" si="48"/>
        <v>KRWC0201   LCLS Curncy</v>
      </c>
      <c r="L161" s="1" t="str">
        <f t="shared" si="48"/>
        <v>KRWQ0201   LCLS Curncy</v>
      </c>
      <c r="M161" s="1" t="str">
        <f t="shared" si="48"/>
        <v>KRWR0201   LCLS Curncy</v>
      </c>
      <c r="N161" s="1" t="str">
        <f t="shared" si="48"/>
        <v>KRWD0201   LCLS Curncy</v>
      </c>
    </row>
    <row r="162" spans="1:14" ht="16.5" x14ac:dyDescent="0.3">
      <c r="A162" s="38" t="s">
        <v>1293</v>
      </c>
      <c r="B162" s="1" t="str">
        <f t="shared" ref="B162:N162" si="49">B52&amp;$B$1</f>
        <v>KRWA0202   LCLS Curncy</v>
      </c>
      <c r="C162" s="1" t="str">
        <f t="shared" si="49"/>
        <v>KRWK0202   LCLS Curncy</v>
      </c>
      <c r="D162" s="1" t="str">
        <f t="shared" si="49"/>
        <v>KRWL0202   LCLS Curncy</v>
      </c>
      <c r="E162" s="1" t="str">
        <f t="shared" si="49"/>
        <v>KRWB0202   LCLS Curncy</v>
      </c>
      <c r="F162" s="1" t="str">
        <f t="shared" si="49"/>
        <v>KRWM0202   LCLS Curncy</v>
      </c>
      <c r="G162" s="1" t="str">
        <f t="shared" si="49"/>
        <v>KRWN0202   LCLS Curncy</v>
      </c>
      <c r="H162" s="1" t="str">
        <f t="shared" si="49"/>
        <v>KWSN022    LCLS Curncy</v>
      </c>
      <c r="I162" s="1" t="str">
        <f t="shared" si="49"/>
        <v>KRWO0202   LCLS Curncy</v>
      </c>
      <c r="J162" s="1" t="str">
        <f t="shared" si="49"/>
        <v>KRWP0202   LCLS Curncy</v>
      </c>
      <c r="K162" s="1" t="str">
        <f t="shared" si="49"/>
        <v>KRWC0202   LCLS Curncy</v>
      </c>
      <c r="L162" s="1" t="str">
        <f t="shared" si="49"/>
        <v>KRWQ0202   LCLS Curncy</v>
      </c>
      <c r="M162" s="1" t="str">
        <f t="shared" si="49"/>
        <v>KRWR0202   LCLS Curncy</v>
      </c>
      <c r="N162" s="1" t="str">
        <f t="shared" si="49"/>
        <v>KRWD0202   LCLS Curncy</v>
      </c>
    </row>
    <row r="163" spans="1:14" ht="16.5" x14ac:dyDescent="0.3">
      <c r="A163" s="38" t="s">
        <v>1307</v>
      </c>
      <c r="B163" s="1" t="str">
        <f t="shared" ref="B163:N163" si="50">B53&amp;$B$1</f>
        <v>KRWA0203   LCLS Curncy</v>
      </c>
      <c r="C163" s="1" t="str">
        <f t="shared" si="50"/>
        <v>KRWK0203   LCLS Curncy</v>
      </c>
      <c r="D163" s="1" t="str">
        <f t="shared" si="50"/>
        <v>KRWL0203   LCLS Curncy</v>
      </c>
      <c r="E163" s="1" t="str">
        <f t="shared" si="50"/>
        <v>KRWB0203   LCLS Curncy</v>
      </c>
      <c r="F163" s="1" t="str">
        <f t="shared" si="50"/>
        <v>KRWM0203   LCLS Curncy</v>
      </c>
      <c r="G163" s="1" t="str">
        <f t="shared" si="50"/>
        <v>KRWN0203   LCLS Curncy</v>
      </c>
      <c r="H163" s="1" t="str">
        <f t="shared" si="50"/>
        <v>KWSN023    LCLS Curncy</v>
      </c>
      <c r="I163" s="1" t="str">
        <f t="shared" si="50"/>
        <v>KRWO0203   LCLS Curncy</v>
      </c>
      <c r="J163" s="1" t="str">
        <f t="shared" si="50"/>
        <v>KRWP0203   LCLS Curncy</v>
      </c>
      <c r="K163" s="1" t="str">
        <f t="shared" si="50"/>
        <v>KRWC0203   LCLS Curncy</v>
      </c>
      <c r="L163" s="1" t="str">
        <f t="shared" si="50"/>
        <v>KRWQ0203   LCLS Curncy</v>
      </c>
      <c r="M163" s="1" t="str">
        <f t="shared" si="50"/>
        <v>KRWR0203   LCLS Curncy</v>
      </c>
      <c r="N163" s="1" t="str">
        <f t="shared" si="50"/>
        <v>KRWD0203   LCLS Curncy</v>
      </c>
    </row>
    <row r="164" spans="1:14" ht="16.5" x14ac:dyDescent="0.3">
      <c r="A164" s="38" t="s">
        <v>1321</v>
      </c>
      <c r="B164" s="1" t="str">
        <f t="shared" ref="B164:N164" si="51">B54&amp;$B$1</f>
        <v>KRWA0204   LCLS Curncy</v>
      </c>
      <c r="C164" s="1" t="str">
        <f t="shared" si="51"/>
        <v>KRWK0204   LCLS Curncy</v>
      </c>
      <c r="D164" s="1" t="str">
        <f t="shared" si="51"/>
        <v>KRWL0204   LCLS Curncy</v>
      </c>
      <c r="E164" s="1" t="str">
        <f t="shared" si="51"/>
        <v>KRWB0204   LCLS Curncy</v>
      </c>
      <c r="F164" s="1" t="str">
        <f t="shared" si="51"/>
        <v>KRWM0204   LCLS Curncy</v>
      </c>
      <c r="G164" s="1" t="str">
        <f t="shared" si="51"/>
        <v>KRWN0204   LCLS Curncy</v>
      </c>
      <c r="H164" s="1" t="str">
        <f t="shared" si="51"/>
        <v>KWSN024    LCLS Curncy</v>
      </c>
      <c r="I164" s="1" t="str">
        <f t="shared" si="51"/>
        <v>KRWO0204   LCLS Curncy</v>
      </c>
      <c r="J164" s="1" t="str">
        <f t="shared" si="51"/>
        <v>KRWP0204   LCLS Curncy</v>
      </c>
      <c r="K164" s="1" t="str">
        <f t="shared" si="51"/>
        <v>KRWC0204   LCLS Curncy</v>
      </c>
      <c r="L164" s="1" t="str">
        <f t="shared" si="51"/>
        <v>KRWQ0204   LCLS Curncy</v>
      </c>
      <c r="M164" s="1" t="str">
        <f t="shared" si="51"/>
        <v>KRWR0204   LCLS Curncy</v>
      </c>
      <c r="N164" s="1" t="str">
        <f t="shared" si="51"/>
        <v>KRWD0204   LCLS Curncy</v>
      </c>
    </row>
    <row r="165" spans="1:14" ht="16.5" x14ac:dyDescent="0.3">
      <c r="A165" s="38" t="s">
        <v>1335</v>
      </c>
      <c r="B165" s="1" t="str">
        <f t="shared" ref="B165:N165" si="52">B55&amp;$B$1</f>
        <v>KRWA0205   LCLS Curncy</v>
      </c>
      <c r="C165" s="1" t="str">
        <f t="shared" si="52"/>
        <v>KRWK0205   LCLS Curncy</v>
      </c>
      <c r="D165" s="1" t="str">
        <f t="shared" si="52"/>
        <v>KRWL0205   LCLS Curncy</v>
      </c>
      <c r="E165" s="1" t="str">
        <f t="shared" si="52"/>
        <v>KRWB0205   LCLS Curncy</v>
      </c>
      <c r="F165" s="1" t="str">
        <f t="shared" si="52"/>
        <v>KRWM0205   LCLS Curncy</v>
      </c>
      <c r="G165" s="1" t="str">
        <f t="shared" si="52"/>
        <v>KRWN0205   LCLS Curncy</v>
      </c>
      <c r="H165" s="1" t="str">
        <f t="shared" si="52"/>
        <v>KWSN025    LCLS Curncy</v>
      </c>
      <c r="I165" s="1" t="str">
        <f t="shared" si="52"/>
        <v>KRWO0205   LCLS Curncy</v>
      </c>
      <c r="J165" s="1" t="str">
        <f t="shared" si="52"/>
        <v>KRWP0205   LCLS Curncy</v>
      </c>
      <c r="K165" s="1" t="str">
        <f t="shared" si="52"/>
        <v>KRWC0205   LCLS Curncy</v>
      </c>
      <c r="L165" s="1" t="str">
        <f t="shared" si="52"/>
        <v>KRWQ0205   LCLS Curncy</v>
      </c>
      <c r="M165" s="1" t="str">
        <f t="shared" si="52"/>
        <v>KRWR0205   LCLS Curncy</v>
      </c>
      <c r="N165" s="1" t="str">
        <f t="shared" si="52"/>
        <v>KRWD0205   LCLS Curncy</v>
      </c>
    </row>
    <row r="166" spans="1:14" ht="16.5" x14ac:dyDescent="0.3">
      <c r="A166" s="38" t="s">
        <v>1349</v>
      </c>
      <c r="B166" s="1" t="str">
        <f t="shared" ref="B166:N166" si="53">B56&amp;$B$1</f>
        <v>KRWA0206   LCLS Curncy</v>
      </c>
      <c r="C166" s="1" t="str">
        <f t="shared" si="53"/>
        <v>KRWK0206   LCLS Curncy</v>
      </c>
      <c r="D166" s="1" t="str">
        <f t="shared" si="53"/>
        <v>KRWL0206   LCLS Curncy</v>
      </c>
      <c r="E166" s="1" t="str">
        <f t="shared" si="53"/>
        <v>KRWB0206   LCLS Curncy</v>
      </c>
      <c r="F166" s="1" t="str">
        <f t="shared" si="53"/>
        <v>KRWM0206   LCLS Curncy</v>
      </c>
      <c r="G166" s="1" t="str">
        <f t="shared" si="53"/>
        <v>KRWN0206   LCLS Curncy</v>
      </c>
      <c r="H166" s="1" t="str">
        <f t="shared" si="53"/>
        <v>KWSN026    LCLS Curncy</v>
      </c>
      <c r="I166" s="1" t="str">
        <f t="shared" si="53"/>
        <v>KRWO0206   LCLS Curncy</v>
      </c>
      <c r="J166" s="1" t="str">
        <f t="shared" si="53"/>
        <v>KRWP0206   LCLS Curncy</v>
      </c>
      <c r="K166" s="1" t="str">
        <f t="shared" si="53"/>
        <v>KRWC0206   LCLS Curncy</v>
      </c>
      <c r="L166" s="1" t="str">
        <f t="shared" si="53"/>
        <v>KRWQ0206   LCLS Curncy</v>
      </c>
      <c r="M166" s="1" t="str">
        <f t="shared" si="53"/>
        <v>KRWR0206   LCLS Curncy</v>
      </c>
      <c r="N166" s="1" t="str">
        <f t="shared" si="53"/>
        <v>KRWD0206   LCLS Curncy</v>
      </c>
    </row>
    <row r="167" spans="1:14" ht="16.5" x14ac:dyDescent="0.3">
      <c r="A167" s="38" t="s">
        <v>1363</v>
      </c>
      <c r="B167" s="1" t="str">
        <f t="shared" ref="B167:N167" si="54">B57&amp;$B$1</f>
        <v>KRWA0207   LCLS Curncy</v>
      </c>
      <c r="C167" s="1" t="str">
        <f t="shared" si="54"/>
        <v>KRWK0207   LCLS Curncy</v>
      </c>
      <c r="D167" s="1" t="str">
        <f t="shared" si="54"/>
        <v>KRWL0207   LCLS Curncy</v>
      </c>
      <c r="E167" s="1" t="str">
        <f t="shared" si="54"/>
        <v>KRWB0207   LCLS Curncy</v>
      </c>
      <c r="F167" s="1" t="str">
        <f t="shared" si="54"/>
        <v>KRWM0207   LCLS Curncy</v>
      </c>
      <c r="G167" s="1" t="str">
        <f t="shared" si="54"/>
        <v>KRWN0207   LCLS Curncy</v>
      </c>
      <c r="H167" s="1" t="str">
        <f t="shared" si="54"/>
        <v>KWSN027    LCLS Curncy</v>
      </c>
      <c r="I167" s="1" t="str">
        <f t="shared" si="54"/>
        <v>KRWO0207   LCLS Curncy</v>
      </c>
      <c r="J167" s="1" t="str">
        <f t="shared" si="54"/>
        <v>KRWP0207   LCLS Curncy</v>
      </c>
      <c r="K167" s="1" t="str">
        <f t="shared" si="54"/>
        <v>KRWC0207   LCLS Curncy</v>
      </c>
      <c r="L167" s="1" t="str">
        <f t="shared" si="54"/>
        <v>KRWQ0207   LCLS Curncy</v>
      </c>
      <c r="M167" s="1" t="str">
        <f t="shared" si="54"/>
        <v>KRWR0207   LCLS Curncy</v>
      </c>
      <c r="N167" s="1" t="str">
        <f t="shared" si="54"/>
        <v>KRWD0207   LCLS Curncy</v>
      </c>
    </row>
    <row r="168" spans="1:14" ht="16.5" x14ac:dyDescent="0.3">
      <c r="A168" s="38" t="s">
        <v>1377</v>
      </c>
      <c r="B168" s="1" t="str">
        <f t="shared" ref="B168:N168" si="55">B58&amp;$B$1</f>
        <v>KRWA0208   LCLS Curncy</v>
      </c>
      <c r="C168" s="1" t="str">
        <f t="shared" si="55"/>
        <v>KRWK0208   LCLS Curncy</v>
      </c>
      <c r="D168" s="1" t="str">
        <f t="shared" si="55"/>
        <v>KRWL0208   LCLS Curncy</v>
      </c>
      <c r="E168" s="1" t="str">
        <f t="shared" si="55"/>
        <v>KRWB0208   LCLS Curncy</v>
      </c>
      <c r="F168" s="1" t="str">
        <f t="shared" si="55"/>
        <v>KRWM0208   LCLS Curncy</v>
      </c>
      <c r="G168" s="1" t="str">
        <f t="shared" si="55"/>
        <v>KRWN0208   LCLS Curncy</v>
      </c>
      <c r="H168" s="1" t="str">
        <f t="shared" si="55"/>
        <v>KWSN028    LCLS Curncy</v>
      </c>
      <c r="I168" s="1" t="str">
        <f t="shared" si="55"/>
        <v>KRWO0208   LCLS Curncy</v>
      </c>
      <c r="J168" s="1" t="str">
        <f t="shared" si="55"/>
        <v>KRWP0208   LCLS Curncy</v>
      </c>
      <c r="K168" s="1" t="str">
        <f t="shared" si="55"/>
        <v>KRWC0208   LCLS Curncy</v>
      </c>
      <c r="L168" s="1" t="str">
        <f t="shared" si="55"/>
        <v>KRWQ0208   LCLS Curncy</v>
      </c>
      <c r="M168" s="1" t="str">
        <f t="shared" si="55"/>
        <v>KRWR0208   LCLS Curncy</v>
      </c>
      <c r="N168" s="1" t="str">
        <f t="shared" si="55"/>
        <v>KRWD0208   LCLS Curncy</v>
      </c>
    </row>
    <row r="169" spans="1:14" ht="16.5" x14ac:dyDescent="0.3">
      <c r="A169" s="38" t="s">
        <v>1391</v>
      </c>
      <c r="B169" s="1" t="str">
        <f t="shared" ref="B169:N169" si="56">B59&amp;$B$1</f>
        <v>KRWA0209   LCLS Curncy</v>
      </c>
      <c r="C169" s="1" t="str">
        <f t="shared" si="56"/>
        <v>KRWK0209   LCLS Curncy</v>
      </c>
      <c r="D169" s="1" t="str">
        <f t="shared" si="56"/>
        <v>KRWL0209   LCLS Curncy</v>
      </c>
      <c r="E169" s="1" t="str">
        <f t="shared" si="56"/>
        <v>KRWB0209   LCLS Curncy</v>
      </c>
      <c r="F169" s="1" t="str">
        <f t="shared" si="56"/>
        <v>KRWM0209   LCLS Curncy</v>
      </c>
      <c r="G169" s="1" t="str">
        <f t="shared" si="56"/>
        <v>KRWN0209   LCLS Curncy</v>
      </c>
      <c r="H169" s="1" t="str">
        <f t="shared" si="56"/>
        <v>KWSN029    LCLS Curncy</v>
      </c>
      <c r="I169" s="1" t="str">
        <f t="shared" si="56"/>
        <v>KRWO0209   LCLS Curncy</v>
      </c>
      <c r="J169" s="1" t="str">
        <f t="shared" si="56"/>
        <v>KRWP0209   LCLS Curncy</v>
      </c>
      <c r="K169" s="1" t="str">
        <f t="shared" si="56"/>
        <v>KRWC0209   LCLS Curncy</v>
      </c>
      <c r="L169" s="1" t="str">
        <f t="shared" si="56"/>
        <v>KRWQ0209   LCLS Curncy</v>
      </c>
      <c r="M169" s="1" t="str">
        <f t="shared" si="56"/>
        <v>KRWR0209   LCLS Curncy</v>
      </c>
      <c r="N169" s="1" t="str">
        <f t="shared" si="56"/>
        <v>KRWD0209   LCLS Curncy</v>
      </c>
    </row>
    <row r="170" spans="1:14" ht="16.5" x14ac:dyDescent="0.3">
      <c r="A170" s="38" t="s">
        <v>1405</v>
      </c>
      <c r="B170" s="1" t="str">
        <f t="shared" ref="B170:N170" si="57">B60&amp;$B$1</f>
        <v>KRWA0210   LCLS Curncy</v>
      </c>
      <c r="C170" s="1" t="str">
        <f t="shared" si="57"/>
        <v>KRWK0210   LCLS Curncy</v>
      </c>
      <c r="D170" s="1" t="str">
        <f t="shared" si="57"/>
        <v>KRWL0210   LCLS Curncy</v>
      </c>
      <c r="E170" s="1" t="str">
        <f t="shared" si="57"/>
        <v>KRWB0210   LCLS Curncy</v>
      </c>
      <c r="F170" s="1" t="str">
        <f t="shared" si="57"/>
        <v>KRWM0210   LCLS Curncy</v>
      </c>
      <c r="G170" s="1" t="str">
        <f t="shared" si="57"/>
        <v>KRWN0210   LCLS Curncy</v>
      </c>
      <c r="H170" s="1" t="str">
        <f t="shared" si="57"/>
        <v>KWSN0210   LCLS Curncy</v>
      </c>
      <c r="I170" s="1" t="str">
        <f t="shared" si="57"/>
        <v>KRWO0210   LCLS Curncy</v>
      </c>
      <c r="J170" s="1" t="str">
        <f t="shared" si="57"/>
        <v>KRWP0210   LCLS Curncy</v>
      </c>
      <c r="K170" s="1" t="str">
        <f t="shared" si="57"/>
        <v>KRWC0210   LCLS Curncy</v>
      </c>
      <c r="L170" s="1" t="str">
        <f t="shared" si="57"/>
        <v>KRWQ0210   LCLS Curncy</v>
      </c>
      <c r="M170" s="1" t="str">
        <f t="shared" si="57"/>
        <v>KRWR0210   LCLS Curncy</v>
      </c>
      <c r="N170" s="1" t="str">
        <f t="shared" si="57"/>
        <v>KRWD0210   LCLS Curncy</v>
      </c>
    </row>
    <row r="171" spans="1:14" ht="16.5" x14ac:dyDescent="0.3">
      <c r="A171" s="38" t="s">
        <v>1419</v>
      </c>
      <c r="B171" s="1" t="str">
        <f t="shared" ref="B171:N171" si="58">B61&amp;$B$1</f>
        <v>KRWA0215   LCLS Curncy</v>
      </c>
      <c r="C171" s="1" t="str">
        <f t="shared" si="58"/>
        <v>KRWK0215   LCLS Curncy</v>
      </c>
      <c r="D171" s="1" t="str">
        <f t="shared" si="58"/>
        <v>KRWL0215   LCLS Curncy</v>
      </c>
      <c r="E171" s="1" t="str">
        <f t="shared" si="58"/>
        <v>KRWB0215   LCLS Curncy</v>
      </c>
      <c r="F171" s="1" t="str">
        <f t="shared" si="58"/>
        <v>KRWM0215   LCLS Curncy</v>
      </c>
      <c r="G171" s="1" t="str">
        <f t="shared" si="58"/>
        <v>KRWN0215   LCLS Curncy</v>
      </c>
      <c r="H171" s="1" t="str">
        <f t="shared" si="58"/>
        <v>KWSN0215   LCLS Curncy</v>
      </c>
      <c r="I171" s="1" t="str">
        <f t="shared" si="58"/>
        <v>KRWO0215   LCLS Curncy</v>
      </c>
      <c r="J171" s="1" t="str">
        <f t="shared" si="58"/>
        <v>KRWP0215   LCLS Curncy</v>
      </c>
      <c r="K171" s="1" t="str">
        <f t="shared" si="58"/>
        <v>KRWC0215   LCLS Curncy</v>
      </c>
      <c r="L171" s="1" t="str">
        <f t="shared" si="58"/>
        <v>KRWQ0215   LCLS Curncy</v>
      </c>
      <c r="M171" s="1" t="str">
        <f t="shared" si="58"/>
        <v>KRWR0215   LCLS Curncy</v>
      </c>
      <c r="N171" s="1" t="str">
        <f t="shared" si="58"/>
        <v>KRWD0215   LCLS Curncy</v>
      </c>
    </row>
    <row r="172" spans="1:14" ht="16.5" x14ac:dyDescent="0.3">
      <c r="A172" s="38" t="s">
        <v>1433</v>
      </c>
      <c r="B172" s="1" t="str">
        <f t="shared" ref="B172:N172" si="59">B62&amp;$B$1</f>
        <v>KRWA0220   LCLS Curncy</v>
      </c>
      <c r="C172" s="1" t="str">
        <f t="shared" si="59"/>
        <v>KRWK0220   LCLS Curncy</v>
      </c>
      <c r="D172" s="1" t="str">
        <f t="shared" si="59"/>
        <v>KRWL0220   LCLS Curncy</v>
      </c>
      <c r="E172" s="1" t="str">
        <f t="shared" si="59"/>
        <v>KRWB0220   LCLS Curncy</v>
      </c>
      <c r="F172" s="1" t="str">
        <f t="shared" si="59"/>
        <v>KRWM0220   LCLS Curncy</v>
      </c>
      <c r="G172" s="1" t="str">
        <f t="shared" si="59"/>
        <v>KRWN0220   LCLS Curncy</v>
      </c>
      <c r="H172" s="1" t="str">
        <f t="shared" si="59"/>
        <v>KWSN0220   LCLS Curncy</v>
      </c>
      <c r="I172" s="1" t="str">
        <f t="shared" si="59"/>
        <v>KRWO0220   LCLS Curncy</v>
      </c>
      <c r="J172" s="1" t="str">
        <f t="shared" si="59"/>
        <v>KRWP0220   LCLS Curncy</v>
      </c>
      <c r="K172" s="1" t="str">
        <f t="shared" si="59"/>
        <v>KRWC0220   LCLS Curncy</v>
      </c>
      <c r="L172" s="1" t="str">
        <f t="shared" si="59"/>
        <v>KRWQ0220   LCLS Curncy</v>
      </c>
      <c r="M172" s="1" t="str">
        <f t="shared" si="59"/>
        <v>KRWR0220   LCLS Curncy</v>
      </c>
      <c r="N172" s="1" t="str">
        <f t="shared" si="59"/>
        <v>KRWD0220   LCLS Curncy</v>
      </c>
    </row>
    <row r="173" spans="1:14" ht="16.5" x14ac:dyDescent="0.3">
      <c r="A173" s="38" t="s">
        <v>1447</v>
      </c>
      <c r="B173" s="1" t="str">
        <f t="shared" ref="B173:N173" si="60">B63&amp;$B$1</f>
        <v>KRWA0501   LCLS Curncy</v>
      </c>
      <c r="C173" s="1" t="str">
        <f t="shared" si="60"/>
        <v>KRWK0501   LCLS Curncy</v>
      </c>
      <c r="D173" s="1" t="str">
        <f t="shared" si="60"/>
        <v>KRWL0501   LCLS Curncy</v>
      </c>
      <c r="E173" s="1" t="str">
        <f t="shared" si="60"/>
        <v>KRWB0501   LCLS Curncy</v>
      </c>
      <c r="F173" s="1" t="str">
        <f t="shared" si="60"/>
        <v>KRWM0501   LCLS Curncy</v>
      </c>
      <c r="G173" s="1" t="str">
        <f t="shared" si="60"/>
        <v>KRWN0501   LCLS Curncy</v>
      </c>
      <c r="H173" s="1" t="str">
        <f t="shared" si="60"/>
        <v>KWSN051    LCLS Curncy</v>
      </c>
      <c r="I173" s="1" t="str">
        <f t="shared" si="60"/>
        <v>KRWO0501   LCLS Curncy</v>
      </c>
      <c r="J173" s="1" t="str">
        <f t="shared" si="60"/>
        <v>KRWP0501   LCLS Curncy</v>
      </c>
      <c r="K173" s="1" t="str">
        <f t="shared" si="60"/>
        <v>KRWC0501   LCLS Curncy</v>
      </c>
      <c r="L173" s="1" t="str">
        <f t="shared" si="60"/>
        <v>KRWQ0501   LCLS Curncy</v>
      </c>
      <c r="M173" s="1" t="str">
        <f t="shared" si="60"/>
        <v>KRWR0501   LCLS Curncy</v>
      </c>
      <c r="N173" s="1" t="str">
        <f t="shared" si="60"/>
        <v>KRWD0501   LCLS Curncy</v>
      </c>
    </row>
    <row r="174" spans="1:14" ht="16.5" x14ac:dyDescent="0.3">
      <c r="A174" s="38" t="s">
        <v>1461</v>
      </c>
      <c r="B174" s="1" t="str">
        <f t="shared" ref="B174:N174" si="61">B64&amp;$B$1</f>
        <v>KRWA0502   LCLS Curncy</v>
      </c>
      <c r="C174" s="1" t="str">
        <f t="shared" si="61"/>
        <v>KRWK0502   LCLS Curncy</v>
      </c>
      <c r="D174" s="1" t="str">
        <f t="shared" si="61"/>
        <v>KRWL0502   LCLS Curncy</v>
      </c>
      <c r="E174" s="1" t="str">
        <f t="shared" si="61"/>
        <v>KRWB0502   LCLS Curncy</v>
      </c>
      <c r="F174" s="1" t="str">
        <f t="shared" si="61"/>
        <v>KRWM0502   LCLS Curncy</v>
      </c>
      <c r="G174" s="1" t="str">
        <f t="shared" si="61"/>
        <v>KRWN0502   LCLS Curncy</v>
      </c>
      <c r="H174" s="1" t="str">
        <f t="shared" si="61"/>
        <v>KWSN052    LCLS Curncy</v>
      </c>
      <c r="I174" s="1" t="str">
        <f t="shared" si="61"/>
        <v>KRWO0502   LCLS Curncy</v>
      </c>
      <c r="J174" s="1" t="str">
        <f t="shared" si="61"/>
        <v>KRWP0502   LCLS Curncy</v>
      </c>
      <c r="K174" s="1" t="str">
        <f t="shared" si="61"/>
        <v>KRWC0502   LCLS Curncy</v>
      </c>
      <c r="L174" s="1" t="str">
        <f t="shared" si="61"/>
        <v>KRWQ0502   LCLS Curncy</v>
      </c>
      <c r="M174" s="1" t="str">
        <f t="shared" si="61"/>
        <v>KRWR0502   LCLS Curncy</v>
      </c>
      <c r="N174" s="1" t="str">
        <f t="shared" si="61"/>
        <v>KRWD0502   LCLS Curncy</v>
      </c>
    </row>
    <row r="175" spans="1:14" ht="16.5" x14ac:dyDescent="0.3">
      <c r="A175" s="38" t="s">
        <v>1475</v>
      </c>
      <c r="B175" s="1" t="str">
        <f t="shared" ref="B175:N175" si="62">B65&amp;$B$1</f>
        <v>KRWA0503   LCLS Curncy</v>
      </c>
      <c r="C175" s="1" t="str">
        <f t="shared" si="62"/>
        <v>KRWK0503   LCLS Curncy</v>
      </c>
      <c r="D175" s="1" t="str">
        <f t="shared" si="62"/>
        <v>KRWL0503   LCLS Curncy</v>
      </c>
      <c r="E175" s="1" t="str">
        <f t="shared" si="62"/>
        <v>KRWB0503   LCLS Curncy</v>
      </c>
      <c r="F175" s="1" t="str">
        <f t="shared" si="62"/>
        <v>KRWM0503   LCLS Curncy</v>
      </c>
      <c r="G175" s="1" t="str">
        <f t="shared" si="62"/>
        <v>KRWN0503   LCLS Curncy</v>
      </c>
      <c r="H175" s="1" t="str">
        <f t="shared" si="62"/>
        <v>KWSN053    LCLS Curncy</v>
      </c>
      <c r="I175" s="1" t="str">
        <f t="shared" si="62"/>
        <v>KRWO0503   LCLS Curncy</v>
      </c>
      <c r="J175" s="1" t="str">
        <f t="shared" si="62"/>
        <v>KRWP0503   LCLS Curncy</v>
      </c>
      <c r="K175" s="1" t="str">
        <f t="shared" si="62"/>
        <v>KRWC0503   LCLS Curncy</v>
      </c>
      <c r="L175" s="1" t="str">
        <f t="shared" si="62"/>
        <v>KRWQ0503   LCLS Curncy</v>
      </c>
      <c r="M175" s="1" t="str">
        <f t="shared" si="62"/>
        <v>KRWR0503   LCLS Curncy</v>
      </c>
      <c r="N175" s="1" t="str">
        <f t="shared" si="62"/>
        <v>KRWD0503   LCLS Curncy</v>
      </c>
    </row>
    <row r="176" spans="1:14" ht="16.5" x14ac:dyDescent="0.3">
      <c r="A176" s="38" t="s">
        <v>1489</v>
      </c>
      <c r="B176" s="1" t="str">
        <f t="shared" ref="B176:N176" si="63">B66&amp;$B$1</f>
        <v>KRWA0504   LCLS Curncy</v>
      </c>
      <c r="C176" s="1" t="str">
        <f t="shared" si="63"/>
        <v>KRWK0504   LCLS Curncy</v>
      </c>
      <c r="D176" s="1" t="str">
        <f t="shared" si="63"/>
        <v>KRWL0504   LCLS Curncy</v>
      </c>
      <c r="E176" s="1" t="str">
        <f t="shared" si="63"/>
        <v>KRWB0504   LCLS Curncy</v>
      </c>
      <c r="F176" s="1" t="str">
        <f t="shared" si="63"/>
        <v>KRWM0504   LCLS Curncy</v>
      </c>
      <c r="G176" s="1" t="str">
        <f t="shared" si="63"/>
        <v>KRWN0504   LCLS Curncy</v>
      </c>
      <c r="H176" s="1" t="str">
        <f t="shared" si="63"/>
        <v>KWSN054    LCLS Curncy</v>
      </c>
      <c r="I176" s="1" t="str">
        <f t="shared" si="63"/>
        <v>KRWO0504   LCLS Curncy</v>
      </c>
      <c r="J176" s="1" t="str">
        <f t="shared" si="63"/>
        <v>KRWP0504   LCLS Curncy</v>
      </c>
      <c r="K176" s="1" t="str">
        <f t="shared" si="63"/>
        <v>KRWC0504   LCLS Curncy</v>
      </c>
      <c r="L176" s="1" t="str">
        <f t="shared" si="63"/>
        <v>KRWQ0504   LCLS Curncy</v>
      </c>
      <c r="M176" s="1" t="str">
        <f t="shared" si="63"/>
        <v>KRWR0504   LCLS Curncy</v>
      </c>
      <c r="N176" s="1" t="str">
        <f t="shared" si="63"/>
        <v>KRWD0504   LCLS Curncy</v>
      </c>
    </row>
    <row r="177" spans="1:14" ht="16.5" x14ac:dyDescent="0.3">
      <c r="A177" s="38" t="s">
        <v>1503</v>
      </c>
      <c r="B177" s="1" t="str">
        <f t="shared" ref="B177:N177" si="64">B67&amp;$B$1</f>
        <v>KRWA0505   LCLS Curncy</v>
      </c>
      <c r="C177" s="1" t="str">
        <f t="shared" si="64"/>
        <v>KRWK0505   LCLS Curncy</v>
      </c>
      <c r="D177" s="1" t="str">
        <f t="shared" si="64"/>
        <v>KRWL0505   LCLS Curncy</v>
      </c>
      <c r="E177" s="1" t="str">
        <f t="shared" si="64"/>
        <v>KRWB0505   LCLS Curncy</v>
      </c>
      <c r="F177" s="1" t="str">
        <f t="shared" si="64"/>
        <v>KRWM0505   LCLS Curncy</v>
      </c>
      <c r="G177" s="1" t="str">
        <f t="shared" si="64"/>
        <v>KRWN0505   LCLS Curncy</v>
      </c>
      <c r="H177" s="1" t="str">
        <f t="shared" si="64"/>
        <v>KWSN055    LCLS Curncy</v>
      </c>
      <c r="I177" s="1" t="str">
        <f t="shared" si="64"/>
        <v>KRWO0505   LCLS Curncy</v>
      </c>
      <c r="J177" s="1" t="str">
        <f t="shared" si="64"/>
        <v>KRWP0505   LCLS Curncy</v>
      </c>
      <c r="K177" s="1" t="str">
        <f t="shared" si="64"/>
        <v>KRWC0505   LCLS Curncy</v>
      </c>
      <c r="L177" s="1" t="str">
        <f t="shared" si="64"/>
        <v>KRWQ0505   LCLS Curncy</v>
      </c>
      <c r="M177" s="1" t="str">
        <f t="shared" si="64"/>
        <v>KRWR0505   LCLS Curncy</v>
      </c>
      <c r="N177" s="1" t="str">
        <f t="shared" si="64"/>
        <v>KRWD0505   LCLS Curncy</v>
      </c>
    </row>
    <row r="178" spans="1:14" ht="16.5" x14ac:dyDescent="0.3">
      <c r="A178" s="38" t="s">
        <v>1517</v>
      </c>
      <c r="B178" s="1" t="str">
        <f t="shared" ref="B178:N178" si="65">B68&amp;$B$1</f>
        <v>KRWA0506   LCLS Curncy</v>
      </c>
      <c r="C178" s="1" t="str">
        <f t="shared" si="65"/>
        <v>KRWK0506   LCLS Curncy</v>
      </c>
      <c r="D178" s="1" t="str">
        <f t="shared" si="65"/>
        <v>KRWL0506   LCLS Curncy</v>
      </c>
      <c r="E178" s="1" t="str">
        <f t="shared" si="65"/>
        <v>KRWB0506   LCLS Curncy</v>
      </c>
      <c r="F178" s="1" t="str">
        <f t="shared" si="65"/>
        <v>KRWM0506   LCLS Curncy</v>
      </c>
      <c r="G178" s="1" t="str">
        <f t="shared" si="65"/>
        <v>KRWN0506   LCLS Curncy</v>
      </c>
      <c r="H178" s="1" t="str">
        <f t="shared" si="65"/>
        <v>KWSN056    LCLS Curncy</v>
      </c>
      <c r="I178" s="1" t="str">
        <f t="shared" si="65"/>
        <v>KRWO0506   LCLS Curncy</v>
      </c>
      <c r="J178" s="1" t="str">
        <f t="shared" si="65"/>
        <v>KRWP0506   LCLS Curncy</v>
      </c>
      <c r="K178" s="1" t="str">
        <f t="shared" si="65"/>
        <v>KRWC0506   LCLS Curncy</v>
      </c>
      <c r="L178" s="1" t="str">
        <f t="shared" si="65"/>
        <v>KRWQ0506   LCLS Curncy</v>
      </c>
      <c r="M178" s="1" t="str">
        <f t="shared" si="65"/>
        <v>KRWR0506   LCLS Curncy</v>
      </c>
      <c r="N178" s="1" t="str">
        <f t="shared" si="65"/>
        <v>KRWD0506   LCLS Curncy</v>
      </c>
    </row>
    <row r="179" spans="1:14" ht="16.5" x14ac:dyDescent="0.3">
      <c r="A179" s="38" t="s">
        <v>1531</v>
      </c>
      <c r="B179" s="1" t="str">
        <f t="shared" ref="B179:N179" si="66">B69&amp;$B$1</f>
        <v>KRWA0507   LCLS Curncy</v>
      </c>
      <c r="C179" s="1" t="str">
        <f t="shared" si="66"/>
        <v>KRWK0507   LCLS Curncy</v>
      </c>
      <c r="D179" s="1" t="str">
        <f t="shared" si="66"/>
        <v>KRWL0507   LCLS Curncy</v>
      </c>
      <c r="E179" s="1" t="str">
        <f t="shared" si="66"/>
        <v>KRWB0507   LCLS Curncy</v>
      </c>
      <c r="F179" s="1" t="str">
        <f t="shared" si="66"/>
        <v>KRWM0507   LCLS Curncy</v>
      </c>
      <c r="G179" s="1" t="str">
        <f t="shared" si="66"/>
        <v>KRWN0507   LCLS Curncy</v>
      </c>
      <c r="H179" s="1" t="str">
        <f t="shared" si="66"/>
        <v>KWSN057    LCLS Curncy</v>
      </c>
      <c r="I179" s="1" t="str">
        <f t="shared" si="66"/>
        <v>KRWO0507   LCLS Curncy</v>
      </c>
      <c r="J179" s="1" t="str">
        <f t="shared" si="66"/>
        <v>KRWP0507   LCLS Curncy</v>
      </c>
      <c r="K179" s="1" t="str">
        <f t="shared" si="66"/>
        <v>KRWC0507   LCLS Curncy</v>
      </c>
      <c r="L179" s="1" t="str">
        <f t="shared" si="66"/>
        <v>KRWQ0507   LCLS Curncy</v>
      </c>
      <c r="M179" s="1" t="str">
        <f t="shared" si="66"/>
        <v>KRWR0507   LCLS Curncy</v>
      </c>
      <c r="N179" s="1" t="str">
        <f t="shared" si="66"/>
        <v>KRWD0507   LCLS Curncy</v>
      </c>
    </row>
    <row r="180" spans="1:14" ht="16.5" x14ac:dyDescent="0.3">
      <c r="A180" s="38" t="s">
        <v>1545</v>
      </c>
      <c r="B180" s="1" t="str">
        <f t="shared" ref="B180:N180" si="67">B70&amp;$B$1</f>
        <v>KRWA0508   LCLS Curncy</v>
      </c>
      <c r="C180" s="1" t="str">
        <f t="shared" si="67"/>
        <v>KRWK0508   LCLS Curncy</v>
      </c>
      <c r="D180" s="1" t="str">
        <f t="shared" si="67"/>
        <v>KRWL0508   LCLS Curncy</v>
      </c>
      <c r="E180" s="1" t="str">
        <f t="shared" si="67"/>
        <v>KRWB0508   LCLS Curncy</v>
      </c>
      <c r="F180" s="1" t="str">
        <f t="shared" si="67"/>
        <v>KRWM0508   LCLS Curncy</v>
      </c>
      <c r="G180" s="1" t="str">
        <f t="shared" si="67"/>
        <v>KRWN0508   LCLS Curncy</v>
      </c>
      <c r="H180" s="1" t="str">
        <f t="shared" si="67"/>
        <v>KWSN058    LCLS Curncy</v>
      </c>
      <c r="I180" s="1" t="str">
        <f t="shared" si="67"/>
        <v>KRWO0508   LCLS Curncy</v>
      </c>
      <c r="J180" s="1" t="str">
        <f t="shared" si="67"/>
        <v>KRWP0508   LCLS Curncy</v>
      </c>
      <c r="K180" s="1" t="str">
        <f t="shared" si="67"/>
        <v>KRWC0508   LCLS Curncy</v>
      </c>
      <c r="L180" s="1" t="str">
        <f t="shared" si="67"/>
        <v>KRWQ0508   LCLS Curncy</v>
      </c>
      <c r="M180" s="1" t="str">
        <f t="shared" si="67"/>
        <v>KRWR0508   LCLS Curncy</v>
      </c>
      <c r="N180" s="1" t="str">
        <f t="shared" si="67"/>
        <v>KRWD0508   LCLS Curncy</v>
      </c>
    </row>
    <row r="181" spans="1:14" ht="16.5" x14ac:dyDescent="0.3">
      <c r="A181" s="38" t="s">
        <v>1559</v>
      </c>
      <c r="B181" s="1" t="str">
        <f t="shared" ref="B181:N181" si="68">B71&amp;$B$1</f>
        <v>KRWA0509   LCLS Curncy</v>
      </c>
      <c r="C181" s="1" t="str">
        <f t="shared" si="68"/>
        <v>KRWK0509   LCLS Curncy</v>
      </c>
      <c r="D181" s="1" t="str">
        <f t="shared" si="68"/>
        <v>KRWL0509   LCLS Curncy</v>
      </c>
      <c r="E181" s="1" t="str">
        <f t="shared" si="68"/>
        <v>KRWB0509   LCLS Curncy</v>
      </c>
      <c r="F181" s="1" t="str">
        <f t="shared" si="68"/>
        <v>KRWM0509   LCLS Curncy</v>
      </c>
      <c r="G181" s="1" t="str">
        <f t="shared" si="68"/>
        <v>KRWN0509   LCLS Curncy</v>
      </c>
      <c r="H181" s="1" t="str">
        <f t="shared" si="68"/>
        <v>KWSN059    LCLS Curncy</v>
      </c>
      <c r="I181" s="1" t="str">
        <f t="shared" si="68"/>
        <v>KRWO0509   LCLS Curncy</v>
      </c>
      <c r="J181" s="1" t="str">
        <f t="shared" si="68"/>
        <v>KRWP0509   LCLS Curncy</v>
      </c>
      <c r="K181" s="1" t="str">
        <f t="shared" si="68"/>
        <v>KRWC0509   LCLS Curncy</v>
      </c>
      <c r="L181" s="1" t="str">
        <f t="shared" si="68"/>
        <v>KRWQ0509   LCLS Curncy</v>
      </c>
      <c r="M181" s="1" t="str">
        <f t="shared" si="68"/>
        <v>KRWR0509   LCLS Curncy</v>
      </c>
      <c r="N181" s="1" t="str">
        <f t="shared" si="68"/>
        <v>KRWD0509   LCLS Curncy</v>
      </c>
    </row>
    <row r="182" spans="1:14" ht="16.5" x14ac:dyDescent="0.3">
      <c r="A182" s="38" t="s">
        <v>1573</v>
      </c>
      <c r="B182" s="1" t="str">
        <f t="shared" ref="B182:N182" si="69">B72&amp;$B$1</f>
        <v>KRWA0510   LCLS Curncy</v>
      </c>
      <c r="C182" s="1" t="str">
        <f t="shared" si="69"/>
        <v>KRWK0510   LCLS Curncy</v>
      </c>
      <c r="D182" s="1" t="str">
        <f t="shared" si="69"/>
        <v>KRWL0510   LCLS Curncy</v>
      </c>
      <c r="E182" s="1" t="str">
        <f t="shared" si="69"/>
        <v>KRWB0510   LCLS Curncy</v>
      </c>
      <c r="F182" s="1" t="str">
        <f t="shared" si="69"/>
        <v>KRWM0510   LCLS Curncy</v>
      </c>
      <c r="G182" s="1" t="str">
        <f t="shared" si="69"/>
        <v>KRWN0510   LCLS Curncy</v>
      </c>
      <c r="H182" s="1" t="str">
        <f t="shared" si="69"/>
        <v>KWSN0510   LCLS Curncy</v>
      </c>
      <c r="I182" s="1" t="str">
        <f t="shared" si="69"/>
        <v>KRWO0510   LCLS Curncy</v>
      </c>
      <c r="J182" s="1" t="str">
        <f t="shared" si="69"/>
        <v>KRWP0510   LCLS Curncy</v>
      </c>
      <c r="K182" s="1" t="str">
        <f t="shared" si="69"/>
        <v>KRWC0510   LCLS Curncy</v>
      </c>
      <c r="L182" s="1" t="str">
        <f t="shared" si="69"/>
        <v>KRWQ0510   LCLS Curncy</v>
      </c>
      <c r="M182" s="1" t="str">
        <f t="shared" si="69"/>
        <v>KRWR0510   LCLS Curncy</v>
      </c>
      <c r="N182" s="1" t="str">
        <f t="shared" si="69"/>
        <v>KRWD0510   LCLS Curncy</v>
      </c>
    </row>
    <row r="183" spans="1:14" ht="16.5" x14ac:dyDescent="0.3">
      <c r="A183" s="38" t="s">
        <v>1587</v>
      </c>
      <c r="B183" s="1" t="str">
        <f t="shared" ref="B183:N183" si="70">B73&amp;$B$1</f>
        <v>KRWA0515   LCLS Curncy</v>
      </c>
      <c r="C183" s="1" t="str">
        <f t="shared" si="70"/>
        <v>KRWK0515   LCLS Curncy</v>
      </c>
      <c r="D183" s="1" t="str">
        <f t="shared" si="70"/>
        <v>KRWL0515   LCLS Curncy</v>
      </c>
      <c r="E183" s="1" t="str">
        <f t="shared" si="70"/>
        <v>KRWB0515   LCLS Curncy</v>
      </c>
      <c r="F183" s="1" t="str">
        <f t="shared" si="70"/>
        <v>KRWM0515   LCLS Curncy</v>
      </c>
      <c r="G183" s="1" t="str">
        <f t="shared" si="70"/>
        <v>KRWN0515   LCLS Curncy</v>
      </c>
      <c r="H183" s="1" t="str">
        <f t="shared" si="70"/>
        <v>KWSN0515   LCLS Curncy</v>
      </c>
      <c r="I183" s="1" t="str">
        <f t="shared" si="70"/>
        <v>KRWO0515   LCLS Curncy</v>
      </c>
      <c r="J183" s="1" t="str">
        <f t="shared" si="70"/>
        <v>KRWP0515   LCLS Curncy</v>
      </c>
      <c r="K183" s="1" t="str">
        <f t="shared" si="70"/>
        <v>KRWC0515   LCLS Curncy</v>
      </c>
      <c r="L183" s="1" t="str">
        <f t="shared" si="70"/>
        <v>KRWQ0515   LCLS Curncy</v>
      </c>
      <c r="M183" s="1" t="str">
        <f t="shared" si="70"/>
        <v>KRWR0515   LCLS Curncy</v>
      </c>
      <c r="N183" s="1" t="str">
        <f t="shared" si="70"/>
        <v>KRWD0515   LCLS Curncy</v>
      </c>
    </row>
    <row r="184" spans="1:14" ht="16.5" x14ac:dyDescent="0.3">
      <c r="A184" s="38" t="s">
        <v>1601</v>
      </c>
      <c r="B184" s="1" t="str">
        <f t="shared" ref="B184:N184" si="71">B74&amp;$B$1</f>
        <v>KRWA0520   LCLS Curncy</v>
      </c>
      <c r="C184" s="1" t="str">
        <f t="shared" si="71"/>
        <v>KRWK0520   LCLS Curncy</v>
      </c>
      <c r="D184" s="1" t="str">
        <f t="shared" si="71"/>
        <v>KRWL0520   LCLS Curncy</v>
      </c>
      <c r="E184" s="1" t="str">
        <f t="shared" si="71"/>
        <v>KRWB0520   LCLS Curncy</v>
      </c>
      <c r="F184" s="1" t="str">
        <f t="shared" si="71"/>
        <v>KRWM0520   LCLS Curncy</v>
      </c>
      <c r="G184" s="1" t="str">
        <f t="shared" si="71"/>
        <v>KRWN0520   LCLS Curncy</v>
      </c>
      <c r="H184" s="1" t="str">
        <f t="shared" si="71"/>
        <v>KWSN0520   LCLS Curncy</v>
      </c>
      <c r="I184" s="1" t="str">
        <f t="shared" si="71"/>
        <v>KRWO0520   LCLS Curncy</v>
      </c>
      <c r="J184" s="1" t="str">
        <f t="shared" si="71"/>
        <v>KRWP0520   LCLS Curncy</v>
      </c>
      <c r="K184" s="1" t="str">
        <f t="shared" si="71"/>
        <v>KRWC0520   LCLS Curncy</v>
      </c>
      <c r="L184" s="1" t="str">
        <f t="shared" si="71"/>
        <v>KRWQ0520   LCLS Curncy</v>
      </c>
      <c r="M184" s="1" t="str">
        <f t="shared" si="71"/>
        <v>KRWR0520   LCLS Curncy</v>
      </c>
      <c r="N184" s="1" t="str">
        <f t="shared" si="71"/>
        <v>KRWD0520   LCLS Curncy</v>
      </c>
    </row>
    <row r="185" spans="1:14" ht="16.5" x14ac:dyDescent="0.3">
      <c r="A185" s="38" t="s">
        <v>1615</v>
      </c>
      <c r="B185" s="1" t="str">
        <f t="shared" ref="B185:N185" si="72">B75&amp;$B$1</f>
        <v>KRWA1001   LCLS Curncy</v>
      </c>
      <c r="C185" s="1" t="str">
        <f t="shared" si="72"/>
        <v>KRWK1001   LCLS Curncy</v>
      </c>
      <c r="D185" s="1" t="str">
        <f t="shared" si="72"/>
        <v>KRWL1001   LCLS Curncy</v>
      </c>
      <c r="E185" s="1" t="str">
        <f t="shared" si="72"/>
        <v>KRWB1001   LCLS Curncy</v>
      </c>
      <c r="F185" s="1" t="str">
        <f t="shared" si="72"/>
        <v>KRWM1001   LCLS Curncy</v>
      </c>
      <c r="G185" s="1" t="str">
        <f t="shared" si="72"/>
        <v>KRWN1001   LCLS Curncy</v>
      </c>
      <c r="H185" s="1" t="str">
        <f t="shared" si="72"/>
        <v>KWSN101    LCLS Curncy</v>
      </c>
      <c r="I185" s="1" t="str">
        <f t="shared" si="72"/>
        <v>KRWO1001   LCLS Curncy</v>
      </c>
      <c r="J185" s="1" t="str">
        <f t="shared" si="72"/>
        <v>KRWP1001   LCLS Curncy</v>
      </c>
      <c r="K185" s="1" t="str">
        <f t="shared" si="72"/>
        <v>KRWC1001   LCLS Curncy</v>
      </c>
      <c r="L185" s="1" t="str">
        <f t="shared" si="72"/>
        <v>KRWQ1001   LCLS Curncy</v>
      </c>
      <c r="M185" s="1" t="str">
        <f t="shared" si="72"/>
        <v>KRWR1001   LCLS Curncy</v>
      </c>
      <c r="N185" s="1" t="str">
        <f t="shared" si="72"/>
        <v>KRWD1001   LCLS Curncy</v>
      </c>
    </row>
    <row r="186" spans="1:14" ht="16.5" x14ac:dyDescent="0.3">
      <c r="A186" s="38" t="s">
        <v>1629</v>
      </c>
      <c r="B186" s="1" t="str">
        <f t="shared" ref="B186:N186" si="73">B76&amp;$B$1</f>
        <v>KRWA1002   LCLS Curncy</v>
      </c>
      <c r="C186" s="1" t="str">
        <f t="shared" si="73"/>
        <v>KRWK1002   LCLS Curncy</v>
      </c>
      <c r="D186" s="1" t="str">
        <f t="shared" si="73"/>
        <v>KRWL1002   LCLS Curncy</v>
      </c>
      <c r="E186" s="1" t="str">
        <f t="shared" si="73"/>
        <v>KRWB1002   LCLS Curncy</v>
      </c>
      <c r="F186" s="1" t="str">
        <f t="shared" si="73"/>
        <v>KRWM1002   LCLS Curncy</v>
      </c>
      <c r="G186" s="1" t="str">
        <f t="shared" si="73"/>
        <v>KRWN1002   LCLS Curncy</v>
      </c>
      <c r="H186" s="1" t="str">
        <f t="shared" si="73"/>
        <v>KWSN102    LCLS Curncy</v>
      </c>
      <c r="I186" s="1" t="str">
        <f t="shared" si="73"/>
        <v>KRWO1002   LCLS Curncy</v>
      </c>
      <c r="J186" s="1" t="str">
        <f t="shared" si="73"/>
        <v>KRWP1002   LCLS Curncy</v>
      </c>
      <c r="K186" s="1" t="str">
        <f t="shared" si="73"/>
        <v>KRWC1002   LCLS Curncy</v>
      </c>
      <c r="L186" s="1" t="str">
        <f t="shared" si="73"/>
        <v>KRWQ1002   LCLS Curncy</v>
      </c>
      <c r="M186" s="1" t="str">
        <f t="shared" si="73"/>
        <v>KRWR1002   LCLS Curncy</v>
      </c>
      <c r="N186" s="1" t="str">
        <f t="shared" si="73"/>
        <v>KRWD1002   LCLS Curncy</v>
      </c>
    </row>
    <row r="187" spans="1:14" ht="16.5" x14ac:dyDescent="0.3">
      <c r="A187" s="38" t="s">
        <v>1643</v>
      </c>
      <c r="B187" s="1" t="str">
        <f t="shared" ref="B187:N187" si="74">B77&amp;$B$1</f>
        <v>KRWA1003   LCLS Curncy</v>
      </c>
      <c r="C187" s="1" t="str">
        <f t="shared" si="74"/>
        <v>KRWK1003   LCLS Curncy</v>
      </c>
      <c r="D187" s="1" t="str">
        <f t="shared" si="74"/>
        <v>KRWL1003   LCLS Curncy</v>
      </c>
      <c r="E187" s="1" t="str">
        <f t="shared" si="74"/>
        <v>KRWB1003   LCLS Curncy</v>
      </c>
      <c r="F187" s="1" t="str">
        <f t="shared" si="74"/>
        <v>KRWM1003   LCLS Curncy</v>
      </c>
      <c r="G187" s="1" t="str">
        <f t="shared" si="74"/>
        <v>KRWN1003   LCLS Curncy</v>
      </c>
      <c r="H187" s="1" t="str">
        <f t="shared" si="74"/>
        <v>KWSN103    LCLS Curncy</v>
      </c>
      <c r="I187" s="1" t="str">
        <f t="shared" si="74"/>
        <v>KRWO1003   LCLS Curncy</v>
      </c>
      <c r="J187" s="1" t="str">
        <f t="shared" si="74"/>
        <v>KRWP1003   LCLS Curncy</v>
      </c>
      <c r="K187" s="1" t="str">
        <f t="shared" si="74"/>
        <v>KRWC1003   LCLS Curncy</v>
      </c>
      <c r="L187" s="1" t="str">
        <f t="shared" si="74"/>
        <v>KRWQ1003   LCLS Curncy</v>
      </c>
      <c r="M187" s="1" t="str">
        <f t="shared" si="74"/>
        <v>KRWR1003   LCLS Curncy</v>
      </c>
      <c r="N187" s="1" t="str">
        <f t="shared" si="74"/>
        <v>KRWD1003   LCLS Curncy</v>
      </c>
    </row>
    <row r="188" spans="1:14" ht="16.5" x14ac:dyDescent="0.3">
      <c r="A188" s="38" t="s">
        <v>1657</v>
      </c>
      <c r="B188" s="1" t="str">
        <f t="shared" ref="B188:N188" si="75">B78&amp;$B$1</f>
        <v>KRWA1004   LCLS Curncy</v>
      </c>
      <c r="C188" s="1" t="str">
        <f t="shared" si="75"/>
        <v>KRWK1004   LCLS Curncy</v>
      </c>
      <c r="D188" s="1" t="str">
        <f t="shared" si="75"/>
        <v>KRWL1004   LCLS Curncy</v>
      </c>
      <c r="E188" s="1" t="str">
        <f t="shared" si="75"/>
        <v>KRWB1004   LCLS Curncy</v>
      </c>
      <c r="F188" s="1" t="str">
        <f t="shared" si="75"/>
        <v>KRWM1004   LCLS Curncy</v>
      </c>
      <c r="G188" s="1" t="str">
        <f t="shared" si="75"/>
        <v>KRWN1004   LCLS Curncy</v>
      </c>
      <c r="H188" s="1" t="str">
        <f t="shared" si="75"/>
        <v>KWSN104    LCLS Curncy</v>
      </c>
      <c r="I188" s="1" t="str">
        <f t="shared" si="75"/>
        <v>KRWO1004   LCLS Curncy</v>
      </c>
      <c r="J188" s="1" t="str">
        <f t="shared" si="75"/>
        <v>KRWP1004   LCLS Curncy</v>
      </c>
      <c r="K188" s="1" t="str">
        <f t="shared" si="75"/>
        <v>KRWC1004   LCLS Curncy</v>
      </c>
      <c r="L188" s="1" t="str">
        <f t="shared" si="75"/>
        <v>KRWQ1004   LCLS Curncy</v>
      </c>
      <c r="M188" s="1" t="str">
        <f t="shared" si="75"/>
        <v>KRWR1004   LCLS Curncy</v>
      </c>
      <c r="N188" s="1" t="str">
        <f t="shared" si="75"/>
        <v>KRWD1004   LCLS Curncy</v>
      </c>
    </row>
    <row r="189" spans="1:14" ht="16.5" x14ac:dyDescent="0.3">
      <c r="A189" s="38" t="s">
        <v>1671</v>
      </c>
      <c r="B189" s="1" t="str">
        <f t="shared" ref="B189:N189" si="76">B79&amp;$B$1</f>
        <v>KRWA1005   LCLS Curncy</v>
      </c>
      <c r="C189" s="1" t="str">
        <f t="shared" si="76"/>
        <v>KRWK1005   LCLS Curncy</v>
      </c>
      <c r="D189" s="1" t="str">
        <f t="shared" si="76"/>
        <v>KRWL1005   LCLS Curncy</v>
      </c>
      <c r="E189" s="1" t="str">
        <f t="shared" si="76"/>
        <v>KRWB1005   LCLS Curncy</v>
      </c>
      <c r="F189" s="1" t="str">
        <f t="shared" si="76"/>
        <v>KRWM1005   LCLS Curncy</v>
      </c>
      <c r="G189" s="1" t="str">
        <f t="shared" si="76"/>
        <v>KRWN1005   LCLS Curncy</v>
      </c>
      <c r="H189" s="1" t="str">
        <f t="shared" si="76"/>
        <v>KWSN105    LCLS Curncy</v>
      </c>
      <c r="I189" s="1" t="str">
        <f t="shared" si="76"/>
        <v>KRWO1005   LCLS Curncy</v>
      </c>
      <c r="J189" s="1" t="str">
        <f t="shared" si="76"/>
        <v>KRWP1005   LCLS Curncy</v>
      </c>
      <c r="K189" s="1" t="str">
        <f t="shared" si="76"/>
        <v>KRWC1005   LCLS Curncy</v>
      </c>
      <c r="L189" s="1" t="str">
        <f t="shared" si="76"/>
        <v>KRWQ1005   LCLS Curncy</v>
      </c>
      <c r="M189" s="1" t="str">
        <f t="shared" si="76"/>
        <v>KRWR1005   LCLS Curncy</v>
      </c>
      <c r="N189" s="1" t="str">
        <f t="shared" si="76"/>
        <v>KRWD1005   LCLS Curncy</v>
      </c>
    </row>
    <row r="190" spans="1:14" ht="16.5" x14ac:dyDescent="0.3">
      <c r="A190" s="38" t="s">
        <v>1685</v>
      </c>
      <c r="B190" s="1" t="str">
        <f t="shared" ref="B190:N190" si="77">B80&amp;$B$1</f>
        <v>KRWA1006   LCLS Curncy</v>
      </c>
      <c r="C190" s="1" t="str">
        <f t="shared" si="77"/>
        <v>KRWK1006   LCLS Curncy</v>
      </c>
      <c r="D190" s="1" t="str">
        <f t="shared" si="77"/>
        <v>KRWL1006   LCLS Curncy</v>
      </c>
      <c r="E190" s="1" t="str">
        <f t="shared" si="77"/>
        <v>KRWB1006   LCLS Curncy</v>
      </c>
      <c r="F190" s="1" t="str">
        <f t="shared" si="77"/>
        <v>KRWM1006   LCLS Curncy</v>
      </c>
      <c r="G190" s="1" t="str">
        <f t="shared" si="77"/>
        <v>KRWN1006   LCLS Curncy</v>
      </c>
      <c r="H190" s="1" t="str">
        <f t="shared" si="77"/>
        <v>KWSN106    LCLS Curncy</v>
      </c>
      <c r="I190" s="1" t="str">
        <f t="shared" si="77"/>
        <v>KRWO1006   LCLS Curncy</v>
      </c>
      <c r="J190" s="1" t="str">
        <f t="shared" si="77"/>
        <v>KRWP1006   LCLS Curncy</v>
      </c>
      <c r="K190" s="1" t="str">
        <f t="shared" si="77"/>
        <v>KRWC1006   LCLS Curncy</v>
      </c>
      <c r="L190" s="1" t="str">
        <f t="shared" si="77"/>
        <v>KRWQ1006   LCLS Curncy</v>
      </c>
      <c r="M190" s="1" t="str">
        <f t="shared" si="77"/>
        <v>KRWR1006   LCLS Curncy</v>
      </c>
      <c r="N190" s="1" t="str">
        <f t="shared" si="77"/>
        <v>KRWD1006   LCLS Curncy</v>
      </c>
    </row>
    <row r="191" spans="1:14" ht="16.5" x14ac:dyDescent="0.3">
      <c r="A191" s="38" t="s">
        <v>1699</v>
      </c>
      <c r="B191" s="1" t="str">
        <f t="shared" ref="B191:N191" si="78">B81&amp;$B$1</f>
        <v>KRWA1007   LCLS Curncy</v>
      </c>
      <c r="C191" s="1" t="str">
        <f t="shared" si="78"/>
        <v>KRWK1007   LCLS Curncy</v>
      </c>
      <c r="D191" s="1" t="str">
        <f t="shared" si="78"/>
        <v>KRWL1007   LCLS Curncy</v>
      </c>
      <c r="E191" s="1" t="str">
        <f t="shared" si="78"/>
        <v>KRWB1007   LCLS Curncy</v>
      </c>
      <c r="F191" s="1" t="str">
        <f t="shared" si="78"/>
        <v>KRWM1007   LCLS Curncy</v>
      </c>
      <c r="G191" s="1" t="str">
        <f t="shared" si="78"/>
        <v>KRWN1007   LCLS Curncy</v>
      </c>
      <c r="H191" s="1" t="str">
        <f t="shared" si="78"/>
        <v>KWSN107    LCLS Curncy</v>
      </c>
      <c r="I191" s="1" t="str">
        <f t="shared" si="78"/>
        <v>KRWO1007   LCLS Curncy</v>
      </c>
      <c r="J191" s="1" t="str">
        <f t="shared" si="78"/>
        <v>KRWP1007   LCLS Curncy</v>
      </c>
      <c r="K191" s="1" t="str">
        <f t="shared" si="78"/>
        <v>KRWC1007   LCLS Curncy</v>
      </c>
      <c r="L191" s="1" t="str">
        <f t="shared" si="78"/>
        <v>KRWQ1007   LCLS Curncy</v>
      </c>
      <c r="M191" s="1" t="str">
        <f t="shared" si="78"/>
        <v>KRWR1007   LCLS Curncy</v>
      </c>
      <c r="N191" s="1" t="str">
        <f t="shared" si="78"/>
        <v>KRWD1007   LCLS Curncy</v>
      </c>
    </row>
    <row r="192" spans="1:14" ht="16.5" x14ac:dyDescent="0.3">
      <c r="A192" s="38" t="s">
        <v>1713</v>
      </c>
      <c r="B192" s="1" t="str">
        <f t="shared" ref="B192:N192" si="79">B82&amp;$B$1</f>
        <v>KRWA1008   LCLS Curncy</v>
      </c>
      <c r="C192" s="1" t="str">
        <f t="shared" si="79"/>
        <v>KRWK1008   LCLS Curncy</v>
      </c>
      <c r="D192" s="1" t="str">
        <f t="shared" si="79"/>
        <v>KRWL1008   LCLS Curncy</v>
      </c>
      <c r="E192" s="1" t="str">
        <f t="shared" si="79"/>
        <v>KRWB1008   LCLS Curncy</v>
      </c>
      <c r="F192" s="1" t="str">
        <f t="shared" si="79"/>
        <v>KRWM1008   LCLS Curncy</v>
      </c>
      <c r="G192" s="1" t="str">
        <f t="shared" si="79"/>
        <v>KRWN1008   LCLS Curncy</v>
      </c>
      <c r="H192" s="1" t="str">
        <f t="shared" si="79"/>
        <v>KWSN108    LCLS Curncy</v>
      </c>
      <c r="I192" s="1" t="str">
        <f t="shared" si="79"/>
        <v>KRWO1008   LCLS Curncy</v>
      </c>
      <c r="J192" s="1" t="str">
        <f t="shared" si="79"/>
        <v>KRWP1008   LCLS Curncy</v>
      </c>
      <c r="K192" s="1" t="str">
        <f t="shared" si="79"/>
        <v>KRWC1008   LCLS Curncy</v>
      </c>
      <c r="L192" s="1" t="str">
        <f t="shared" si="79"/>
        <v>KRWQ1008   LCLS Curncy</v>
      </c>
      <c r="M192" s="1" t="str">
        <f t="shared" si="79"/>
        <v>KRWR1008   LCLS Curncy</v>
      </c>
      <c r="N192" s="1" t="str">
        <f t="shared" si="79"/>
        <v>KRWD1008   LCLS Curncy</v>
      </c>
    </row>
    <row r="193" spans="1:14" ht="16.5" x14ac:dyDescent="0.3">
      <c r="A193" s="38" t="s">
        <v>1727</v>
      </c>
      <c r="B193" s="1" t="str">
        <f t="shared" ref="B193:N193" si="80">B83&amp;$B$1</f>
        <v>KRWA1009   LCLS Curncy</v>
      </c>
      <c r="C193" s="1" t="str">
        <f t="shared" si="80"/>
        <v>KRWK1009   LCLS Curncy</v>
      </c>
      <c r="D193" s="1" t="str">
        <f t="shared" si="80"/>
        <v>KRWL1009   LCLS Curncy</v>
      </c>
      <c r="E193" s="1" t="str">
        <f t="shared" si="80"/>
        <v>KRWB1009   LCLS Curncy</v>
      </c>
      <c r="F193" s="1" t="str">
        <f t="shared" si="80"/>
        <v>KRWM1009   LCLS Curncy</v>
      </c>
      <c r="G193" s="1" t="str">
        <f t="shared" si="80"/>
        <v>KRWN1009   LCLS Curncy</v>
      </c>
      <c r="H193" s="1" t="str">
        <f t="shared" si="80"/>
        <v>KWSN109    LCLS Curncy</v>
      </c>
      <c r="I193" s="1" t="str">
        <f t="shared" si="80"/>
        <v>KRWO1009   LCLS Curncy</v>
      </c>
      <c r="J193" s="1" t="str">
        <f t="shared" si="80"/>
        <v>KRWP1009   LCLS Curncy</v>
      </c>
      <c r="K193" s="1" t="str">
        <f t="shared" si="80"/>
        <v>KRWC1009   LCLS Curncy</v>
      </c>
      <c r="L193" s="1" t="str">
        <f t="shared" si="80"/>
        <v>KRWQ1009   LCLS Curncy</v>
      </c>
      <c r="M193" s="1" t="str">
        <f t="shared" si="80"/>
        <v>KRWR1009   LCLS Curncy</v>
      </c>
      <c r="N193" s="1" t="str">
        <f t="shared" si="80"/>
        <v>KRWD1009   LCLS Curncy</v>
      </c>
    </row>
    <row r="194" spans="1:14" ht="16.5" x14ac:dyDescent="0.3">
      <c r="A194" s="38" t="s">
        <v>1741</v>
      </c>
      <c r="B194" s="1" t="str">
        <f t="shared" ref="B194:N194" si="81">B84&amp;$B$1</f>
        <v>KRWA1010   LCLS Curncy</v>
      </c>
      <c r="C194" s="1" t="str">
        <f t="shared" si="81"/>
        <v>KRWK1010   LCLS Curncy</v>
      </c>
      <c r="D194" s="1" t="str">
        <f t="shared" si="81"/>
        <v>KRWL1010   LCLS Curncy</v>
      </c>
      <c r="E194" s="1" t="str">
        <f t="shared" si="81"/>
        <v>KRWB1010   LCLS Curncy</v>
      </c>
      <c r="F194" s="1" t="str">
        <f t="shared" si="81"/>
        <v>KRWM1010   LCLS Curncy</v>
      </c>
      <c r="G194" s="1" t="str">
        <f t="shared" si="81"/>
        <v>KRWN1010   LCLS Curncy</v>
      </c>
      <c r="H194" s="1" t="str">
        <f t="shared" si="81"/>
        <v>KWSN1010   LCLS Curncy</v>
      </c>
      <c r="I194" s="1" t="str">
        <f t="shared" si="81"/>
        <v>KRWO1010   LCLS Curncy</v>
      </c>
      <c r="J194" s="1" t="str">
        <f t="shared" si="81"/>
        <v>KRWP1010   LCLS Curncy</v>
      </c>
      <c r="K194" s="1" t="str">
        <f t="shared" si="81"/>
        <v>KRWC1010   LCLS Curncy</v>
      </c>
      <c r="L194" s="1" t="str">
        <f t="shared" si="81"/>
        <v>KRWQ1010   LCLS Curncy</v>
      </c>
      <c r="M194" s="1" t="str">
        <f t="shared" si="81"/>
        <v>KRWR1010   LCLS Curncy</v>
      </c>
      <c r="N194" s="1" t="str">
        <f t="shared" si="81"/>
        <v>KRWD1010   LCLS Curncy</v>
      </c>
    </row>
    <row r="195" spans="1:14" ht="16.5" x14ac:dyDescent="0.3">
      <c r="A195" s="38" t="s">
        <v>1755</v>
      </c>
      <c r="B195" s="1" t="str">
        <f t="shared" ref="B195:N195" si="82">B85&amp;$B$1</f>
        <v>KRWA1015   LCLS Curncy</v>
      </c>
      <c r="C195" s="1" t="str">
        <f t="shared" si="82"/>
        <v>KRWK1015   LCLS Curncy</v>
      </c>
      <c r="D195" s="1" t="str">
        <f t="shared" si="82"/>
        <v>KRWL1015   LCLS Curncy</v>
      </c>
      <c r="E195" s="1" t="str">
        <f t="shared" si="82"/>
        <v>KRWB1015   LCLS Curncy</v>
      </c>
      <c r="F195" s="1" t="str">
        <f t="shared" si="82"/>
        <v>KRWM1015   LCLS Curncy</v>
      </c>
      <c r="G195" s="1" t="str">
        <f t="shared" si="82"/>
        <v>KRWN1015   LCLS Curncy</v>
      </c>
      <c r="H195" s="1" t="str">
        <f t="shared" si="82"/>
        <v>KWSN1015   LCLS Curncy</v>
      </c>
      <c r="I195" s="1" t="str">
        <f t="shared" si="82"/>
        <v>KRWO1015   LCLS Curncy</v>
      </c>
      <c r="J195" s="1" t="str">
        <f t="shared" si="82"/>
        <v>KRWP1015   LCLS Curncy</v>
      </c>
      <c r="K195" s="1" t="str">
        <f t="shared" si="82"/>
        <v>KRWC1015   LCLS Curncy</v>
      </c>
      <c r="L195" s="1" t="str">
        <f t="shared" si="82"/>
        <v>KRWQ1015   LCLS Curncy</v>
      </c>
      <c r="M195" s="1" t="str">
        <f t="shared" si="82"/>
        <v>KRWR1015   LCLS Curncy</v>
      </c>
      <c r="N195" s="1" t="str">
        <f t="shared" si="82"/>
        <v>KRWD1015   LCLS Curncy</v>
      </c>
    </row>
    <row r="196" spans="1:14" ht="16.5" x14ac:dyDescent="0.3">
      <c r="A196" s="38" t="s">
        <v>1769</v>
      </c>
      <c r="B196" s="1" t="str">
        <f t="shared" ref="B196:N196" si="83">B86&amp;$B$1</f>
        <v>KRWA1020   LCLS Curncy</v>
      </c>
      <c r="C196" s="1" t="str">
        <f t="shared" si="83"/>
        <v>KRWK1020   LCLS Curncy</v>
      </c>
      <c r="D196" s="1" t="str">
        <f t="shared" si="83"/>
        <v>KRWL1020   LCLS Curncy</v>
      </c>
      <c r="E196" s="1" t="str">
        <f t="shared" si="83"/>
        <v>KRWB1020   LCLS Curncy</v>
      </c>
      <c r="F196" s="1" t="str">
        <f t="shared" si="83"/>
        <v>KRWM1020   LCLS Curncy</v>
      </c>
      <c r="G196" s="1" t="str">
        <f t="shared" si="83"/>
        <v>KRWN1020   LCLS Curncy</v>
      </c>
      <c r="H196" s="1" t="str">
        <f t="shared" si="83"/>
        <v>KWSN1020   LCLS Curncy</v>
      </c>
      <c r="I196" s="1" t="str">
        <f t="shared" si="83"/>
        <v>KRWO1020   LCLS Curncy</v>
      </c>
      <c r="J196" s="1" t="str">
        <f t="shared" si="83"/>
        <v>KRWP1020   LCLS Curncy</v>
      </c>
      <c r="K196" s="1" t="str">
        <f t="shared" si="83"/>
        <v>KRWC1020   LCLS Curncy</v>
      </c>
      <c r="L196" s="1" t="str">
        <f t="shared" si="83"/>
        <v>KRWQ1020   LCLS Curncy</v>
      </c>
      <c r="M196" s="1" t="str">
        <f t="shared" si="83"/>
        <v>KRWR1020   LCLS Curncy</v>
      </c>
      <c r="N196" s="1" t="str">
        <f t="shared" si="83"/>
        <v>KRWD1020   LCLS Curncy</v>
      </c>
    </row>
    <row r="197" spans="1:14" ht="16.5" x14ac:dyDescent="0.3">
      <c r="A197" s="38" t="s">
        <v>1783</v>
      </c>
      <c r="B197" s="1" t="str">
        <f t="shared" ref="B197:N197" si="84">B87&amp;$B$1</f>
        <v>KRWA1501   LCLS Curncy</v>
      </c>
      <c r="C197" s="1" t="str">
        <f t="shared" si="84"/>
        <v>KRWK1501   LCLS Curncy</v>
      </c>
      <c r="D197" s="1" t="str">
        <f t="shared" si="84"/>
        <v>KRWL1501   LCLS Curncy</v>
      </c>
      <c r="E197" s="1" t="str">
        <f t="shared" si="84"/>
        <v>KRWB1501   LCLS Curncy</v>
      </c>
      <c r="F197" s="1" t="str">
        <f t="shared" si="84"/>
        <v>KRWM1501   LCLS Curncy</v>
      </c>
      <c r="G197" s="1" t="str">
        <f t="shared" si="84"/>
        <v>KRWN1501   LCLS Curncy</v>
      </c>
      <c r="H197" s="1" t="str">
        <f t="shared" si="84"/>
        <v>KWSN151    LCLS Curncy</v>
      </c>
      <c r="I197" s="1" t="str">
        <f t="shared" si="84"/>
        <v>KRWO1501   LCLS Curncy</v>
      </c>
      <c r="J197" s="1" t="str">
        <f t="shared" si="84"/>
        <v>KRWP1501   LCLS Curncy</v>
      </c>
      <c r="K197" s="1" t="str">
        <f t="shared" si="84"/>
        <v>KRWC1501   LCLS Curncy</v>
      </c>
      <c r="L197" s="1" t="str">
        <f t="shared" si="84"/>
        <v>KRWQ1501   LCLS Curncy</v>
      </c>
      <c r="M197" s="1" t="str">
        <f t="shared" si="84"/>
        <v>KRWR1501   LCLS Curncy</v>
      </c>
      <c r="N197" s="1" t="str">
        <f t="shared" si="84"/>
        <v>KRWD1501   LCLS Curncy</v>
      </c>
    </row>
    <row r="198" spans="1:14" ht="16.5" x14ac:dyDescent="0.3">
      <c r="A198" s="38" t="s">
        <v>1797</v>
      </c>
      <c r="B198" s="1" t="str">
        <f t="shared" ref="B198:N198" si="85">B88&amp;$B$1</f>
        <v>KRWA1502   LCLS Curncy</v>
      </c>
      <c r="C198" s="1" t="str">
        <f t="shared" si="85"/>
        <v>KRWK1502   LCLS Curncy</v>
      </c>
      <c r="D198" s="1" t="str">
        <f t="shared" si="85"/>
        <v>KRWL1502   LCLS Curncy</v>
      </c>
      <c r="E198" s="1" t="str">
        <f t="shared" si="85"/>
        <v>KRWB1502   LCLS Curncy</v>
      </c>
      <c r="F198" s="1" t="str">
        <f t="shared" si="85"/>
        <v>KRWM1502   LCLS Curncy</v>
      </c>
      <c r="G198" s="1" t="str">
        <f t="shared" si="85"/>
        <v>KRWN1502   LCLS Curncy</v>
      </c>
      <c r="H198" s="1" t="str">
        <f t="shared" si="85"/>
        <v>KWSN152    LCLS Curncy</v>
      </c>
      <c r="I198" s="1" t="str">
        <f t="shared" si="85"/>
        <v>KRWO1502   LCLS Curncy</v>
      </c>
      <c r="J198" s="1" t="str">
        <f t="shared" si="85"/>
        <v>KRWP1502   LCLS Curncy</v>
      </c>
      <c r="K198" s="1" t="str">
        <f t="shared" si="85"/>
        <v>KRWC1502   LCLS Curncy</v>
      </c>
      <c r="L198" s="1" t="str">
        <f t="shared" si="85"/>
        <v>KRWQ1502   LCLS Curncy</v>
      </c>
      <c r="M198" s="1" t="str">
        <f t="shared" si="85"/>
        <v>KRWR1502   LCLS Curncy</v>
      </c>
      <c r="N198" s="1" t="str">
        <f t="shared" si="85"/>
        <v>KRWD1502   LCLS Curncy</v>
      </c>
    </row>
    <row r="199" spans="1:14" ht="16.5" x14ac:dyDescent="0.3">
      <c r="A199" s="38" t="s">
        <v>1811</v>
      </c>
      <c r="B199" s="1" t="str">
        <f t="shared" ref="B199:N199" si="86">B89&amp;$B$1</f>
        <v>KRWA1503   LCLS Curncy</v>
      </c>
      <c r="C199" s="1" t="str">
        <f t="shared" si="86"/>
        <v>KRWK1503   LCLS Curncy</v>
      </c>
      <c r="D199" s="1" t="str">
        <f t="shared" si="86"/>
        <v>KRWL1503   LCLS Curncy</v>
      </c>
      <c r="E199" s="1" t="str">
        <f t="shared" si="86"/>
        <v>KRWB1503   LCLS Curncy</v>
      </c>
      <c r="F199" s="1" t="str">
        <f t="shared" si="86"/>
        <v>KRWM1503   LCLS Curncy</v>
      </c>
      <c r="G199" s="1" t="str">
        <f t="shared" si="86"/>
        <v>KRWN1503   LCLS Curncy</v>
      </c>
      <c r="H199" s="1" t="str">
        <f t="shared" si="86"/>
        <v>KWSN153    LCLS Curncy</v>
      </c>
      <c r="I199" s="1" t="str">
        <f t="shared" si="86"/>
        <v>KRWO1503   LCLS Curncy</v>
      </c>
      <c r="J199" s="1" t="str">
        <f t="shared" si="86"/>
        <v>KRWP1503   LCLS Curncy</v>
      </c>
      <c r="K199" s="1" t="str">
        <f t="shared" si="86"/>
        <v>KRWC1503   LCLS Curncy</v>
      </c>
      <c r="L199" s="1" t="str">
        <f t="shared" si="86"/>
        <v>KRWQ1503   LCLS Curncy</v>
      </c>
      <c r="M199" s="1" t="str">
        <f t="shared" si="86"/>
        <v>KRWR1503   LCLS Curncy</v>
      </c>
      <c r="N199" s="1" t="str">
        <f t="shared" si="86"/>
        <v>KRWD1503   LCLS Curncy</v>
      </c>
    </row>
    <row r="200" spans="1:14" ht="16.5" x14ac:dyDescent="0.3">
      <c r="A200" s="38" t="s">
        <v>1825</v>
      </c>
      <c r="B200" s="1" t="str">
        <f t="shared" ref="B200:N200" si="87">B90&amp;$B$1</f>
        <v>KRWA1504   LCLS Curncy</v>
      </c>
      <c r="C200" s="1" t="str">
        <f t="shared" si="87"/>
        <v>KRWK1504   LCLS Curncy</v>
      </c>
      <c r="D200" s="1" t="str">
        <f t="shared" si="87"/>
        <v>KRWL1504   LCLS Curncy</v>
      </c>
      <c r="E200" s="1" t="str">
        <f t="shared" si="87"/>
        <v>KRWB1504   LCLS Curncy</v>
      </c>
      <c r="F200" s="1" t="str">
        <f t="shared" si="87"/>
        <v>KRWM1504   LCLS Curncy</v>
      </c>
      <c r="G200" s="1" t="str">
        <f t="shared" si="87"/>
        <v>KRWN1504   LCLS Curncy</v>
      </c>
      <c r="H200" s="1" t="str">
        <f t="shared" si="87"/>
        <v>KWSN154    LCLS Curncy</v>
      </c>
      <c r="I200" s="1" t="str">
        <f t="shared" si="87"/>
        <v>KRWO1504   LCLS Curncy</v>
      </c>
      <c r="J200" s="1" t="str">
        <f t="shared" si="87"/>
        <v>KRWP1504   LCLS Curncy</v>
      </c>
      <c r="K200" s="1" t="str">
        <f t="shared" si="87"/>
        <v>KRWC1504   LCLS Curncy</v>
      </c>
      <c r="L200" s="1" t="str">
        <f t="shared" si="87"/>
        <v>KRWQ1504   LCLS Curncy</v>
      </c>
      <c r="M200" s="1" t="str">
        <f t="shared" si="87"/>
        <v>KRWR1504   LCLS Curncy</v>
      </c>
      <c r="N200" s="1" t="str">
        <f t="shared" si="87"/>
        <v>KRWD1504   LCLS Curncy</v>
      </c>
    </row>
    <row r="201" spans="1:14" ht="16.5" x14ac:dyDescent="0.3">
      <c r="A201" s="38" t="s">
        <v>1839</v>
      </c>
      <c r="B201" s="1" t="str">
        <f t="shared" ref="B201:N201" si="88">B91&amp;$B$1</f>
        <v>KRWA1505   LCLS Curncy</v>
      </c>
      <c r="C201" s="1" t="str">
        <f t="shared" si="88"/>
        <v>KRWK1505   LCLS Curncy</v>
      </c>
      <c r="D201" s="1" t="str">
        <f t="shared" si="88"/>
        <v>KRWL1505   LCLS Curncy</v>
      </c>
      <c r="E201" s="1" t="str">
        <f t="shared" si="88"/>
        <v>KRWB1505   LCLS Curncy</v>
      </c>
      <c r="F201" s="1" t="str">
        <f t="shared" si="88"/>
        <v>KRWM1505   LCLS Curncy</v>
      </c>
      <c r="G201" s="1" t="str">
        <f t="shared" si="88"/>
        <v>KRWN1505   LCLS Curncy</v>
      </c>
      <c r="H201" s="1" t="str">
        <f t="shared" si="88"/>
        <v>KWSN155    LCLS Curncy</v>
      </c>
      <c r="I201" s="1" t="str">
        <f t="shared" si="88"/>
        <v>KRWO1505   LCLS Curncy</v>
      </c>
      <c r="J201" s="1" t="str">
        <f t="shared" si="88"/>
        <v>KRWP1505   LCLS Curncy</v>
      </c>
      <c r="K201" s="1" t="str">
        <f t="shared" si="88"/>
        <v>KRWC1505   LCLS Curncy</v>
      </c>
      <c r="L201" s="1" t="str">
        <f t="shared" si="88"/>
        <v>KRWQ1505   LCLS Curncy</v>
      </c>
      <c r="M201" s="1" t="str">
        <f t="shared" si="88"/>
        <v>KRWR1505   LCLS Curncy</v>
      </c>
      <c r="N201" s="1" t="str">
        <f t="shared" si="88"/>
        <v>KRWD1505   LCLS Curncy</v>
      </c>
    </row>
    <row r="202" spans="1:14" ht="16.5" x14ac:dyDescent="0.3">
      <c r="A202" s="38" t="s">
        <v>1853</v>
      </c>
      <c r="B202" s="1" t="str">
        <f t="shared" ref="B202:N202" si="89">B92&amp;$B$1</f>
        <v>KRWA1506   LCLS Curncy</v>
      </c>
      <c r="C202" s="1" t="str">
        <f t="shared" si="89"/>
        <v>KRWK1506   LCLS Curncy</v>
      </c>
      <c r="D202" s="1" t="str">
        <f t="shared" si="89"/>
        <v>KRWL1506   LCLS Curncy</v>
      </c>
      <c r="E202" s="1" t="str">
        <f t="shared" si="89"/>
        <v>KRWB1506   LCLS Curncy</v>
      </c>
      <c r="F202" s="1" t="str">
        <f t="shared" si="89"/>
        <v>KRWM1506   LCLS Curncy</v>
      </c>
      <c r="G202" s="1" t="str">
        <f t="shared" si="89"/>
        <v>KRWN1506   LCLS Curncy</v>
      </c>
      <c r="H202" s="1" t="str">
        <f t="shared" si="89"/>
        <v>KWSN156    LCLS Curncy</v>
      </c>
      <c r="I202" s="1" t="str">
        <f t="shared" si="89"/>
        <v>KRWO1506   LCLS Curncy</v>
      </c>
      <c r="J202" s="1" t="str">
        <f t="shared" si="89"/>
        <v>KRWP1506   LCLS Curncy</v>
      </c>
      <c r="K202" s="1" t="str">
        <f t="shared" si="89"/>
        <v>KRWC1506   LCLS Curncy</v>
      </c>
      <c r="L202" s="1" t="str">
        <f t="shared" si="89"/>
        <v>KRWQ1506   LCLS Curncy</v>
      </c>
      <c r="M202" s="1" t="str">
        <f t="shared" si="89"/>
        <v>KRWR1506   LCLS Curncy</v>
      </c>
      <c r="N202" s="1" t="str">
        <f t="shared" si="89"/>
        <v>KRWD1506   LCLS Curncy</v>
      </c>
    </row>
    <row r="203" spans="1:14" ht="16.5" x14ac:dyDescent="0.3">
      <c r="A203" s="38" t="s">
        <v>1867</v>
      </c>
      <c r="B203" s="1" t="str">
        <f t="shared" ref="B203:N203" si="90">B93&amp;$B$1</f>
        <v>KRWA1507   LCLS Curncy</v>
      </c>
      <c r="C203" s="1" t="str">
        <f t="shared" si="90"/>
        <v>KRWK1507   LCLS Curncy</v>
      </c>
      <c r="D203" s="1" t="str">
        <f t="shared" si="90"/>
        <v>KRWL1507   LCLS Curncy</v>
      </c>
      <c r="E203" s="1" t="str">
        <f t="shared" si="90"/>
        <v>KRWB1507   LCLS Curncy</v>
      </c>
      <c r="F203" s="1" t="str">
        <f t="shared" si="90"/>
        <v>KRWM1507   LCLS Curncy</v>
      </c>
      <c r="G203" s="1" t="str">
        <f t="shared" si="90"/>
        <v>KRWN1507   LCLS Curncy</v>
      </c>
      <c r="H203" s="1" t="str">
        <f t="shared" si="90"/>
        <v>KWSN157    LCLS Curncy</v>
      </c>
      <c r="I203" s="1" t="str">
        <f t="shared" si="90"/>
        <v>KRWO1507   LCLS Curncy</v>
      </c>
      <c r="J203" s="1" t="str">
        <f t="shared" si="90"/>
        <v>KRWP1507   LCLS Curncy</v>
      </c>
      <c r="K203" s="1" t="str">
        <f t="shared" si="90"/>
        <v>KRWC1507   LCLS Curncy</v>
      </c>
      <c r="L203" s="1" t="str">
        <f t="shared" si="90"/>
        <v>KRWQ1507   LCLS Curncy</v>
      </c>
      <c r="M203" s="1" t="str">
        <f t="shared" si="90"/>
        <v>KRWR1507   LCLS Curncy</v>
      </c>
      <c r="N203" s="1" t="str">
        <f t="shared" si="90"/>
        <v>KRWD1507   LCLS Curncy</v>
      </c>
    </row>
    <row r="204" spans="1:14" ht="16.5" x14ac:dyDescent="0.3">
      <c r="A204" s="38" t="s">
        <v>1881</v>
      </c>
      <c r="B204" s="1" t="str">
        <f t="shared" ref="B204:N204" si="91">B94&amp;$B$1</f>
        <v>KRWA1508   LCLS Curncy</v>
      </c>
      <c r="C204" s="1" t="str">
        <f t="shared" si="91"/>
        <v>KRWK1508   LCLS Curncy</v>
      </c>
      <c r="D204" s="1" t="str">
        <f t="shared" si="91"/>
        <v>KRWL1508   LCLS Curncy</v>
      </c>
      <c r="E204" s="1" t="str">
        <f t="shared" si="91"/>
        <v>KRWB1508   LCLS Curncy</v>
      </c>
      <c r="F204" s="1" t="str">
        <f t="shared" si="91"/>
        <v>KRWM1508   LCLS Curncy</v>
      </c>
      <c r="G204" s="1" t="str">
        <f t="shared" si="91"/>
        <v>KRWN1508   LCLS Curncy</v>
      </c>
      <c r="H204" s="1" t="str">
        <f t="shared" si="91"/>
        <v>KWSN158    LCLS Curncy</v>
      </c>
      <c r="I204" s="1" t="str">
        <f t="shared" si="91"/>
        <v>KRWO1508   LCLS Curncy</v>
      </c>
      <c r="J204" s="1" t="str">
        <f t="shared" si="91"/>
        <v>KRWP1508   LCLS Curncy</v>
      </c>
      <c r="K204" s="1" t="str">
        <f t="shared" si="91"/>
        <v>KRWC1508   LCLS Curncy</v>
      </c>
      <c r="L204" s="1" t="str">
        <f t="shared" si="91"/>
        <v>KRWQ1508   LCLS Curncy</v>
      </c>
      <c r="M204" s="1" t="str">
        <f t="shared" si="91"/>
        <v>KRWR1508   LCLS Curncy</v>
      </c>
      <c r="N204" s="1" t="str">
        <f t="shared" si="91"/>
        <v>KRWD1508   LCLS Curncy</v>
      </c>
    </row>
    <row r="205" spans="1:14" ht="16.5" x14ac:dyDescent="0.3">
      <c r="A205" s="38" t="s">
        <v>1895</v>
      </c>
      <c r="B205" s="1" t="str">
        <f t="shared" ref="B205:N205" si="92">B95&amp;$B$1</f>
        <v>KRWA1509   LCLS Curncy</v>
      </c>
      <c r="C205" s="1" t="str">
        <f t="shared" si="92"/>
        <v>KRWK1509   LCLS Curncy</v>
      </c>
      <c r="D205" s="1" t="str">
        <f t="shared" si="92"/>
        <v>KRWL1509   LCLS Curncy</v>
      </c>
      <c r="E205" s="1" t="str">
        <f t="shared" si="92"/>
        <v>KRWB1509   LCLS Curncy</v>
      </c>
      <c r="F205" s="1" t="str">
        <f t="shared" si="92"/>
        <v>KRWM1509   LCLS Curncy</v>
      </c>
      <c r="G205" s="1" t="str">
        <f t="shared" si="92"/>
        <v>KRWN1509   LCLS Curncy</v>
      </c>
      <c r="H205" s="1" t="str">
        <f t="shared" si="92"/>
        <v>KWSN159    LCLS Curncy</v>
      </c>
      <c r="I205" s="1" t="str">
        <f t="shared" si="92"/>
        <v>KRWO1509   LCLS Curncy</v>
      </c>
      <c r="J205" s="1" t="str">
        <f t="shared" si="92"/>
        <v>KRWP1509   LCLS Curncy</v>
      </c>
      <c r="K205" s="1" t="str">
        <f t="shared" si="92"/>
        <v>KRWC1509   LCLS Curncy</v>
      </c>
      <c r="L205" s="1" t="str">
        <f t="shared" si="92"/>
        <v>KRWQ1509   LCLS Curncy</v>
      </c>
      <c r="M205" s="1" t="str">
        <f t="shared" si="92"/>
        <v>KRWR1509   LCLS Curncy</v>
      </c>
      <c r="N205" s="1" t="str">
        <f t="shared" si="92"/>
        <v>KRWD1509   LCLS Curncy</v>
      </c>
    </row>
    <row r="206" spans="1:14" ht="16.5" x14ac:dyDescent="0.3">
      <c r="A206" s="38" t="s">
        <v>1909</v>
      </c>
      <c r="B206" s="1" t="str">
        <f t="shared" ref="B206:N206" si="93">B96&amp;$B$1</f>
        <v>KRWA1510   LCLS Curncy</v>
      </c>
      <c r="C206" s="1" t="str">
        <f t="shared" si="93"/>
        <v>KRWK1510   LCLS Curncy</v>
      </c>
      <c r="D206" s="1" t="str">
        <f t="shared" si="93"/>
        <v>KRWL1510   LCLS Curncy</v>
      </c>
      <c r="E206" s="1" t="str">
        <f t="shared" si="93"/>
        <v>KRWB1510   LCLS Curncy</v>
      </c>
      <c r="F206" s="1" t="str">
        <f t="shared" si="93"/>
        <v>KRWM1510   LCLS Curncy</v>
      </c>
      <c r="G206" s="1" t="str">
        <f t="shared" si="93"/>
        <v>KRWN1510   LCLS Curncy</v>
      </c>
      <c r="H206" s="1" t="str">
        <f t="shared" si="93"/>
        <v>KWSN1510   LCLS Curncy</v>
      </c>
      <c r="I206" s="1" t="str">
        <f t="shared" si="93"/>
        <v>KRWO1510   LCLS Curncy</v>
      </c>
      <c r="J206" s="1" t="str">
        <f t="shared" si="93"/>
        <v>KRWP1510   LCLS Curncy</v>
      </c>
      <c r="K206" s="1" t="str">
        <f t="shared" si="93"/>
        <v>KRWC1510   LCLS Curncy</v>
      </c>
      <c r="L206" s="1" t="str">
        <f t="shared" si="93"/>
        <v>KRWQ1510   LCLS Curncy</v>
      </c>
      <c r="M206" s="1" t="str">
        <f t="shared" si="93"/>
        <v>KRWR1510   LCLS Curncy</v>
      </c>
      <c r="N206" s="1" t="str">
        <f t="shared" si="93"/>
        <v>KRWD1510   LCLS Curncy</v>
      </c>
    </row>
    <row r="207" spans="1:14" ht="16.5" x14ac:dyDescent="0.3">
      <c r="A207" s="38" t="s">
        <v>1923</v>
      </c>
      <c r="B207" s="1" t="str">
        <f t="shared" ref="B207:N207" si="94">B97&amp;$B$1</f>
        <v>KRWA1515   LCLS Curncy</v>
      </c>
      <c r="C207" s="1" t="str">
        <f t="shared" si="94"/>
        <v>KRWK1515   LCLS Curncy</v>
      </c>
      <c r="D207" s="1" t="str">
        <f t="shared" si="94"/>
        <v>KRWL1515   LCLS Curncy</v>
      </c>
      <c r="E207" s="1" t="str">
        <f t="shared" si="94"/>
        <v>KRWB1515   LCLS Curncy</v>
      </c>
      <c r="F207" s="1" t="str">
        <f t="shared" si="94"/>
        <v>KRWM1515   LCLS Curncy</v>
      </c>
      <c r="G207" s="1" t="str">
        <f t="shared" si="94"/>
        <v>KRWN1515   LCLS Curncy</v>
      </c>
      <c r="H207" s="1" t="str">
        <f t="shared" si="94"/>
        <v>KWSN1515   LCLS Curncy</v>
      </c>
      <c r="I207" s="1" t="str">
        <f t="shared" si="94"/>
        <v>KRWO1515   LCLS Curncy</v>
      </c>
      <c r="J207" s="1" t="str">
        <f t="shared" si="94"/>
        <v>KRWP1515   LCLS Curncy</v>
      </c>
      <c r="K207" s="1" t="str">
        <f t="shared" si="94"/>
        <v>KRWC1515   LCLS Curncy</v>
      </c>
      <c r="L207" s="1" t="str">
        <f t="shared" si="94"/>
        <v>KRWQ1515   LCLS Curncy</v>
      </c>
      <c r="M207" s="1" t="str">
        <f t="shared" si="94"/>
        <v>KRWR1515   LCLS Curncy</v>
      </c>
      <c r="N207" s="1" t="str">
        <f t="shared" si="94"/>
        <v>KRWD1515   LCLS Curncy</v>
      </c>
    </row>
    <row r="208" spans="1:14" ht="16.5" x14ac:dyDescent="0.3">
      <c r="A208" s="38" t="s">
        <v>1937</v>
      </c>
      <c r="B208" s="1" t="str">
        <f t="shared" ref="B208:N208" si="95">B98&amp;$B$1</f>
        <v>KRWA1520   LCLS Curncy</v>
      </c>
      <c r="C208" s="1" t="str">
        <f t="shared" si="95"/>
        <v>KRWK1520   LCLS Curncy</v>
      </c>
      <c r="D208" s="1" t="str">
        <f t="shared" si="95"/>
        <v>KRWL1520   LCLS Curncy</v>
      </c>
      <c r="E208" s="1" t="str">
        <f t="shared" si="95"/>
        <v>KRWB1520   LCLS Curncy</v>
      </c>
      <c r="F208" s="1" t="str">
        <f t="shared" si="95"/>
        <v>KRWM1520   LCLS Curncy</v>
      </c>
      <c r="G208" s="1" t="str">
        <f t="shared" si="95"/>
        <v>KRWN1520   LCLS Curncy</v>
      </c>
      <c r="H208" s="1" t="str">
        <f t="shared" si="95"/>
        <v>KWSN1520   LCLS Curncy</v>
      </c>
      <c r="I208" s="1" t="str">
        <f t="shared" si="95"/>
        <v>KRWO1520   LCLS Curncy</v>
      </c>
      <c r="J208" s="1" t="str">
        <f t="shared" si="95"/>
        <v>KRWP1520   LCLS Curncy</v>
      </c>
      <c r="K208" s="1" t="str">
        <f t="shared" si="95"/>
        <v>KRWC1520   LCLS Curncy</v>
      </c>
      <c r="L208" s="1" t="str">
        <f t="shared" si="95"/>
        <v>KRWQ1520   LCLS Curncy</v>
      </c>
      <c r="M208" s="1" t="str">
        <f t="shared" si="95"/>
        <v>KRWR1520   LCLS Curncy</v>
      </c>
      <c r="N208" s="1" t="str">
        <f t="shared" si="95"/>
        <v>KRWD1520   LCLS Curncy</v>
      </c>
    </row>
    <row r="209" spans="1:14" ht="16.5" x14ac:dyDescent="0.3">
      <c r="A209" s="38" t="s">
        <v>1951</v>
      </c>
      <c r="B209" s="1" t="str">
        <f t="shared" ref="B209:N209" si="96">B99&amp;$B$1</f>
        <v>KRWA2001   LCLS Curncy</v>
      </c>
      <c r="C209" s="1" t="str">
        <f t="shared" si="96"/>
        <v>KRWK2001   LCLS Curncy</v>
      </c>
      <c r="D209" s="1" t="str">
        <f t="shared" si="96"/>
        <v>KRWL2001   LCLS Curncy</v>
      </c>
      <c r="E209" s="1" t="str">
        <f t="shared" si="96"/>
        <v>KRWB2001   LCLS Curncy</v>
      </c>
      <c r="F209" s="1" t="str">
        <f t="shared" si="96"/>
        <v>KRWM2001   LCLS Curncy</v>
      </c>
      <c r="G209" s="1" t="str">
        <f t="shared" si="96"/>
        <v>KRWN2001   LCLS Curncy</v>
      </c>
      <c r="H209" s="1" t="str">
        <f t="shared" si="96"/>
        <v>KWSN201    LCLS Curncy</v>
      </c>
      <c r="I209" s="1" t="str">
        <f t="shared" si="96"/>
        <v>KRWO2001   LCLS Curncy</v>
      </c>
      <c r="J209" s="1" t="str">
        <f t="shared" si="96"/>
        <v>KRWP2001   LCLS Curncy</v>
      </c>
      <c r="K209" s="1" t="str">
        <f t="shared" si="96"/>
        <v>KRWC2001   LCLS Curncy</v>
      </c>
      <c r="L209" s="1" t="str">
        <f t="shared" si="96"/>
        <v>KRWQ2001   LCLS Curncy</v>
      </c>
      <c r="M209" s="1" t="str">
        <f t="shared" si="96"/>
        <v>KRWR2001   LCLS Curncy</v>
      </c>
      <c r="N209" s="1" t="str">
        <f t="shared" si="96"/>
        <v>KRWD2001   LCLS Curncy</v>
      </c>
    </row>
    <row r="210" spans="1:14" ht="16.5" x14ac:dyDescent="0.3">
      <c r="A210" s="38" t="s">
        <v>1965</v>
      </c>
      <c r="B210" s="1" t="str">
        <f t="shared" ref="B210:N210" si="97">B100&amp;$B$1</f>
        <v>KRWA2002   LCLS Curncy</v>
      </c>
      <c r="C210" s="1" t="str">
        <f t="shared" si="97"/>
        <v>KRWK2002   LCLS Curncy</v>
      </c>
      <c r="D210" s="1" t="str">
        <f t="shared" si="97"/>
        <v>KRWL2002   LCLS Curncy</v>
      </c>
      <c r="E210" s="1" t="str">
        <f t="shared" si="97"/>
        <v>KRWB2002   LCLS Curncy</v>
      </c>
      <c r="F210" s="1" t="str">
        <f t="shared" si="97"/>
        <v>KRWM2002   LCLS Curncy</v>
      </c>
      <c r="G210" s="1" t="str">
        <f t="shared" si="97"/>
        <v>KRWN2002   LCLS Curncy</v>
      </c>
      <c r="H210" s="1" t="str">
        <f t="shared" si="97"/>
        <v>KWSN202    LCLS Curncy</v>
      </c>
      <c r="I210" s="1" t="str">
        <f t="shared" si="97"/>
        <v>KRWO2002   LCLS Curncy</v>
      </c>
      <c r="J210" s="1" t="str">
        <f t="shared" si="97"/>
        <v>KRWP2002   LCLS Curncy</v>
      </c>
      <c r="K210" s="1" t="str">
        <f t="shared" si="97"/>
        <v>KRWC2002   LCLS Curncy</v>
      </c>
      <c r="L210" s="1" t="str">
        <f t="shared" si="97"/>
        <v>KRWQ2002   LCLS Curncy</v>
      </c>
      <c r="M210" s="1" t="str">
        <f t="shared" si="97"/>
        <v>KRWR2002   LCLS Curncy</v>
      </c>
      <c r="N210" s="1" t="str">
        <f t="shared" si="97"/>
        <v>KRWD2002   LCLS Curncy</v>
      </c>
    </row>
    <row r="211" spans="1:14" ht="16.5" x14ac:dyDescent="0.3">
      <c r="A211" s="38" t="s">
        <v>1979</v>
      </c>
      <c r="B211" s="1" t="str">
        <f t="shared" ref="B211:N211" si="98">B101&amp;$B$1</f>
        <v>KRWA2003   LCLS Curncy</v>
      </c>
      <c r="C211" s="1" t="str">
        <f t="shared" si="98"/>
        <v>KRWK2003   LCLS Curncy</v>
      </c>
      <c r="D211" s="1" t="str">
        <f t="shared" si="98"/>
        <v>KRWL2003   LCLS Curncy</v>
      </c>
      <c r="E211" s="1" t="str">
        <f t="shared" si="98"/>
        <v>KRWB2003   LCLS Curncy</v>
      </c>
      <c r="F211" s="1" t="str">
        <f t="shared" si="98"/>
        <v>KRWM2003   LCLS Curncy</v>
      </c>
      <c r="G211" s="1" t="str">
        <f t="shared" si="98"/>
        <v>KRWN2003   LCLS Curncy</v>
      </c>
      <c r="H211" s="1" t="str">
        <f t="shared" si="98"/>
        <v>KWSN203    LCLS Curncy</v>
      </c>
      <c r="I211" s="1" t="str">
        <f t="shared" si="98"/>
        <v>KRWO2003   LCLS Curncy</v>
      </c>
      <c r="J211" s="1" t="str">
        <f t="shared" si="98"/>
        <v>KRWP2003   LCLS Curncy</v>
      </c>
      <c r="K211" s="1" t="str">
        <f t="shared" si="98"/>
        <v>KRWC2003   LCLS Curncy</v>
      </c>
      <c r="L211" s="1" t="str">
        <f t="shared" si="98"/>
        <v>KRWQ2003   LCLS Curncy</v>
      </c>
      <c r="M211" s="1" t="str">
        <f t="shared" si="98"/>
        <v>KRWR2003   LCLS Curncy</v>
      </c>
      <c r="N211" s="1" t="str">
        <f t="shared" si="98"/>
        <v>KRWD2003   LCLS Curncy</v>
      </c>
    </row>
    <row r="212" spans="1:14" ht="16.5" x14ac:dyDescent="0.3">
      <c r="A212" s="38" t="s">
        <v>1993</v>
      </c>
      <c r="B212" s="1" t="str">
        <f t="shared" ref="B212:N212" si="99">B102&amp;$B$1</f>
        <v>KRWA2004   LCLS Curncy</v>
      </c>
      <c r="C212" s="1" t="str">
        <f t="shared" si="99"/>
        <v>KRWK2004   LCLS Curncy</v>
      </c>
      <c r="D212" s="1" t="str">
        <f t="shared" si="99"/>
        <v>KRWL2004   LCLS Curncy</v>
      </c>
      <c r="E212" s="1" t="str">
        <f t="shared" si="99"/>
        <v>KRWB2004   LCLS Curncy</v>
      </c>
      <c r="F212" s="1" t="str">
        <f t="shared" si="99"/>
        <v>KRWM2004   LCLS Curncy</v>
      </c>
      <c r="G212" s="1" t="str">
        <f t="shared" si="99"/>
        <v>KRWN2004   LCLS Curncy</v>
      </c>
      <c r="H212" s="1" t="str">
        <f t="shared" si="99"/>
        <v>KWSN204    LCLS Curncy</v>
      </c>
      <c r="I212" s="1" t="str">
        <f t="shared" si="99"/>
        <v>KRWO2004   LCLS Curncy</v>
      </c>
      <c r="J212" s="1" t="str">
        <f t="shared" si="99"/>
        <v>KRWP2004   LCLS Curncy</v>
      </c>
      <c r="K212" s="1" t="str">
        <f t="shared" si="99"/>
        <v>KRWC2004   LCLS Curncy</v>
      </c>
      <c r="L212" s="1" t="str">
        <f t="shared" si="99"/>
        <v>KRWQ2004   LCLS Curncy</v>
      </c>
      <c r="M212" s="1" t="str">
        <f t="shared" si="99"/>
        <v>KRWR2004   LCLS Curncy</v>
      </c>
      <c r="N212" s="1" t="str">
        <f t="shared" si="99"/>
        <v>KRWD2004   LCLS Curncy</v>
      </c>
    </row>
    <row r="213" spans="1:14" ht="16.5" x14ac:dyDescent="0.3">
      <c r="A213" s="38" t="s">
        <v>2007</v>
      </c>
      <c r="B213" s="1" t="str">
        <f t="shared" ref="B213:N213" si="100">B103&amp;$B$1</f>
        <v>KRWA2005   LCLS Curncy</v>
      </c>
      <c r="C213" s="1" t="str">
        <f t="shared" si="100"/>
        <v>KRWK2005   LCLS Curncy</v>
      </c>
      <c r="D213" s="1" t="str">
        <f t="shared" si="100"/>
        <v>KRWL2005   LCLS Curncy</v>
      </c>
      <c r="E213" s="1" t="str">
        <f t="shared" si="100"/>
        <v>KRWB2005   LCLS Curncy</v>
      </c>
      <c r="F213" s="1" t="str">
        <f t="shared" si="100"/>
        <v>KRWM2005   LCLS Curncy</v>
      </c>
      <c r="G213" s="1" t="str">
        <f t="shared" si="100"/>
        <v>KRWN2005   LCLS Curncy</v>
      </c>
      <c r="H213" s="1" t="str">
        <f t="shared" si="100"/>
        <v>KWSN205    LCLS Curncy</v>
      </c>
      <c r="I213" s="1" t="str">
        <f t="shared" si="100"/>
        <v>KRWO2005   LCLS Curncy</v>
      </c>
      <c r="J213" s="1" t="str">
        <f t="shared" si="100"/>
        <v>KRWP2005   LCLS Curncy</v>
      </c>
      <c r="K213" s="1" t="str">
        <f t="shared" si="100"/>
        <v>KRWC2005   LCLS Curncy</v>
      </c>
      <c r="L213" s="1" t="str">
        <f t="shared" si="100"/>
        <v>KRWQ2005   LCLS Curncy</v>
      </c>
      <c r="M213" s="1" t="str">
        <f t="shared" si="100"/>
        <v>KRWR2005   LCLS Curncy</v>
      </c>
      <c r="N213" s="1" t="str">
        <f t="shared" si="100"/>
        <v>KRWD2005   LCLS Curncy</v>
      </c>
    </row>
    <row r="214" spans="1:14" ht="16.5" x14ac:dyDescent="0.3">
      <c r="A214" s="38" t="s">
        <v>2021</v>
      </c>
      <c r="B214" s="1" t="str">
        <f t="shared" ref="B214:N214" si="101">B104&amp;$B$1</f>
        <v>KRWA2006   LCLS Curncy</v>
      </c>
      <c r="C214" s="1" t="str">
        <f t="shared" si="101"/>
        <v>KRWK2006   LCLS Curncy</v>
      </c>
      <c r="D214" s="1" t="str">
        <f t="shared" si="101"/>
        <v>KRWL2006   LCLS Curncy</v>
      </c>
      <c r="E214" s="1" t="str">
        <f t="shared" si="101"/>
        <v>KRWB2006   LCLS Curncy</v>
      </c>
      <c r="F214" s="1" t="str">
        <f t="shared" si="101"/>
        <v>KRWM2006   LCLS Curncy</v>
      </c>
      <c r="G214" s="1" t="str">
        <f t="shared" si="101"/>
        <v>KRWN2006   LCLS Curncy</v>
      </c>
      <c r="H214" s="1" t="str">
        <f t="shared" si="101"/>
        <v>KWSN206    LCLS Curncy</v>
      </c>
      <c r="I214" s="1" t="str">
        <f t="shared" si="101"/>
        <v>KRWO2006   LCLS Curncy</v>
      </c>
      <c r="J214" s="1" t="str">
        <f t="shared" si="101"/>
        <v>KRWP2006   LCLS Curncy</v>
      </c>
      <c r="K214" s="1" t="str">
        <f t="shared" si="101"/>
        <v>KRWC2006   LCLS Curncy</v>
      </c>
      <c r="L214" s="1" t="str">
        <f t="shared" si="101"/>
        <v>KRWQ2006   LCLS Curncy</v>
      </c>
      <c r="M214" s="1" t="str">
        <f t="shared" si="101"/>
        <v>KRWR2006   LCLS Curncy</v>
      </c>
      <c r="N214" s="1" t="str">
        <f t="shared" si="101"/>
        <v>KRWD2006   LCLS Curncy</v>
      </c>
    </row>
    <row r="215" spans="1:14" ht="16.5" x14ac:dyDescent="0.3">
      <c r="A215" s="38" t="s">
        <v>2035</v>
      </c>
      <c r="B215" s="1" t="str">
        <f t="shared" ref="B215:N215" si="102">B105&amp;$B$1</f>
        <v>KRWA2007   LCLS Curncy</v>
      </c>
      <c r="C215" s="1" t="str">
        <f t="shared" si="102"/>
        <v>KRWK2007   LCLS Curncy</v>
      </c>
      <c r="D215" s="1" t="str">
        <f t="shared" si="102"/>
        <v>KRWL2007   LCLS Curncy</v>
      </c>
      <c r="E215" s="1" t="str">
        <f t="shared" si="102"/>
        <v>KRWB2007   LCLS Curncy</v>
      </c>
      <c r="F215" s="1" t="str">
        <f t="shared" si="102"/>
        <v>KRWM2007   LCLS Curncy</v>
      </c>
      <c r="G215" s="1" t="str">
        <f t="shared" si="102"/>
        <v>KRWN2007   LCLS Curncy</v>
      </c>
      <c r="H215" s="1" t="str">
        <f t="shared" si="102"/>
        <v>KWSN207    LCLS Curncy</v>
      </c>
      <c r="I215" s="1" t="str">
        <f t="shared" si="102"/>
        <v>KRWO2007   LCLS Curncy</v>
      </c>
      <c r="J215" s="1" t="str">
        <f t="shared" si="102"/>
        <v>KRWP2007   LCLS Curncy</v>
      </c>
      <c r="K215" s="1" t="str">
        <f t="shared" si="102"/>
        <v>KRWC2007   LCLS Curncy</v>
      </c>
      <c r="L215" s="1" t="str">
        <f t="shared" si="102"/>
        <v>KRWQ2007   LCLS Curncy</v>
      </c>
      <c r="M215" s="1" t="str">
        <f t="shared" si="102"/>
        <v>KRWR2007   LCLS Curncy</v>
      </c>
      <c r="N215" s="1" t="str">
        <f t="shared" si="102"/>
        <v>KRWD2007   LCLS Curncy</v>
      </c>
    </row>
    <row r="216" spans="1:14" ht="16.5" x14ac:dyDescent="0.3">
      <c r="A216" s="38" t="s">
        <v>2049</v>
      </c>
      <c r="B216" s="1" t="str">
        <f t="shared" ref="B216:N216" si="103">B106&amp;$B$1</f>
        <v>KRWA2008   LCLS Curncy</v>
      </c>
      <c r="C216" s="1" t="str">
        <f t="shared" si="103"/>
        <v>KRWK2008   LCLS Curncy</v>
      </c>
      <c r="D216" s="1" t="str">
        <f t="shared" si="103"/>
        <v>KRWL2008   LCLS Curncy</v>
      </c>
      <c r="E216" s="1" t="str">
        <f t="shared" si="103"/>
        <v>KRWB2008   LCLS Curncy</v>
      </c>
      <c r="F216" s="1" t="str">
        <f t="shared" si="103"/>
        <v>KRWM2008   LCLS Curncy</v>
      </c>
      <c r="G216" s="1" t="str">
        <f t="shared" si="103"/>
        <v>KRWN2008   LCLS Curncy</v>
      </c>
      <c r="H216" s="1" t="str">
        <f t="shared" si="103"/>
        <v>KWSN208    LCLS Curncy</v>
      </c>
      <c r="I216" s="1" t="str">
        <f t="shared" si="103"/>
        <v>KRWO2008   LCLS Curncy</v>
      </c>
      <c r="J216" s="1" t="str">
        <f t="shared" si="103"/>
        <v>KRWP2008   LCLS Curncy</v>
      </c>
      <c r="K216" s="1" t="str">
        <f t="shared" si="103"/>
        <v>KRWC2008   LCLS Curncy</v>
      </c>
      <c r="L216" s="1" t="str">
        <f t="shared" si="103"/>
        <v>KRWQ2008   LCLS Curncy</v>
      </c>
      <c r="M216" s="1" t="str">
        <f t="shared" si="103"/>
        <v>KRWR2008   LCLS Curncy</v>
      </c>
      <c r="N216" s="1" t="str">
        <f t="shared" si="103"/>
        <v>KRWD2008   LCLS Curncy</v>
      </c>
    </row>
    <row r="217" spans="1:14" ht="16.5" x14ac:dyDescent="0.3">
      <c r="A217" s="38" t="s">
        <v>2063</v>
      </c>
      <c r="B217" s="1" t="str">
        <f t="shared" ref="B217:N217" si="104">B107&amp;$B$1</f>
        <v>KRWA2009   LCLS Curncy</v>
      </c>
      <c r="C217" s="1" t="str">
        <f t="shared" si="104"/>
        <v>KRWK2009   LCLS Curncy</v>
      </c>
      <c r="D217" s="1" t="str">
        <f t="shared" si="104"/>
        <v>KRWL2009   LCLS Curncy</v>
      </c>
      <c r="E217" s="1" t="str">
        <f t="shared" si="104"/>
        <v>KRWB2009   LCLS Curncy</v>
      </c>
      <c r="F217" s="1" t="str">
        <f t="shared" si="104"/>
        <v>KRWM2009   LCLS Curncy</v>
      </c>
      <c r="G217" s="1" t="str">
        <f t="shared" si="104"/>
        <v>KRWN2009   LCLS Curncy</v>
      </c>
      <c r="H217" s="1" t="str">
        <f t="shared" si="104"/>
        <v>KWSN209    LCLS Curncy</v>
      </c>
      <c r="I217" s="1" t="str">
        <f t="shared" si="104"/>
        <v>KRWO2009   LCLS Curncy</v>
      </c>
      <c r="J217" s="1" t="str">
        <f t="shared" si="104"/>
        <v>KRWP2009   LCLS Curncy</v>
      </c>
      <c r="K217" s="1" t="str">
        <f t="shared" si="104"/>
        <v>KRWC2009   LCLS Curncy</v>
      </c>
      <c r="L217" s="1" t="str">
        <f t="shared" si="104"/>
        <v>KRWQ2009   LCLS Curncy</v>
      </c>
      <c r="M217" s="1" t="str">
        <f t="shared" si="104"/>
        <v>KRWR2009   LCLS Curncy</v>
      </c>
      <c r="N217" s="1" t="str">
        <f t="shared" si="104"/>
        <v>KRWD2009   LCLS Curncy</v>
      </c>
    </row>
    <row r="218" spans="1:14" ht="16.5" x14ac:dyDescent="0.3">
      <c r="A218" s="38" t="s">
        <v>2077</v>
      </c>
      <c r="B218" s="1" t="str">
        <f t="shared" ref="B218:N218" si="105">B108&amp;$B$1</f>
        <v>KRWA2010   LCLS Curncy</v>
      </c>
      <c r="C218" s="1" t="str">
        <f t="shared" si="105"/>
        <v>KRWK2010   LCLS Curncy</v>
      </c>
      <c r="D218" s="1" t="str">
        <f t="shared" si="105"/>
        <v>KRWL2010   LCLS Curncy</v>
      </c>
      <c r="E218" s="1" t="str">
        <f t="shared" si="105"/>
        <v>KRWB2010   LCLS Curncy</v>
      </c>
      <c r="F218" s="1" t="str">
        <f t="shared" si="105"/>
        <v>KRWM2010   LCLS Curncy</v>
      </c>
      <c r="G218" s="1" t="str">
        <f t="shared" si="105"/>
        <v>KRWN2010   LCLS Curncy</v>
      </c>
      <c r="H218" s="1" t="str">
        <f t="shared" si="105"/>
        <v>KWSN2010   LCLS Curncy</v>
      </c>
      <c r="I218" s="1" t="str">
        <f t="shared" si="105"/>
        <v>KRWO2010   LCLS Curncy</v>
      </c>
      <c r="J218" s="1" t="str">
        <f t="shared" si="105"/>
        <v>KRWP2010   LCLS Curncy</v>
      </c>
      <c r="K218" s="1" t="str">
        <f t="shared" si="105"/>
        <v>KRWC2010   LCLS Curncy</v>
      </c>
      <c r="L218" s="1" t="str">
        <f t="shared" si="105"/>
        <v>KRWQ2010   LCLS Curncy</v>
      </c>
      <c r="M218" s="1" t="str">
        <f t="shared" si="105"/>
        <v>KRWR2010   LCLS Curncy</v>
      </c>
      <c r="N218" s="1" t="str">
        <f t="shared" si="105"/>
        <v>KRWD2010   LCLS Curncy</v>
      </c>
    </row>
    <row r="219" spans="1:14" ht="16.5" x14ac:dyDescent="0.3">
      <c r="A219" s="38" t="s">
        <v>2091</v>
      </c>
      <c r="B219" s="1" t="str">
        <f t="shared" ref="B219:N219" si="106">B109&amp;$B$1</f>
        <v>KRWA2015   LCLS Curncy</v>
      </c>
      <c r="C219" s="1" t="str">
        <f t="shared" si="106"/>
        <v>KRWK2015   LCLS Curncy</v>
      </c>
      <c r="D219" s="1" t="str">
        <f t="shared" si="106"/>
        <v>KRWL2015   LCLS Curncy</v>
      </c>
      <c r="E219" s="1" t="str">
        <f t="shared" si="106"/>
        <v>KRWB2015   LCLS Curncy</v>
      </c>
      <c r="F219" s="1" t="str">
        <f t="shared" si="106"/>
        <v>KRWM2015   LCLS Curncy</v>
      </c>
      <c r="G219" s="1" t="str">
        <f t="shared" si="106"/>
        <v>KRWN2015   LCLS Curncy</v>
      </c>
      <c r="H219" s="1" t="str">
        <f t="shared" si="106"/>
        <v>KWSN2015   LCLS Curncy</v>
      </c>
      <c r="I219" s="1" t="str">
        <f t="shared" si="106"/>
        <v>KRWO2015   LCLS Curncy</v>
      </c>
      <c r="J219" s="1" t="str">
        <f t="shared" si="106"/>
        <v>KRWP2015   LCLS Curncy</v>
      </c>
      <c r="K219" s="1" t="str">
        <f t="shared" si="106"/>
        <v>KRWC2015   LCLS Curncy</v>
      </c>
      <c r="L219" s="1" t="str">
        <f t="shared" si="106"/>
        <v>KRWQ2015   LCLS Curncy</v>
      </c>
      <c r="M219" s="1" t="str">
        <f t="shared" si="106"/>
        <v>KRWR2015   LCLS Curncy</v>
      </c>
      <c r="N219" s="1" t="str">
        <f t="shared" si="106"/>
        <v>KRWD2015   LCLS Curncy</v>
      </c>
    </row>
    <row r="220" spans="1:14" ht="16.5" x14ac:dyDescent="0.3">
      <c r="A220" s="38" t="s">
        <v>2105</v>
      </c>
      <c r="B220" s="1" t="str">
        <f t="shared" ref="B220:N220" si="107">B110&amp;$B$1</f>
        <v>KRWA2020   LCLS Curncy</v>
      </c>
      <c r="C220" s="1" t="str">
        <f t="shared" si="107"/>
        <v>KRWK2020   LCLS Curncy</v>
      </c>
      <c r="D220" s="1" t="str">
        <f t="shared" si="107"/>
        <v>KRWL2020   LCLS Curncy</v>
      </c>
      <c r="E220" s="1" t="str">
        <f t="shared" si="107"/>
        <v>KRWB2020   LCLS Curncy</v>
      </c>
      <c r="F220" s="1" t="str">
        <f t="shared" si="107"/>
        <v>KRWM2020   LCLS Curncy</v>
      </c>
      <c r="G220" s="1" t="str">
        <f t="shared" si="107"/>
        <v>KRWN2020   LCLS Curncy</v>
      </c>
      <c r="H220" s="1" t="str">
        <f t="shared" si="107"/>
        <v>KWSN2020   LCLS Curncy</v>
      </c>
      <c r="I220" s="1" t="str">
        <f t="shared" si="107"/>
        <v>KRWO2020   LCLS Curncy</v>
      </c>
      <c r="J220" s="1" t="str">
        <f t="shared" si="107"/>
        <v>KRWP2020   LCLS Curncy</v>
      </c>
      <c r="K220" s="1" t="str">
        <f t="shared" si="107"/>
        <v>KRWC2020   LCLS Curncy</v>
      </c>
      <c r="L220" s="1" t="str">
        <f t="shared" si="107"/>
        <v>KRWQ2020   LCLS Curncy</v>
      </c>
      <c r="M220" s="1" t="str">
        <f t="shared" si="107"/>
        <v>KRWR2020   LCLS Curncy</v>
      </c>
      <c r="N220" s="1" t="str">
        <f t="shared" si="107"/>
        <v>KRWD2020   LCLS Curncy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79998168889431442"/>
  </sheetPr>
  <dimension ref="A1:AF241"/>
  <sheetViews>
    <sheetView zoomScale="85" zoomScaleNormal="85" workbookViewId="0">
      <selection activeCell="A3" sqref="A3"/>
    </sheetView>
  </sheetViews>
  <sheetFormatPr defaultRowHeight="13.5" x14ac:dyDescent="0.3"/>
  <cols>
    <col min="1" max="1" width="11.75" style="61" bestFit="1" customWidth="1"/>
    <col min="2" max="2" width="21.75" style="61" bestFit="1" customWidth="1"/>
    <col min="3" max="3" width="20.5" style="61" bestFit="1" customWidth="1"/>
    <col min="4" max="16" width="9" style="61"/>
    <col min="17" max="17" width="11" style="61" bestFit="1" customWidth="1"/>
    <col min="18" max="18" width="12.875" style="61" bestFit="1" customWidth="1"/>
    <col min="19" max="16384" width="9" style="61"/>
  </cols>
  <sheetData>
    <row r="1" spans="1:31" x14ac:dyDescent="0.3">
      <c r="Q1" s="4">
        <v>44631</v>
      </c>
    </row>
    <row r="2" spans="1:31" ht="15" x14ac:dyDescent="0.25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Q2" s="1" t="s">
        <v>296</v>
      </c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</row>
    <row r="3" spans="1:31" ht="16.5" x14ac:dyDescent="0.3">
      <c r="A3" s="37" t="s">
        <v>594</v>
      </c>
      <c r="B3" s="37" t="s">
        <v>595</v>
      </c>
      <c r="C3" s="37" t="s">
        <v>596</v>
      </c>
      <c r="D3" s="37" t="s">
        <v>597</v>
      </c>
      <c r="E3" s="37" t="s">
        <v>598</v>
      </c>
      <c r="F3" s="37" t="s">
        <v>599</v>
      </c>
      <c r="G3" s="37" t="s">
        <v>600</v>
      </c>
      <c r="H3" s="37" t="s">
        <v>531</v>
      </c>
      <c r="I3" s="37" t="s">
        <v>601</v>
      </c>
      <c r="J3" s="37" t="s">
        <v>602</v>
      </c>
      <c r="K3" s="37" t="s">
        <v>603</v>
      </c>
      <c r="L3" s="37" t="s">
        <v>604</v>
      </c>
      <c r="M3" s="37" t="s">
        <v>605</v>
      </c>
      <c r="N3" s="37" t="s">
        <v>606</v>
      </c>
      <c r="O3" s="37"/>
      <c r="R3" s="63"/>
    </row>
    <row r="4" spans="1:31" ht="16.5" x14ac:dyDescent="0.3">
      <c r="A4" s="38" t="s">
        <v>607</v>
      </c>
      <c r="B4" s="38" t="s">
        <v>608</v>
      </c>
      <c r="C4" s="38" t="s">
        <v>609</v>
      </c>
      <c r="D4" s="38" t="s">
        <v>610</v>
      </c>
      <c r="E4" s="38" t="s">
        <v>611</v>
      </c>
      <c r="F4" s="38" t="s">
        <v>612</v>
      </c>
      <c r="G4" s="38" t="s">
        <v>613</v>
      </c>
      <c r="H4" s="38" t="s">
        <v>615</v>
      </c>
      <c r="I4" s="38" t="s">
        <v>616</v>
      </c>
      <c r="J4" s="38" t="s">
        <v>617</v>
      </c>
      <c r="K4" s="38" t="s">
        <v>618</v>
      </c>
      <c r="L4" s="38" t="s">
        <v>619</v>
      </c>
      <c r="M4" s="38" t="s">
        <v>620</v>
      </c>
      <c r="N4" s="38" t="s">
        <v>620</v>
      </c>
      <c r="O4" s="38"/>
      <c r="Q4" s="65" t="str">
        <f>_xll.BDH(B4,$Q$1,$Q$2,$Q$2)</f>
        <v>#N/A Invalid Security</v>
      </c>
      <c r="R4" s="63"/>
    </row>
    <row r="5" spans="1:31" ht="16.5" x14ac:dyDescent="0.3">
      <c r="A5" s="38" t="s">
        <v>621</v>
      </c>
      <c r="B5" s="38" t="s">
        <v>622</v>
      </c>
      <c r="C5" s="38" t="s">
        <v>623</v>
      </c>
      <c r="D5" s="38" t="s">
        <v>624</v>
      </c>
      <c r="E5" s="38" t="s">
        <v>625</v>
      </c>
      <c r="F5" s="38" t="s">
        <v>626</v>
      </c>
      <c r="G5" s="38" t="s">
        <v>627</v>
      </c>
      <c r="H5" s="38" t="s">
        <v>629</v>
      </c>
      <c r="I5" s="38" t="s">
        <v>630</v>
      </c>
      <c r="J5" s="38" t="s">
        <v>631</v>
      </c>
      <c r="K5" s="38" t="s">
        <v>632</v>
      </c>
      <c r="L5" s="38" t="s">
        <v>633</v>
      </c>
      <c r="M5" s="38" t="s">
        <v>634</v>
      </c>
      <c r="N5" s="38" t="s">
        <v>634</v>
      </c>
      <c r="O5" s="38"/>
      <c r="R5" s="63"/>
    </row>
    <row r="6" spans="1:31" ht="16.5" x14ac:dyDescent="0.3">
      <c r="A6" s="38" t="s">
        <v>635</v>
      </c>
      <c r="B6" s="38" t="s">
        <v>636</v>
      </c>
      <c r="C6" s="38" t="s">
        <v>637</v>
      </c>
      <c r="D6" s="38" t="s">
        <v>638</v>
      </c>
      <c r="E6" s="38" t="s">
        <v>639</v>
      </c>
      <c r="F6" s="38" t="s">
        <v>640</v>
      </c>
      <c r="G6" s="38" t="s">
        <v>641</v>
      </c>
      <c r="H6" s="38" t="s">
        <v>643</v>
      </c>
      <c r="I6" s="38" t="s">
        <v>644</v>
      </c>
      <c r="J6" s="38" t="s">
        <v>645</v>
      </c>
      <c r="K6" s="38" t="s">
        <v>646</v>
      </c>
      <c r="L6" s="38" t="s">
        <v>647</v>
      </c>
      <c r="M6" s="38" t="s">
        <v>648</v>
      </c>
      <c r="N6" s="38" t="s">
        <v>648</v>
      </c>
      <c r="O6" s="38"/>
      <c r="R6" s="63"/>
    </row>
    <row r="7" spans="1:31" ht="16.5" x14ac:dyDescent="0.3">
      <c r="A7" s="38" t="s">
        <v>649</v>
      </c>
      <c r="B7" s="38" t="s">
        <v>650</v>
      </c>
      <c r="C7" s="38" t="s">
        <v>651</v>
      </c>
      <c r="D7" s="38" t="s">
        <v>652</v>
      </c>
      <c r="E7" s="38" t="s">
        <v>653</v>
      </c>
      <c r="F7" s="38" t="s">
        <v>654</v>
      </c>
      <c r="G7" s="38" t="s">
        <v>655</v>
      </c>
      <c r="H7" s="38" t="s">
        <v>657</v>
      </c>
      <c r="I7" s="38" t="s">
        <v>658</v>
      </c>
      <c r="J7" s="38" t="s">
        <v>659</v>
      </c>
      <c r="K7" s="38" t="s">
        <v>660</v>
      </c>
      <c r="L7" s="38" t="s">
        <v>661</v>
      </c>
      <c r="M7" s="38" t="s">
        <v>662</v>
      </c>
      <c r="N7" s="38" t="s">
        <v>662</v>
      </c>
      <c r="O7" s="38"/>
      <c r="R7" s="63"/>
    </row>
    <row r="8" spans="1:31" ht="16.5" x14ac:dyDescent="0.3">
      <c r="A8" s="38" t="s">
        <v>663</v>
      </c>
      <c r="B8" s="38" t="s">
        <v>664</v>
      </c>
      <c r="C8" s="38" t="s">
        <v>665</v>
      </c>
      <c r="D8" s="38" t="s">
        <v>666</v>
      </c>
      <c r="E8" s="38" t="s">
        <v>667</v>
      </c>
      <c r="F8" s="38" t="s">
        <v>668</v>
      </c>
      <c r="G8" s="38" t="s">
        <v>669</v>
      </c>
      <c r="H8" s="38" t="s">
        <v>671</v>
      </c>
      <c r="I8" s="38" t="s">
        <v>672</v>
      </c>
      <c r="J8" s="38" t="s">
        <v>673</v>
      </c>
      <c r="K8" s="38" t="s">
        <v>674</v>
      </c>
      <c r="L8" s="38" t="s">
        <v>675</v>
      </c>
      <c r="M8" s="38" t="s">
        <v>676</v>
      </c>
      <c r="N8" s="38" t="s">
        <v>676</v>
      </c>
      <c r="O8" s="38"/>
      <c r="R8" s="63"/>
    </row>
    <row r="9" spans="1:31" ht="16.5" x14ac:dyDescent="0.3">
      <c r="A9" s="38" t="s">
        <v>677</v>
      </c>
      <c r="B9" s="38" t="s">
        <v>678</v>
      </c>
      <c r="C9" s="38" t="s">
        <v>679</v>
      </c>
      <c r="D9" s="38" t="s">
        <v>680</v>
      </c>
      <c r="E9" s="38" t="s">
        <v>681</v>
      </c>
      <c r="F9" s="38" t="s">
        <v>682</v>
      </c>
      <c r="G9" s="38" t="s">
        <v>683</v>
      </c>
      <c r="H9" s="38" t="s">
        <v>685</v>
      </c>
      <c r="I9" s="38" t="s">
        <v>686</v>
      </c>
      <c r="J9" s="38" t="s">
        <v>687</v>
      </c>
      <c r="K9" s="38" t="s">
        <v>688</v>
      </c>
      <c r="L9" s="38" t="s">
        <v>689</v>
      </c>
      <c r="M9" s="38" t="s">
        <v>690</v>
      </c>
      <c r="N9" s="38" t="s">
        <v>690</v>
      </c>
      <c r="O9" s="38"/>
      <c r="R9" s="63"/>
    </row>
    <row r="10" spans="1:31" ht="16.5" x14ac:dyDescent="0.3">
      <c r="A10" s="38" t="s">
        <v>691</v>
      </c>
      <c r="B10" s="38" t="s">
        <v>692</v>
      </c>
      <c r="C10" s="38" t="s">
        <v>693</v>
      </c>
      <c r="D10" s="38" t="s">
        <v>694</v>
      </c>
      <c r="E10" s="38" t="s">
        <v>695</v>
      </c>
      <c r="F10" s="38" t="s">
        <v>696</v>
      </c>
      <c r="G10" s="38" t="s">
        <v>697</v>
      </c>
      <c r="H10" s="38" t="s">
        <v>699</v>
      </c>
      <c r="I10" s="38" t="s">
        <v>700</v>
      </c>
      <c r="J10" s="38" t="s">
        <v>701</v>
      </c>
      <c r="K10" s="38" t="s">
        <v>702</v>
      </c>
      <c r="L10" s="38" t="s">
        <v>703</v>
      </c>
      <c r="M10" s="38" t="s">
        <v>704</v>
      </c>
      <c r="N10" s="38" t="s">
        <v>704</v>
      </c>
      <c r="O10" s="38"/>
      <c r="R10" s="63"/>
    </row>
    <row r="11" spans="1:31" ht="16.5" x14ac:dyDescent="0.3">
      <c r="A11" s="38" t="s">
        <v>705</v>
      </c>
      <c r="B11" s="38" t="s">
        <v>706</v>
      </c>
      <c r="C11" s="38" t="s">
        <v>707</v>
      </c>
      <c r="D11" s="38" t="s">
        <v>708</v>
      </c>
      <c r="E11" s="38" t="s">
        <v>709</v>
      </c>
      <c r="F11" s="38" t="s">
        <v>710</v>
      </c>
      <c r="G11" s="38" t="s">
        <v>711</v>
      </c>
      <c r="H11" s="38" t="s">
        <v>713</v>
      </c>
      <c r="I11" s="38" t="s">
        <v>714</v>
      </c>
      <c r="J11" s="38" t="s">
        <v>715</v>
      </c>
      <c r="K11" s="38" t="s">
        <v>716</v>
      </c>
      <c r="L11" s="38" t="s">
        <v>717</v>
      </c>
      <c r="M11" s="38" t="s">
        <v>718</v>
      </c>
      <c r="N11" s="38" t="s">
        <v>718</v>
      </c>
      <c r="O11" s="38"/>
      <c r="R11" s="63"/>
    </row>
    <row r="12" spans="1:31" ht="16.5" x14ac:dyDescent="0.3">
      <c r="A12" s="38" t="s">
        <v>719</v>
      </c>
      <c r="B12" s="38" t="s">
        <v>720</v>
      </c>
      <c r="C12" s="38" t="s">
        <v>721</v>
      </c>
      <c r="D12" s="38" t="s">
        <v>722</v>
      </c>
      <c r="E12" s="38" t="s">
        <v>723</v>
      </c>
      <c r="F12" s="38" t="s">
        <v>724</v>
      </c>
      <c r="G12" s="38" t="s">
        <v>725</v>
      </c>
      <c r="H12" s="38" t="s">
        <v>727</v>
      </c>
      <c r="I12" s="38" t="s">
        <v>728</v>
      </c>
      <c r="J12" s="38" t="s">
        <v>729</v>
      </c>
      <c r="K12" s="38" t="s">
        <v>730</v>
      </c>
      <c r="L12" s="38" t="s">
        <v>731</v>
      </c>
      <c r="M12" s="38" t="s">
        <v>732</v>
      </c>
      <c r="N12" s="38" t="s">
        <v>732</v>
      </c>
      <c r="O12" s="38"/>
      <c r="R12" s="63"/>
    </row>
    <row r="13" spans="1:31" ht="16.5" x14ac:dyDescent="0.3">
      <c r="A13" s="38" t="s">
        <v>733</v>
      </c>
      <c r="B13" s="38" t="s">
        <v>734</v>
      </c>
      <c r="C13" s="38" t="s">
        <v>735</v>
      </c>
      <c r="D13" s="38" t="s">
        <v>736</v>
      </c>
      <c r="E13" s="38" t="s">
        <v>737</v>
      </c>
      <c r="F13" s="38" t="s">
        <v>738</v>
      </c>
      <c r="G13" s="38" t="s">
        <v>739</v>
      </c>
      <c r="H13" s="38" t="s">
        <v>741</v>
      </c>
      <c r="I13" s="38" t="s">
        <v>742</v>
      </c>
      <c r="J13" s="38" t="s">
        <v>743</v>
      </c>
      <c r="K13" s="38" t="s">
        <v>744</v>
      </c>
      <c r="L13" s="38" t="s">
        <v>745</v>
      </c>
      <c r="M13" s="38" t="s">
        <v>746</v>
      </c>
      <c r="N13" s="38" t="s">
        <v>746</v>
      </c>
      <c r="O13" s="38"/>
      <c r="R13" s="63"/>
    </row>
    <row r="14" spans="1:31" ht="16.5" x14ac:dyDescent="0.3">
      <c r="A14" s="38" t="s">
        <v>747</v>
      </c>
      <c r="B14" s="38" t="s">
        <v>748</v>
      </c>
      <c r="C14" s="38" t="s">
        <v>749</v>
      </c>
      <c r="D14" s="38" t="s">
        <v>750</v>
      </c>
      <c r="E14" s="38" t="s">
        <v>751</v>
      </c>
      <c r="F14" s="38" t="s">
        <v>752</v>
      </c>
      <c r="G14" s="38" t="s">
        <v>753</v>
      </c>
      <c r="H14" s="38" t="s">
        <v>755</v>
      </c>
      <c r="I14" s="38" t="s">
        <v>756</v>
      </c>
      <c r="J14" s="38" t="s">
        <v>757</v>
      </c>
      <c r="K14" s="38" t="s">
        <v>758</v>
      </c>
      <c r="L14" s="38" t="s">
        <v>759</v>
      </c>
      <c r="M14" s="38" t="s">
        <v>760</v>
      </c>
      <c r="N14" s="38" t="s">
        <v>760</v>
      </c>
      <c r="O14" s="38"/>
      <c r="R14" s="63"/>
    </row>
    <row r="15" spans="1:31" ht="16.5" x14ac:dyDescent="0.3">
      <c r="A15" s="38" t="s">
        <v>761</v>
      </c>
      <c r="B15" s="38" t="s">
        <v>762</v>
      </c>
      <c r="C15" s="38" t="s">
        <v>763</v>
      </c>
      <c r="D15" s="38" t="s">
        <v>764</v>
      </c>
      <c r="E15" s="38" t="s">
        <v>765</v>
      </c>
      <c r="F15" s="38" t="s">
        <v>766</v>
      </c>
      <c r="G15" s="38" t="s">
        <v>767</v>
      </c>
      <c r="H15" s="38" t="s">
        <v>769</v>
      </c>
      <c r="I15" s="38" t="s">
        <v>770</v>
      </c>
      <c r="J15" s="38" t="s">
        <v>771</v>
      </c>
      <c r="K15" s="38" t="s">
        <v>772</v>
      </c>
      <c r="L15" s="38" t="s">
        <v>773</v>
      </c>
      <c r="M15" s="38" t="s">
        <v>774</v>
      </c>
      <c r="N15" s="38" t="s">
        <v>774</v>
      </c>
      <c r="O15" s="38"/>
      <c r="R15" s="63"/>
    </row>
    <row r="16" spans="1:31" ht="16.5" x14ac:dyDescent="0.3">
      <c r="A16" s="38" t="s">
        <v>775</v>
      </c>
      <c r="B16" s="38" t="s">
        <v>776</v>
      </c>
      <c r="C16" s="38" t="s">
        <v>777</v>
      </c>
      <c r="D16" s="38" t="s">
        <v>778</v>
      </c>
      <c r="E16" s="38" t="s">
        <v>779</v>
      </c>
      <c r="F16" s="38" t="s">
        <v>780</v>
      </c>
      <c r="G16" s="38" t="s">
        <v>781</v>
      </c>
      <c r="H16" s="38" t="s">
        <v>783</v>
      </c>
      <c r="I16" s="38" t="s">
        <v>784</v>
      </c>
      <c r="J16" s="38" t="s">
        <v>785</v>
      </c>
      <c r="K16" s="38" t="s">
        <v>786</v>
      </c>
      <c r="L16" s="38" t="s">
        <v>787</v>
      </c>
      <c r="M16" s="38" t="s">
        <v>788</v>
      </c>
      <c r="N16" s="38" t="s">
        <v>788</v>
      </c>
      <c r="O16" s="38"/>
      <c r="R16" s="63"/>
    </row>
    <row r="17" spans="1:18" ht="16.5" x14ac:dyDescent="0.3">
      <c r="A17" s="38" t="s">
        <v>789</v>
      </c>
      <c r="B17" s="38" t="s">
        <v>790</v>
      </c>
      <c r="C17" s="38" t="s">
        <v>791</v>
      </c>
      <c r="D17" s="38" t="s">
        <v>792</v>
      </c>
      <c r="E17" s="38" t="s">
        <v>793</v>
      </c>
      <c r="F17" s="38" t="s">
        <v>794</v>
      </c>
      <c r="G17" s="38" t="s">
        <v>795</v>
      </c>
      <c r="H17" s="38" t="s">
        <v>797</v>
      </c>
      <c r="I17" s="38" t="s">
        <v>798</v>
      </c>
      <c r="J17" s="38" t="s">
        <v>799</v>
      </c>
      <c r="K17" s="38" t="s">
        <v>800</v>
      </c>
      <c r="L17" s="38" t="s">
        <v>801</v>
      </c>
      <c r="M17" s="38" t="s">
        <v>802</v>
      </c>
      <c r="N17" s="38" t="s">
        <v>802</v>
      </c>
      <c r="O17" s="38"/>
      <c r="R17" s="63"/>
    </row>
    <row r="18" spans="1:18" ht="16.5" x14ac:dyDescent="0.3">
      <c r="A18" s="38" t="s">
        <v>803</v>
      </c>
      <c r="B18" s="38" t="s">
        <v>804</v>
      </c>
      <c r="C18" s="38" t="s">
        <v>805</v>
      </c>
      <c r="D18" s="38" t="s">
        <v>806</v>
      </c>
      <c r="E18" s="38" t="s">
        <v>807</v>
      </c>
      <c r="F18" s="38" t="s">
        <v>808</v>
      </c>
      <c r="G18" s="38" t="s">
        <v>809</v>
      </c>
      <c r="H18" s="38" t="s">
        <v>811</v>
      </c>
      <c r="I18" s="38" t="s">
        <v>812</v>
      </c>
      <c r="J18" s="38" t="s">
        <v>813</v>
      </c>
      <c r="K18" s="38" t="s">
        <v>814</v>
      </c>
      <c r="L18" s="38" t="s">
        <v>815</v>
      </c>
      <c r="M18" s="38" t="s">
        <v>816</v>
      </c>
      <c r="N18" s="38" t="s">
        <v>816</v>
      </c>
      <c r="O18" s="38"/>
      <c r="R18" s="63"/>
    </row>
    <row r="19" spans="1:18" ht="16.5" x14ac:dyDescent="0.3">
      <c r="A19" s="38" t="s">
        <v>817</v>
      </c>
      <c r="B19" s="38" t="s">
        <v>818</v>
      </c>
      <c r="C19" s="38" t="s">
        <v>819</v>
      </c>
      <c r="D19" s="38" t="s">
        <v>820</v>
      </c>
      <c r="E19" s="38" t="s">
        <v>821</v>
      </c>
      <c r="F19" s="38" t="s">
        <v>822</v>
      </c>
      <c r="G19" s="38" t="s">
        <v>823</v>
      </c>
      <c r="H19" s="38" t="s">
        <v>825</v>
      </c>
      <c r="I19" s="38" t="s">
        <v>826</v>
      </c>
      <c r="J19" s="38" t="s">
        <v>827</v>
      </c>
      <c r="K19" s="38" t="s">
        <v>828</v>
      </c>
      <c r="L19" s="38" t="s">
        <v>829</v>
      </c>
      <c r="M19" s="38" t="s">
        <v>830</v>
      </c>
      <c r="N19" s="38" t="s">
        <v>830</v>
      </c>
      <c r="O19" s="38"/>
      <c r="R19" s="63"/>
    </row>
    <row r="20" spans="1:18" ht="16.5" x14ac:dyDescent="0.3">
      <c r="A20" s="38" t="s">
        <v>831</v>
      </c>
      <c r="B20" s="38" t="s">
        <v>832</v>
      </c>
      <c r="C20" s="38" t="s">
        <v>833</v>
      </c>
      <c r="D20" s="38" t="s">
        <v>834</v>
      </c>
      <c r="E20" s="38" t="s">
        <v>835</v>
      </c>
      <c r="F20" s="38" t="s">
        <v>836</v>
      </c>
      <c r="G20" s="38" t="s">
        <v>837</v>
      </c>
      <c r="H20" s="38" t="s">
        <v>839</v>
      </c>
      <c r="I20" s="38" t="s">
        <v>840</v>
      </c>
      <c r="J20" s="38" t="s">
        <v>841</v>
      </c>
      <c r="K20" s="38" t="s">
        <v>842</v>
      </c>
      <c r="L20" s="38" t="s">
        <v>843</v>
      </c>
      <c r="M20" s="38" t="s">
        <v>844</v>
      </c>
      <c r="N20" s="38" t="s">
        <v>844</v>
      </c>
      <c r="O20" s="38"/>
      <c r="R20" s="63"/>
    </row>
    <row r="21" spans="1:18" ht="16.5" x14ac:dyDescent="0.3">
      <c r="A21" s="38" t="s">
        <v>845</v>
      </c>
      <c r="B21" s="38" t="s">
        <v>846</v>
      </c>
      <c r="C21" s="38" t="s">
        <v>847</v>
      </c>
      <c r="D21" s="38" t="s">
        <v>848</v>
      </c>
      <c r="E21" s="38" t="s">
        <v>849</v>
      </c>
      <c r="F21" s="38" t="s">
        <v>850</v>
      </c>
      <c r="G21" s="38" t="s">
        <v>851</v>
      </c>
      <c r="H21" s="38" t="s">
        <v>853</v>
      </c>
      <c r="I21" s="38" t="s">
        <v>854</v>
      </c>
      <c r="J21" s="38" t="s">
        <v>855</v>
      </c>
      <c r="K21" s="38" t="s">
        <v>856</v>
      </c>
      <c r="L21" s="38" t="s">
        <v>857</v>
      </c>
      <c r="M21" s="38" t="s">
        <v>858</v>
      </c>
      <c r="N21" s="38" t="s">
        <v>858</v>
      </c>
      <c r="O21" s="38"/>
      <c r="R21" s="63"/>
    </row>
    <row r="22" spans="1:18" ht="16.5" x14ac:dyDescent="0.3">
      <c r="A22" s="38" t="s">
        <v>859</v>
      </c>
      <c r="B22" s="38" t="s">
        <v>860</v>
      </c>
      <c r="C22" s="38" t="s">
        <v>861</v>
      </c>
      <c r="D22" s="38" t="s">
        <v>862</v>
      </c>
      <c r="E22" s="38" t="s">
        <v>863</v>
      </c>
      <c r="F22" s="38" t="s">
        <v>864</v>
      </c>
      <c r="G22" s="38" t="s">
        <v>865</v>
      </c>
      <c r="H22" s="38" t="s">
        <v>867</v>
      </c>
      <c r="I22" s="38" t="s">
        <v>868</v>
      </c>
      <c r="J22" s="38" t="s">
        <v>869</v>
      </c>
      <c r="K22" s="38" t="s">
        <v>870</v>
      </c>
      <c r="L22" s="38" t="s">
        <v>871</v>
      </c>
      <c r="M22" s="38" t="s">
        <v>872</v>
      </c>
      <c r="N22" s="38" t="s">
        <v>872</v>
      </c>
      <c r="O22" s="38"/>
      <c r="R22" s="63"/>
    </row>
    <row r="23" spans="1:18" ht="16.5" x14ac:dyDescent="0.3">
      <c r="A23" s="38" t="s">
        <v>873</v>
      </c>
      <c r="B23" s="38" t="s">
        <v>874</v>
      </c>
      <c r="C23" s="38" t="s">
        <v>875</v>
      </c>
      <c r="D23" s="38" t="s">
        <v>876</v>
      </c>
      <c r="E23" s="38" t="s">
        <v>877</v>
      </c>
      <c r="F23" s="38" t="s">
        <v>878</v>
      </c>
      <c r="G23" s="38" t="s">
        <v>879</v>
      </c>
      <c r="H23" s="38" t="s">
        <v>881</v>
      </c>
      <c r="I23" s="38" t="s">
        <v>882</v>
      </c>
      <c r="J23" s="38" t="s">
        <v>883</v>
      </c>
      <c r="K23" s="38" t="s">
        <v>884</v>
      </c>
      <c r="L23" s="38" t="s">
        <v>885</v>
      </c>
      <c r="M23" s="38" t="s">
        <v>886</v>
      </c>
      <c r="N23" s="38" t="s">
        <v>886</v>
      </c>
      <c r="O23" s="38"/>
      <c r="R23" s="63"/>
    </row>
    <row r="24" spans="1:18" ht="16.5" x14ac:dyDescent="0.3">
      <c r="A24" s="38" t="s">
        <v>887</v>
      </c>
      <c r="B24" s="38" t="s">
        <v>888</v>
      </c>
      <c r="C24" s="38" t="s">
        <v>889</v>
      </c>
      <c r="D24" s="38" t="s">
        <v>890</v>
      </c>
      <c r="E24" s="38" t="s">
        <v>891</v>
      </c>
      <c r="F24" s="38" t="s">
        <v>892</v>
      </c>
      <c r="G24" s="38" t="s">
        <v>893</v>
      </c>
      <c r="H24" s="38" t="s">
        <v>895</v>
      </c>
      <c r="I24" s="38" t="s">
        <v>896</v>
      </c>
      <c r="J24" s="38" t="s">
        <v>897</v>
      </c>
      <c r="K24" s="38" t="s">
        <v>898</v>
      </c>
      <c r="L24" s="38" t="s">
        <v>899</v>
      </c>
      <c r="M24" s="38" t="s">
        <v>900</v>
      </c>
      <c r="N24" s="38" t="s">
        <v>900</v>
      </c>
      <c r="O24" s="38"/>
      <c r="R24" s="63"/>
    </row>
    <row r="25" spans="1:18" ht="16.5" x14ac:dyDescent="0.3">
      <c r="A25" s="38" t="s">
        <v>901</v>
      </c>
      <c r="B25" s="38" t="s">
        <v>902</v>
      </c>
      <c r="C25" s="38" t="s">
        <v>903</v>
      </c>
      <c r="D25" s="38" t="s">
        <v>904</v>
      </c>
      <c r="E25" s="38" t="s">
        <v>905</v>
      </c>
      <c r="F25" s="38" t="s">
        <v>906</v>
      </c>
      <c r="G25" s="38" t="s">
        <v>907</v>
      </c>
      <c r="H25" s="38" t="s">
        <v>909</v>
      </c>
      <c r="I25" s="38" t="s">
        <v>910</v>
      </c>
      <c r="J25" s="38" t="s">
        <v>911</v>
      </c>
      <c r="K25" s="38" t="s">
        <v>912</v>
      </c>
      <c r="L25" s="38" t="s">
        <v>913</v>
      </c>
      <c r="M25" s="38" t="s">
        <v>914</v>
      </c>
      <c r="N25" s="38" t="s">
        <v>914</v>
      </c>
      <c r="O25" s="38"/>
      <c r="R25" s="63"/>
    </row>
    <row r="26" spans="1:18" ht="16.5" x14ac:dyDescent="0.3">
      <c r="A26" s="38" t="s">
        <v>915</v>
      </c>
      <c r="B26" s="38" t="s">
        <v>916</v>
      </c>
      <c r="C26" s="38" t="s">
        <v>917</v>
      </c>
      <c r="D26" s="38" t="s">
        <v>918</v>
      </c>
      <c r="E26" s="38" t="s">
        <v>919</v>
      </c>
      <c r="F26" s="38" t="s">
        <v>920</v>
      </c>
      <c r="G26" s="38" t="s">
        <v>921</v>
      </c>
      <c r="H26" s="38" t="s">
        <v>923</v>
      </c>
      <c r="I26" s="38" t="s">
        <v>924</v>
      </c>
      <c r="J26" s="38" t="s">
        <v>925</v>
      </c>
      <c r="K26" s="38" t="s">
        <v>926</v>
      </c>
      <c r="L26" s="38" t="s">
        <v>927</v>
      </c>
      <c r="M26" s="38" t="s">
        <v>928</v>
      </c>
      <c r="N26" s="38" t="s">
        <v>928</v>
      </c>
      <c r="O26" s="38"/>
      <c r="R26" s="63"/>
    </row>
    <row r="27" spans="1:18" ht="16.5" x14ac:dyDescent="0.3">
      <c r="A27" s="38" t="s">
        <v>929</v>
      </c>
      <c r="B27" s="38" t="s">
        <v>930</v>
      </c>
      <c r="C27" s="38" t="s">
        <v>931</v>
      </c>
      <c r="D27" s="38" t="s">
        <v>932</v>
      </c>
      <c r="E27" s="38" t="s">
        <v>933</v>
      </c>
      <c r="F27" s="38" t="s">
        <v>934</v>
      </c>
      <c r="G27" s="38" t="s">
        <v>935</v>
      </c>
      <c r="H27" s="38" t="s">
        <v>937</v>
      </c>
      <c r="I27" s="38" t="s">
        <v>938</v>
      </c>
      <c r="J27" s="38" t="s">
        <v>939</v>
      </c>
      <c r="K27" s="38" t="s">
        <v>940</v>
      </c>
      <c r="L27" s="38" t="s">
        <v>941</v>
      </c>
      <c r="M27" s="38" t="s">
        <v>942</v>
      </c>
      <c r="N27" s="38" t="s">
        <v>942</v>
      </c>
      <c r="O27" s="38"/>
      <c r="R27" s="63"/>
    </row>
    <row r="28" spans="1:18" ht="16.5" x14ac:dyDescent="0.3">
      <c r="A28" s="38" t="s">
        <v>943</v>
      </c>
      <c r="B28" s="38" t="s">
        <v>944</v>
      </c>
      <c r="C28" s="38" t="s">
        <v>945</v>
      </c>
      <c r="D28" s="38" t="s">
        <v>946</v>
      </c>
      <c r="E28" s="38" t="s">
        <v>947</v>
      </c>
      <c r="F28" s="38" t="s">
        <v>948</v>
      </c>
      <c r="G28" s="38" t="s">
        <v>949</v>
      </c>
      <c r="H28" s="38" t="s">
        <v>951</v>
      </c>
      <c r="I28" s="38" t="s">
        <v>952</v>
      </c>
      <c r="J28" s="38" t="s">
        <v>953</v>
      </c>
      <c r="K28" s="38" t="s">
        <v>954</v>
      </c>
      <c r="L28" s="38" t="s">
        <v>955</v>
      </c>
      <c r="M28" s="38" t="s">
        <v>956</v>
      </c>
      <c r="N28" s="38" t="s">
        <v>956</v>
      </c>
      <c r="O28" s="38"/>
      <c r="R28" s="63"/>
    </row>
    <row r="29" spans="1:18" ht="16.5" x14ac:dyDescent="0.3">
      <c r="A29" s="38" t="s">
        <v>957</v>
      </c>
      <c r="B29" s="38" t="s">
        <v>958</v>
      </c>
      <c r="C29" s="38" t="s">
        <v>959</v>
      </c>
      <c r="D29" s="38" t="s">
        <v>960</v>
      </c>
      <c r="E29" s="38" t="s">
        <v>961</v>
      </c>
      <c r="F29" s="38" t="s">
        <v>962</v>
      </c>
      <c r="G29" s="38" t="s">
        <v>963</v>
      </c>
      <c r="H29" s="38" t="s">
        <v>965</v>
      </c>
      <c r="I29" s="38" t="s">
        <v>966</v>
      </c>
      <c r="J29" s="38" t="s">
        <v>967</v>
      </c>
      <c r="K29" s="38" t="s">
        <v>968</v>
      </c>
      <c r="L29" s="38" t="s">
        <v>969</v>
      </c>
      <c r="M29" s="38" t="s">
        <v>970</v>
      </c>
      <c r="N29" s="38" t="s">
        <v>970</v>
      </c>
      <c r="O29" s="38"/>
      <c r="R29" s="63"/>
    </row>
    <row r="30" spans="1:18" ht="16.5" x14ac:dyDescent="0.3">
      <c r="A30" s="38" t="s">
        <v>971</v>
      </c>
      <c r="B30" s="38" t="s">
        <v>972</v>
      </c>
      <c r="C30" s="38" t="s">
        <v>973</v>
      </c>
      <c r="D30" s="38" t="s">
        <v>974</v>
      </c>
      <c r="E30" s="38" t="s">
        <v>975</v>
      </c>
      <c r="F30" s="38" t="s">
        <v>976</v>
      </c>
      <c r="G30" s="38" t="s">
        <v>977</v>
      </c>
      <c r="H30" s="38" t="s">
        <v>979</v>
      </c>
      <c r="I30" s="38" t="s">
        <v>980</v>
      </c>
      <c r="J30" s="38" t="s">
        <v>981</v>
      </c>
      <c r="K30" s="38" t="s">
        <v>982</v>
      </c>
      <c r="L30" s="38" t="s">
        <v>983</v>
      </c>
      <c r="M30" s="38" t="s">
        <v>984</v>
      </c>
      <c r="N30" s="38" t="s">
        <v>984</v>
      </c>
      <c r="O30" s="38"/>
      <c r="R30" s="63"/>
    </row>
    <row r="31" spans="1:18" ht="16.5" x14ac:dyDescent="0.3">
      <c r="A31" s="38" t="s">
        <v>985</v>
      </c>
      <c r="B31" s="38" t="s">
        <v>986</v>
      </c>
      <c r="C31" s="38" t="s">
        <v>987</v>
      </c>
      <c r="D31" s="38" t="s">
        <v>988</v>
      </c>
      <c r="E31" s="38" t="s">
        <v>989</v>
      </c>
      <c r="F31" s="38" t="s">
        <v>990</v>
      </c>
      <c r="G31" s="38" t="s">
        <v>991</v>
      </c>
      <c r="H31" s="38" t="s">
        <v>993</v>
      </c>
      <c r="I31" s="38" t="s">
        <v>994</v>
      </c>
      <c r="J31" s="38" t="s">
        <v>995</v>
      </c>
      <c r="K31" s="38" t="s">
        <v>996</v>
      </c>
      <c r="L31" s="38" t="s">
        <v>997</v>
      </c>
      <c r="M31" s="38" t="s">
        <v>998</v>
      </c>
      <c r="N31" s="38" t="s">
        <v>998</v>
      </c>
      <c r="O31" s="38"/>
      <c r="R31" s="63"/>
    </row>
    <row r="32" spans="1:18" ht="16.5" x14ac:dyDescent="0.3">
      <c r="A32" s="38" t="s">
        <v>999</v>
      </c>
      <c r="B32" s="38" t="s">
        <v>1000</v>
      </c>
      <c r="C32" s="38" t="s">
        <v>1001</v>
      </c>
      <c r="D32" s="38" t="s">
        <v>1002</v>
      </c>
      <c r="E32" s="38" t="s">
        <v>1003</v>
      </c>
      <c r="F32" s="38" t="s">
        <v>1004</v>
      </c>
      <c r="G32" s="38" t="s">
        <v>1005</v>
      </c>
      <c r="H32" s="38" t="s">
        <v>1007</v>
      </c>
      <c r="I32" s="38" t="s">
        <v>1008</v>
      </c>
      <c r="J32" s="38" t="s">
        <v>1009</v>
      </c>
      <c r="K32" s="38" t="s">
        <v>1010</v>
      </c>
      <c r="L32" s="38" t="s">
        <v>1011</v>
      </c>
      <c r="M32" s="38" t="s">
        <v>1012</v>
      </c>
      <c r="N32" s="38" t="s">
        <v>1012</v>
      </c>
      <c r="O32" s="38"/>
      <c r="R32" s="63"/>
    </row>
    <row r="33" spans="1:18" ht="16.5" x14ac:dyDescent="0.3">
      <c r="A33" s="38" t="s">
        <v>1013</v>
      </c>
      <c r="B33" s="38" t="s">
        <v>1014</v>
      </c>
      <c r="C33" s="38" t="s">
        <v>1015</v>
      </c>
      <c r="D33" s="38" t="s">
        <v>1016</v>
      </c>
      <c r="E33" s="38" t="s">
        <v>1017</v>
      </c>
      <c r="F33" s="38" t="s">
        <v>1018</v>
      </c>
      <c r="G33" s="38" t="s">
        <v>1019</v>
      </c>
      <c r="H33" s="38" t="s">
        <v>1021</v>
      </c>
      <c r="I33" s="38" t="s">
        <v>1022</v>
      </c>
      <c r="J33" s="38" t="s">
        <v>1023</v>
      </c>
      <c r="K33" s="38" t="s">
        <v>1024</v>
      </c>
      <c r="L33" s="38" t="s">
        <v>1025</v>
      </c>
      <c r="M33" s="38" t="s">
        <v>1026</v>
      </c>
      <c r="N33" s="38" t="s">
        <v>1026</v>
      </c>
      <c r="O33" s="38"/>
      <c r="R33" s="63"/>
    </row>
    <row r="34" spans="1:18" ht="16.5" x14ac:dyDescent="0.3">
      <c r="A34" s="38" t="s">
        <v>1027</v>
      </c>
      <c r="B34" s="38" t="s">
        <v>1028</v>
      </c>
      <c r="C34" s="38" t="s">
        <v>1029</v>
      </c>
      <c r="D34" s="38" t="s">
        <v>1030</v>
      </c>
      <c r="E34" s="38" t="s">
        <v>1031</v>
      </c>
      <c r="F34" s="38" t="s">
        <v>1032</v>
      </c>
      <c r="G34" s="38" t="s">
        <v>1033</v>
      </c>
      <c r="H34" s="38" t="s">
        <v>1035</v>
      </c>
      <c r="I34" s="38" t="s">
        <v>1036</v>
      </c>
      <c r="J34" s="38" t="s">
        <v>1037</v>
      </c>
      <c r="K34" s="38" t="s">
        <v>1038</v>
      </c>
      <c r="L34" s="38" t="s">
        <v>1039</v>
      </c>
      <c r="M34" s="38" t="s">
        <v>1040</v>
      </c>
      <c r="N34" s="38" t="s">
        <v>1040</v>
      </c>
      <c r="O34" s="38"/>
      <c r="R34" s="63"/>
    </row>
    <row r="35" spans="1:18" ht="16.5" x14ac:dyDescent="0.3">
      <c r="A35" s="38" t="s">
        <v>1041</v>
      </c>
      <c r="B35" s="38" t="s">
        <v>1042</v>
      </c>
      <c r="C35" s="38" t="s">
        <v>1043</v>
      </c>
      <c r="D35" s="38" t="s">
        <v>1044</v>
      </c>
      <c r="E35" s="38" t="s">
        <v>1045</v>
      </c>
      <c r="F35" s="38" t="s">
        <v>1046</v>
      </c>
      <c r="G35" s="38" t="s">
        <v>1047</v>
      </c>
      <c r="H35" s="38" t="s">
        <v>1049</v>
      </c>
      <c r="I35" s="38" t="s">
        <v>1050</v>
      </c>
      <c r="J35" s="38" t="s">
        <v>1051</v>
      </c>
      <c r="K35" s="38" t="s">
        <v>1052</v>
      </c>
      <c r="L35" s="38" t="s">
        <v>1053</v>
      </c>
      <c r="M35" s="38" t="s">
        <v>1054</v>
      </c>
      <c r="N35" s="38" t="s">
        <v>1054</v>
      </c>
      <c r="O35" s="38"/>
      <c r="R35" s="63"/>
    </row>
    <row r="36" spans="1:18" ht="16.5" x14ac:dyDescent="0.3">
      <c r="A36" s="38" t="s">
        <v>1055</v>
      </c>
      <c r="B36" s="38" t="s">
        <v>1056</v>
      </c>
      <c r="C36" s="38" t="s">
        <v>1057</v>
      </c>
      <c r="D36" s="38" t="s">
        <v>1058</v>
      </c>
      <c r="E36" s="38" t="s">
        <v>1059</v>
      </c>
      <c r="F36" s="38" t="s">
        <v>1060</v>
      </c>
      <c r="G36" s="38" t="s">
        <v>1061</v>
      </c>
      <c r="H36" s="38" t="s">
        <v>1063</v>
      </c>
      <c r="I36" s="38" t="s">
        <v>1064</v>
      </c>
      <c r="J36" s="38" t="s">
        <v>1065</v>
      </c>
      <c r="K36" s="38" t="s">
        <v>1066</v>
      </c>
      <c r="L36" s="38" t="s">
        <v>1067</v>
      </c>
      <c r="M36" s="38" t="s">
        <v>1068</v>
      </c>
      <c r="N36" s="38" t="s">
        <v>1068</v>
      </c>
      <c r="O36" s="38"/>
      <c r="R36" s="63"/>
    </row>
    <row r="37" spans="1:18" ht="16.5" x14ac:dyDescent="0.3">
      <c r="A37" s="38" t="s">
        <v>1069</v>
      </c>
      <c r="B37" s="38" t="s">
        <v>1070</v>
      </c>
      <c r="C37" s="38" t="s">
        <v>1071</v>
      </c>
      <c r="D37" s="38" t="s">
        <v>1072</v>
      </c>
      <c r="E37" s="38" t="s">
        <v>1073</v>
      </c>
      <c r="F37" s="38" t="s">
        <v>1074</v>
      </c>
      <c r="G37" s="38" t="s">
        <v>1075</v>
      </c>
      <c r="H37" s="38" t="s">
        <v>1077</v>
      </c>
      <c r="I37" s="38" t="s">
        <v>1078</v>
      </c>
      <c r="J37" s="38" t="s">
        <v>1079</v>
      </c>
      <c r="K37" s="38" t="s">
        <v>1080</v>
      </c>
      <c r="L37" s="38" t="s">
        <v>1081</v>
      </c>
      <c r="M37" s="38" t="s">
        <v>1082</v>
      </c>
      <c r="N37" s="38" t="s">
        <v>1082</v>
      </c>
      <c r="O37" s="38"/>
      <c r="R37" s="63"/>
    </row>
    <row r="38" spans="1:18" ht="16.5" x14ac:dyDescent="0.3">
      <c r="A38" s="38" t="s">
        <v>1083</v>
      </c>
      <c r="B38" s="38" t="s">
        <v>1084</v>
      </c>
      <c r="C38" s="38" t="s">
        <v>1085</v>
      </c>
      <c r="D38" s="38" t="s">
        <v>1086</v>
      </c>
      <c r="E38" s="38" t="s">
        <v>1087</v>
      </c>
      <c r="F38" s="38" t="s">
        <v>1088</v>
      </c>
      <c r="G38" s="38" t="s">
        <v>1089</v>
      </c>
      <c r="H38" s="38" t="s">
        <v>1091</v>
      </c>
      <c r="I38" s="38" t="s">
        <v>1092</v>
      </c>
      <c r="J38" s="38" t="s">
        <v>1093</v>
      </c>
      <c r="K38" s="38" t="s">
        <v>1094</v>
      </c>
      <c r="L38" s="38" t="s">
        <v>1095</v>
      </c>
      <c r="M38" s="38" t="s">
        <v>1096</v>
      </c>
      <c r="N38" s="38" t="s">
        <v>1096</v>
      </c>
      <c r="O38" s="38"/>
      <c r="R38" s="63"/>
    </row>
    <row r="39" spans="1:18" ht="16.5" x14ac:dyDescent="0.3">
      <c r="A39" s="38" t="s">
        <v>1097</v>
      </c>
      <c r="B39" s="38" t="s">
        <v>1098</v>
      </c>
      <c r="C39" s="38" t="s">
        <v>1099</v>
      </c>
      <c r="D39" s="38" t="s">
        <v>1100</v>
      </c>
      <c r="E39" s="38" t="s">
        <v>1101</v>
      </c>
      <c r="F39" s="38" t="s">
        <v>1102</v>
      </c>
      <c r="G39" s="38" t="s">
        <v>1103</v>
      </c>
      <c r="H39" s="38" t="s">
        <v>1105</v>
      </c>
      <c r="I39" s="38" t="s">
        <v>1106</v>
      </c>
      <c r="J39" s="38" t="s">
        <v>1107</v>
      </c>
      <c r="K39" s="38" t="s">
        <v>1108</v>
      </c>
      <c r="L39" s="38" t="s">
        <v>1109</v>
      </c>
      <c r="M39" s="38" t="s">
        <v>1110</v>
      </c>
      <c r="N39" s="38" t="s">
        <v>1110</v>
      </c>
      <c r="O39" s="38"/>
      <c r="R39" s="63"/>
    </row>
    <row r="40" spans="1:18" ht="16.5" x14ac:dyDescent="0.3">
      <c r="A40" s="38" t="s">
        <v>1111</v>
      </c>
      <c r="B40" s="38" t="s">
        <v>1112</v>
      </c>
      <c r="C40" s="38" t="s">
        <v>1113</v>
      </c>
      <c r="D40" s="38" t="s">
        <v>1114</v>
      </c>
      <c r="E40" s="38" t="s">
        <v>1115</v>
      </c>
      <c r="F40" s="38" t="s">
        <v>1116</v>
      </c>
      <c r="G40" s="38" t="s">
        <v>1117</v>
      </c>
      <c r="H40" s="38" t="s">
        <v>1119</v>
      </c>
      <c r="I40" s="38" t="s">
        <v>1120</v>
      </c>
      <c r="J40" s="38" t="s">
        <v>1121</v>
      </c>
      <c r="K40" s="38" t="s">
        <v>1122</v>
      </c>
      <c r="L40" s="38" t="s">
        <v>1123</v>
      </c>
      <c r="M40" s="38" t="s">
        <v>1124</v>
      </c>
      <c r="N40" s="38" t="s">
        <v>1124</v>
      </c>
      <c r="O40" s="38"/>
      <c r="R40" s="63"/>
    </row>
    <row r="41" spans="1:18" ht="16.5" x14ac:dyDescent="0.3">
      <c r="A41" s="38" t="s">
        <v>1125</v>
      </c>
      <c r="B41" s="38" t="s">
        <v>1126</v>
      </c>
      <c r="C41" s="38" t="s">
        <v>1127</v>
      </c>
      <c r="D41" s="38" t="s">
        <v>1128</v>
      </c>
      <c r="E41" s="38" t="s">
        <v>1129</v>
      </c>
      <c r="F41" s="38" t="s">
        <v>1130</v>
      </c>
      <c r="G41" s="38" t="s">
        <v>1131</v>
      </c>
      <c r="H41" s="38" t="s">
        <v>1133</v>
      </c>
      <c r="I41" s="38" t="s">
        <v>1134</v>
      </c>
      <c r="J41" s="38" t="s">
        <v>1135</v>
      </c>
      <c r="K41" s="38" t="s">
        <v>1136</v>
      </c>
      <c r="L41" s="38" t="s">
        <v>1137</v>
      </c>
      <c r="M41" s="38" t="s">
        <v>1138</v>
      </c>
      <c r="N41" s="38" t="s">
        <v>1138</v>
      </c>
      <c r="O41" s="38"/>
      <c r="R41" s="63"/>
    </row>
    <row r="42" spans="1:18" ht="16.5" x14ac:dyDescent="0.3">
      <c r="A42" s="38" t="s">
        <v>1139</v>
      </c>
      <c r="B42" s="38" t="s">
        <v>1140</v>
      </c>
      <c r="C42" s="38" t="s">
        <v>1141</v>
      </c>
      <c r="D42" s="38" t="s">
        <v>1142</v>
      </c>
      <c r="E42" s="38" t="s">
        <v>1143</v>
      </c>
      <c r="F42" s="38" t="s">
        <v>1144</v>
      </c>
      <c r="G42" s="38" t="s">
        <v>1145</v>
      </c>
      <c r="H42" s="38" t="s">
        <v>1147</v>
      </c>
      <c r="I42" s="38" t="s">
        <v>1148</v>
      </c>
      <c r="J42" s="38" t="s">
        <v>1149</v>
      </c>
      <c r="K42" s="38" t="s">
        <v>1150</v>
      </c>
      <c r="L42" s="38" t="s">
        <v>1151</v>
      </c>
      <c r="M42" s="38" t="s">
        <v>1152</v>
      </c>
      <c r="N42" s="38" t="s">
        <v>1152</v>
      </c>
      <c r="O42" s="38"/>
      <c r="R42" s="63"/>
    </row>
    <row r="43" spans="1:18" ht="16.5" x14ac:dyDescent="0.3">
      <c r="A43" s="38" t="s">
        <v>1153</v>
      </c>
      <c r="B43" s="38" t="s">
        <v>1154</v>
      </c>
      <c r="C43" s="38" t="s">
        <v>1155</v>
      </c>
      <c r="D43" s="38" t="s">
        <v>1156</v>
      </c>
      <c r="E43" s="38" t="s">
        <v>1157</v>
      </c>
      <c r="F43" s="38" t="s">
        <v>1158</v>
      </c>
      <c r="G43" s="38" t="s">
        <v>1159</v>
      </c>
      <c r="H43" s="38" t="s">
        <v>1161</v>
      </c>
      <c r="I43" s="38" t="s">
        <v>1162</v>
      </c>
      <c r="J43" s="38" t="s">
        <v>1163</v>
      </c>
      <c r="K43" s="38" t="s">
        <v>1164</v>
      </c>
      <c r="L43" s="38" t="s">
        <v>1165</v>
      </c>
      <c r="M43" s="38" t="s">
        <v>1166</v>
      </c>
      <c r="N43" s="38" t="s">
        <v>1166</v>
      </c>
      <c r="O43" s="38"/>
      <c r="R43" s="63"/>
    </row>
    <row r="44" spans="1:18" ht="16.5" x14ac:dyDescent="0.3">
      <c r="A44" s="38" t="s">
        <v>1167</v>
      </c>
      <c r="B44" s="38" t="s">
        <v>1168</v>
      </c>
      <c r="C44" s="38" t="s">
        <v>1169</v>
      </c>
      <c r="D44" s="38" t="s">
        <v>1170</v>
      </c>
      <c r="E44" s="38" t="s">
        <v>1171</v>
      </c>
      <c r="F44" s="38" t="s">
        <v>1172</v>
      </c>
      <c r="G44" s="38" t="s">
        <v>1173</v>
      </c>
      <c r="H44" s="38" t="s">
        <v>1175</v>
      </c>
      <c r="I44" s="38" t="s">
        <v>1176</v>
      </c>
      <c r="J44" s="38" t="s">
        <v>1177</v>
      </c>
      <c r="K44" s="38" t="s">
        <v>1178</v>
      </c>
      <c r="L44" s="38" t="s">
        <v>1179</v>
      </c>
      <c r="M44" s="38" t="s">
        <v>1180</v>
      </c>
      <c r="N44" s="38" t="s">
        <v>1180</v>
      </c>
      <c r="O44" s="38"/>
      <c r="R44" s="63"/>
    </row>
    <row r="45" spans="1:18" ht="16.5" x14ac:dyDescent="0.3">
      <c r="A45" s="38" t="s">
        <v>1181</v>
      </c>
      <c r="B45" s="38" t="s">
        <v>1182</v>
      </c>
      <c r="C45" s="38" t="s">
        <v>1183</v>
      </c>
      <c r="D45" s="38" t="s">
        <v>1184</v>
      </c>
      <c r="E45" s="38" t="s">
        <v>1185</v>
      </c>
      <c r="F45" s="38" t="s">
        <v>1186</v>
      </c>
      <c r="G45" s="38" t="s">
        <v>1187</v>
      </c>
      <c r="H45" s="38" t="s">
        <v>1189</v>
      </c>
      <c r="I45" s="38" t="s">
        <v>1190</v>
      </c>
      <c r="J45" s="38" t="s">
        <v>1191</v>
      </c>
      <c r="K45" s="38" t="s">
        <v>1192</v>
      </c>
      <c r="L45" s="38" t="s">
        <v>1193</v>
      </c>
      <c r="M45" s="38" t="s">
        <v>1194</v>
      </c>
      <c r="N45" s="38" t="s">
        <v>1194</v>
      </c>
      <c r="O45" s="38"/>
      <c r="R45" s="63"/>
    </row>
    <row r="46" spans="1:18" ht="16.5" x14ac:dyDescent="0.3">
      <c r="A46" s="38" t="s">
        <v>1195</v>
      </c>
      <c r="B46" s="38" t="s">
        <v>1196</v>
      </c>
      <c r="C46" s="38" t="s">
        <v>1197</v>
      </c>
      <c r="D46" s="38" t="s">
        <v>1198</v>
      </c>
      <c r="E46" s="38" t="s">
        <v>1199</v>
      </c>
      <c r="F46" s="38" t="s">
        <v>1200</v>
      </c>
      <c r="G46" s="38" t="s">
        <v>1201</v>
      </c>
      <c r="H46" s="38" t="s">
        <v>1203</v>
      </c>
      <c r="I46" s="38" t="s">
        <v>1204</v>
      </c>
      <c r="J46" s="38" t="s">
        <v>1205</v>
      </c>
      <c r="K46" s="38" t="s">
        <v>1206</v>
      </c>
      <c r="L46" s="38" t="s">
        <v>1207</v>
      </c>
      <c r="M46" s="38" t="s">
        <v>1208</v>
      </c>
      <c r="N46" s="38" t="s">
        <v>1208</v>
      </c>
      <c r="O46" s="38"/>
      <c r="R46" s="63"/>
    </row>
    <row r="47" spans="1:18" ht="16.5" x14ac:dyDescent="0.3">
      <c r="A47" s="38" t="s">
        <v>1209</v>
      </c>
      <c r="B47" s="38" t="s">
        <v>1210</v>
      </c>
      <c r="C47" s="38" t="s">
        <v>1211</v>
      </c>
      <c r="D47" s="38" t="s">
        <v>1212</v>
      </c>
      <c r="E47" s="38" t="s">
        <v>1213</v>
      </c>
      <c r="F47" s="38" t="s">
        <v>1214</v>
      </c>
      <c r="G47" s="38" t="s">
        <v>1215</v>
      </c>
      <c r="H47" s="38" t="s">
        <v>1217</v>
      </c>
      <c r="I47" s="38" t="s">
        <v>1218</v>
      </c>
      <c r="J47" s="38" t="s">
        <v>1219</v>
      </c>
      <c r="K47" s="38" t="s">
        <v>1220</v>
      </c>
      <c r="L47" s="38" t="s">
        <v>1221</v>
      </c>
      <c r="M47" s="38" t="s">
        <v>1222</v>
      </c>
      <c r="N47" s="38" t="s">
        <v>1222</v>
      </c>
      <c r="O47" s="38"/>
      <c r="R47" s="63"/>
    </row>
    <row r="48" spans="1:18" ht="16.5" x14ac:dyDescent="0.3">
      <c r="A48" s="38" t="s">
        <v>1223</v>
      </c>
      <c r="B48" s="38" t="s">
        <v>1224</v>
      </c>
      <c r="C48" s="38" t="s">
        <v>1225</v>
      </c>
      <c r="D48" s="38" t="s">
        <v>1226</v>
      </c>
      <c r="E48" s="38" t="s">
        <v>1227</v>
      </c>
      <c r="F48" s="38" t="s">
        <v>1228</v>
      </c>
      <c r="G48" s="38" t="s">
        <v>1229</v>
      </c>
      <c r="H48" s="38" t="s">
        <v>1231</v>
      </c>
      <c r="I48" s="38" t="s">
        <v>1232</v>
      </c>
      <c r="J48" s="38" t="s">
        <v>1233</v>
      </c>
      <c r="K48" s="38" t="s">
        <v>1234</v>
      </c>
      <c r="L48" s="38" t="s">
        <v>1235</v>
      </c>
      <c r="M48" s="38" t="s">
        <v>1236</v>
      </c>
      <c r="N48" s="38" t="s">
        <v>1236</v>
      </c>
      <c r="O48" s="38"/>
      <c r="R48" s="63"/>
    </row>
    <row r="49" spans="1:18" ht="16.5" x14ac:dyDescent="0.3">
      <c r="A49" s="38" t="s">
        <v>1237</v>
      </c>
      <c r="B49" s="38" t="s">
        <v>1238</v>
      </c>
      <c r="C49" s="38" t="s">
        <v>1239</v>
      </c>
      <c r="D49" s="38" t="s">
        <v>1240</v>
      </c>
      <c r="E49" s="38" t="s">
        <v>1241</v>
      </c>
      <c r="F49" s="38" t="s">
        <v>1242</v>
      </c>
      <c r="G49" s="38" t="s">
        <v>1243</v>
      </c>
      <c r="H49" s="38" t="s">
        <v>1245</v>
      </c>
      <c r="I49" s="38" t="s">
        <v>1246</v>
      </c>
      <c r="J49" s="38" t="s">
        <v>1247</v>
      </c>
      <c r="K49" s="38" t="s">
        <v>1248</v>
      </c>
      <c r="L49" s="38" t="s">
        <v>1249</v>
      </c>
      <c r="M49" s="38" t="s">
        <v>1250</v>
      </c>
      <c r="N49" s="38" t="s">
        <v>1250</v>
      </c>
      <c r="O49" s="38"/>
      <c r="R49" s="63"/>
    </row>
    <row r="50" spans="1:18" ht="16.5" x14ac:dyDescent="0.3">
      <c r="A50" s="38" t="s">
        <v>1251</v>
      </c>
      <c r="B50" s="38" t="s">
        <v>1252</v>
      </c>
      <c r="C50" s="38" t="s">
        <v>1253</v>
      </c>
      <c r="D50" s="38" t="s">
        <v>1254</v>
      </c>
      <c r="E50" s="38" t="s">
        <v>1255</v>
      </c>
      <c r="F50" s="38" t="s">
        <v>1256</v>
      </c>
      <c r="G50" s="38" t="s">
        <v>1257</v>
      </c>
      <c r="H50" s="38" t="s">
        <v>1259</v>
      </c>
      <c r="I50" s="38" t="s">
        <v>1260</v>
      </c>
      <c r="J50" s="38" t="s">
        <v>1261</v>
      </c>
      <c r="K50" s="38" t="s">
        <v>1262</v>
      </c>
      <c r="L50" s="38" t="s">
        <v>1263</v>
      </c>
      <c r="M50" s="38" t="s">
        <v>1264</v>
      </c>
      <c r="N50" s="38" t="s">
        <v>1264</v>
      </c>
      <c r="O50" s="38"/>
      <c r="R50" s="63"/>
    </row>
    <row r="51" spans="1:18" ht="16.5" x14ac:dyDescent="0.3">
      <c r="A51" s="38" t="s">
        <v>1265</v>
      </c>
      <c r="B51" s="38" t="s">
        <v>1266</v>
      </c>
      <c r="C51" s="38" t="s">
        <v>1267</v>
      </c>
      <c r="D51" s="38" t="s">
        <v>1268</v>
      </c>
      <c r="E51" s="38" t="s">
        <v>1269</v>
      </c>
      <c r="F51" s="38" t="s">
        <v>1270</v>
      </c>
      <c r="G51" s="38" t="s">
        <v>1271</v>
      </c>
      <c r="H51" s="38" t="s">
        <v>1273</v>
      </c>
      <c r="I51" s="38" t="s">
        <v>1274</v>
      </c>
      <c r="J51" s="38" t="s">
        <v>1275</v>
      </c>
      <c r="K51" s="38" t="s">
        <v>1276</v>
      </c>
      <c r="L51" s="38" t="s">
        <v>1277</v>
      </c>
      <c r="M51" s="38" t="s">
        <v>1278</v>
      </c>
      <c r="N51" s="38" t="s">
        <v>1278</v>
      </c>
      <c r="O51" s="38"/>
      <c r="R51" s="63"/>
    </row>
    <row r="52" spans="1:18" ht="16.5" x14ac:dyDescent="0.3">
      <c r="A52" s="38" t="s">
        <v>1279</v>
      </c>
      <c r="B52" s="38" t="s">
        <v>1280</v>
      </c>
      <c r="C52" s="38" t="s">
        <v>1281</v>
      </c>
      <c r="D52" s="38" t="s">
        <v>1282</v>
      </c>
      <c r="E52" s="38" t="s">
        <v>1283</v>
      </c>
      <c r="F52" s="38" t="s">
        <v>1284</v>
      </c>
      <c r="G52" s="38" t="s">
        <v>1285</v>
      </c>
      <c r="H52" s="38" t="s">
        <v>1287</v>
      </c>
      <c r="I52" s="38" t="s">
        <v>1288</v>
      </c>
      <c r="J52" s="38" t="s">
        <v>1289</v>
      </c>
      <c r="K52" s="38" t="s">
        <v>1290</v>
      </c>
      <c r="L52" s="38" t="s">
        <v>1291</v>
      </c>
      <c r="M52" s="38" t="s">
        <v>1292</v>
      </c>
      <c r="N52" s="38" t="s">
        <v>1292</v>
      </c>
      <c r="O52" s="38"/>
      <c r="R52" s="63"/>
    </row>
    <row r="53" spans="1:18" ht="16.5" x14ac:dyDescent="0.3">
      <c r="A53" s="38" t="s">
        <v>1293</v>
      </c>
      <c r="B53" s="38" t="s">
        <v>1294</v>
      </c>
      <c r="C53" s="38" t="s">
        <v>1295</v>
      </c>
      <c r="D53" s="38" t="s">
        <v>1296</v>
      </c>
      <c r="E53" s="38" t="s">
        <v>1297</v>
      </c>
      <c r="F53" s="38" t="s">
        <v>1298</v>
      </c>
      <c r="G53" s="38" t="s">
        <v>1299</v>
      </c>
      <c r="H53" s="38" t="s">
        <v>1301</v>
      </c>
      <c r="I53" s="38" t="s">
        <v>1302</v>
      </c>
      <c r="J53" s="38" t="s">
        <v>1303</v>
      </c>
      <c r="K53" s="38" t="s">
        <v>1304</v>
      </c>
      <c r="L53" s="38" t="s">
        <v>1305</v>
      </c>
      <c r="M53" s="38" t="s">
        <v>1306</v>
      </c>
      <c r="N53" s="38" t="s">
        <v>1306</v>
      </c>
      <c r="O53" s="38"/>
      <c r="R53" s="63"/>
    </row>
    <row r="54" spans="1:18" ht="16.5" x14ac:dyDescent="0.3">
      <c r="A54" s="38" t="s">
        <v>1307</v>
      </c>
      <c r="B54" s="38" t="s">
        <v>1308</v>
      </c>
      <c r="C54" s="38" t="s">
        <v>1309</v>
      </c>
      <c r="D54" s="38" t="s">
        <v>1310</v>
      </c>
      <c r="E54" s="38" t="s">
        <v>1311</v>
      </c>
      <c r="F54" s="38" t="s">
        <v>1312</v>
      </c>
      <c r="G54" s="38" t="s">
        <v>1313</v>
      </c>
      <c r="H54" s="38" t="s">
        <v>1315</v>
      </c>
      <c r="I54" s="38" t="s">
        <v>1316</v>
      </c>
      <c r="J54" s="38" t="s">
        <v>1317</v>
      </c>
      <c r="K54" s="38" t="s">
        <v>1318</v>
      </c>
      <c r="L54" s="38" t="s">
        <v>1319</v>
      </c>
      <c r="M54" s="38" t="s">
        <v>1320</v>
      </c>
      <c r="N54" s="38" t="s">
        <v>1320</v>
      </c>
      <c r="O54" s="38"/>
      <c r="R54" s="63"/>
    </row>
    <row r="55" spans="1:18" ht="16.5" x14ac:dyDescent="0.3">
      <c r="A55" s="38" t="s">
        <v>1321</v>
      </c>
      <c r="B55" s="38" t="s">
        <v>1322</v>
      </c>
      <c r="C55" s="38" t="s">
        <v>1323</v>
      </c>
      <c r="D55" s="38" t="s">
        <v>1324</v>
      </c>
      <c r="E55" s="38" t="s">
        <v>1325</v>
      </c>
      <c r="F55" s="38" t="s">
        <v>1326</v>
      </c>
      <c r="G55" s="38" t="s">
        <v>1327</v>
      </c>
      <c r="H55" s="38" t="s">
        <v>1329</v>
      </c>
      <c r="I55" s="38" t="s">
        <v>1330</v>
      </c>
      <c r="J55" s="38" t="s">
        <v>1331</v>
      </c>
      <c r="K55" s="38" t="s">
        <v>1332</v>
      </c>
      <c r="L55" s="38" t="s">
        <v>1333</v>
      </c>
      <c r="M55" s="38" t="s">
        <v>1334</v>
      </c>
      <c r="N55" s="38" t="s">
        <v>1334</v>
      </c>
      <c r="O55" s="38"/>
      <c r="R55" s="63"/>
    </row>
    <row r="56" spans="1:18" ht="16.5" x14ac:dyDescent="0.3">
      <c r="A56" s="38" t="s">
        <v>1335</v>
      </c>
      <c r="B56" s="38" t="s">
        <v>1336</v>
      </c>
      <c r="C56" s="38" t="s">
        <v>1337</v>
      </c>
      <c r="D56" s="38" t="s">
        <v>1338</v>
      </c>
      <c r="E56" s="38" t="s">
        <v>1339</v>
      </c>
      <c r="F56" s="38" t="s">
        <v>1340</v>
      </c>
      <c r="G56" s="38" t="s">
        <v>1341</v>
      </c>
      <c r="H56" s="38" t="s">
        <v>1343</v>
      </c>
      <c r="I56" s="38" t="s">
        <v>1344</v>
      </c>
      <c r="J56" s="38" t="s">
        <v>1345</v>
      </c>
      <c r="K56" s="38" t="s">
        <v>1346</v>
      </c>
      <c r="L56" s="38" t="s">
        <v>1347</v>
      </c>
      <c r="M56" s="38" t="s">
        <v>1348</v>
      </c>
      <c r="N56" s="38" t="s">
        <v>1348</v>
      </c>
      <c r="O56" s="38"/>
      <c r="R56" s="63"/>
    </row>
    <row r="57" spans="1:18" ht="16.5" x14ac:dyDescent="0.3">
      <c r="A57" s="38" t="s">
        <v>1349</v>
      </c>
      <c r="B57" s="38" t="s">
        <v>1350</v>
      </c>
      <c r="C57" s="38" t="s">
        <v>1351</v>
      </c>
      <c r="D57" s="38" t="s">
        <v>1352</v>
      </c>
      <c r="E57" s="38" t="s">
        <v>1353</v>
      </c>
      <c r="F57" s="38" t="s">
        <v>1354</v>
      </c>
      <c r="G57" s="38" t="s">
        <v>1355</v>
      </c>
      <c r="H57" s="38" t="s">
        <v>1357</v>
      </c>
      <c r="I57" s="38" t="s">
        <v>1358</v>
      </c>
      <c r="J57" s="38" t="s">
        <v>1359</v>
      </c>
      <c r="K57" s="38" t="s">
        <v>1360</v>
      </c>
      <c r="L57" s="38" t="s">
        <v>1361</v>
      </c>
      <c r="M57" s="38" t="s">
        <v>1362</v>
      </c>
      <c r="N57" s="38" t="s">
        <v>1362</v>
      </c>
      <c r="O57" s="38"/>
      <c r="R57" s="63"/>
    </row>
    <row r="58" spans="1:18" ht="16.5" x14ac:dyDescent="0.3">
      <c r="A58" s="38" t="s">
        <v>1363</v>
      </c>
      <c r="B58" s="38" t="s">
        <v>1364</v>
      </c>
      <c r="C58" s="38" t="s">
        <v>1365</v>
      </c>
      <c r="D58" s="38" t="s">
        <v>1366</v>
      </c>
      <c r="E58" s="38" t="s">
        <v>1367</v>
      </c>
      <c r="F58" s="38" t="s">
        <v>1368</v>
      </c>
      <c r="G58" s="38" t="s">
        <v>1369</v>
      </c>
      <c r="H58" s="38" t="s">
        <v>1371</v>
      </c>
      <c r="I58" s="38" t="s">
        <v>1372</v>
      </c>
      <c r="J58" s="38" t="s">
        <v>1373</v>
      </c>
      <c r="K58" s="38" t="s">
        <v>1374</v>
      </c>
      <c r="L58" s="38" t="s">
        <v>1375</v>
      </c>
      <c r="M58" s="38" t="s">
        <v>1376</v>
      </c>
      <c r="N58" s="38" t="s">
        <v>1376</v>
      </c>
      <c r="O58" s="38"/>
      <c r="R58" s="63"/>
    </row>
    <row r="59" spans="1:18" ht="16.5" x14ac:dyDescent="0.3">
      <c r="A59" s="38" t="s">
        <v>1377</v>
      </c>
      <c r="B59" s="38" t="s">
        <v>1378</v>
      </c>
      <c r="C59" s="38" t="s">
        <v>1379</v>
      </c>
      <c r="D59" s="38" t="s">
        <v>1380</v>
      </c>
      <c r="E59" s="38" t="s">
        <v>1381</v>
      </c>
      <c r="F59" s="38" t="s">
        <v>1382</v>
      </c>
      <c r="G59" s="38" t="s">
        <v>1383</v>
      </c>
      <c r="H59" s="38" t="s">
        <v>1385</v>
      </c>
      <c r="I59" s="38" t="s">
        <v>1386</v>
      </c>
      <c r="J59" s="38" t="s">
        <v>1387</v>
      </c>
      <c r="K59" s="38" t="s">
        <v>1388</v>
      </c>
      <c r="L59" s="38" t="s">
        <v>1389</v>
      </c>
      <c r="M59" s="38" t="s">
        <v>1390</v>
      </c>
      <c r="N59" s="38" t="s">
        <v>1390</v>
      </c>
      <c r="O59" s="38"/>
      <c r="R59" s="63"/>
    </row>
    <row r="60" spans="1:18" ht="16.5" x14ac:dyDescent="0.3">
      <c r="A60" s="38" t="s">
        <v>1391</v>
      </c>
      <c r="B60" s="38" t="s">
        <v>1392</v>
      </c>
      <c r="C60" s="38" t="s">
        <v>1393</v>
      </c>
      <c r="D60" s="38" t="s">
        <v>1394</v>
      </c>
      <c r="E60" s="38" t="s">
        <v>1395</v>
      </c>
      <c r="F60" s="38" t="s">
        <v>1396</v>
      </c>
      <c r="G60" s="38" t="s">
        <v>1397</v>
      </c>
      <c r="H60" s="38" t="s">
        <v>1399</v>
      </c>
      <c r="I60" s="38" t="s">
        <v>1400</v>
      </c>
      <c r="J60" s="38" t="s">
        <v>1401</v>
      </c>
      <c r="K60" s="38" t="s">
        <v>1402</v>
      </c>
      <c r="L60" s="38" t="s">
        <v>1403</v>
      </c>
      <c r="M60" s="38" t="s">
        <v>1404</v>
      </c>
      <c r="N60" s="38" t="s">
        <v>1404</v>
      </c>
      <c r="O60" s="38"/>
      <c r="R60" s="63"/>
    </row>
    <row r="61" spans="1:18" ht="16.5" x14ac:dyDescent="0.3">
      <c r="A61" s="38" t="s">
        <v>1405</v>
      </c>
      <c r="B61" s="38" t="s">
        <v>1406</v>
      </c>
      <c r="C61" s="38" t="s">
        <v>1407</v>
      </c>
      <c r="D61" s="38" t="s">
        <v>1408</v>
      </c>
      <c r="E61" s="38" t="s">
        <v>1409</v>
      </c>
      <c r="F61" s="38" t="s">
        <v>1410</v>
      </c>
      <c r="G61" s="38" t="s">
        <v>1411</v>
      </c>
      <c r="H61" s="38" t="s">
        <v>1413</v>
      </c>
      <c r="I61" s="38" t="s">
        <v>1414</v>
      </c>
      <c r="J61" s="38" t="s">
        <v>1415</v>
      </c>
      <c r="K61" s="38" t="s">
        <v>1416</v>
      </c>
      <c r="L61" s="38" t="s">
        <v>1417</v>
      </c>
      <c r="M61" s="38" t="s">
        <v>1418</v>
      </c>
      <c r="N61" s="38" t="s">
        <v>1418</v>
      </c>
      <c r="O61" s="38"/>
      <c r="R61" s="63"/>
    </row>
    <row r="62" spans="1:18" ht="16.5" x14ac:dyDescent="0.3">
      <c r="A62" s="38" t="s">
        <v>1419</v>
      </c>
      <c r="B62" s="38" t="s">
        <v>1420</v>
      </c>
      <c r="C62" s="38" t="s">
        <v>1421</v>
      </c>
      <c r="D62" s="38" t="s">
        <v>1422</v>
      </c>
      <c r="E62" s="38" t="s">
        <v>1423</v>
      </c>
      <c r="F62" s="38" t="s">
        <v>1424</v>
      </c>
      <c r="G62" s="38" t="s">
        <v>1425</v>
      </c>
      <c r="H62" s="38" t="s">
        <v>1427</v>
      </c>
      <c r="I62" s="38" t="s">
        <v>1428</v>
      </c>
      <c r="J62" s="38" t="s">
        <v>1429</v>
      </c>
      <c r="K62" s="38" t="s">
        <v>1430</v>
      </c>
      <c r="L62" s="38" t="s">
        <v>1431</v>
      </c>
      <c r="M62" s="38" t="s">
        <v>1432</v>
      </c>
      <c r="N62" s="38" t="s">
        <v>1432</v>
      </c>
      <c r="O62" s="38"/>
      <c r="R62" s="63"/>
    </row>
    <row r="63" spans="1:18" ht="16.5" x14ac:dyDescent="0.3">
      <c r="A63" s="38" t="s">
        <v>1433</v>
      </c>
      <c r="B63" s="38" t="s">
        <v>1434</v>
      </c>
      <c r="C63" s="38" t="s">
        <v>1435</v>
      </c>
      <c r="D63" s="38" t="s">
        <v>1436</v>
      </c>
      <c r="E63" s="38" t="s">
        <v>1437</v>
      </c>
      <c r="F63" s="38" t="s">
        <v>1438</v>
      </c>
      <c r="G63" s="38" t="s">
        <v>1439</v>
      </c>
      <c r="H63" s="38" t="s">
        <v>1441</v>
      </c>
      <c r="I63" s="38" t="s">
        <v>1442</v>
      </c>
      <c r="J63" s="38" t="s">
        <v>1443</v>
      </c>
      <c r="K63" s="38" t="s">
        <v>1444</v>
      </c>
      <c r="L63" s="38" t="s">
        <v>1445</v>
      </c>
      <c r="M63" s="38" t="s">
        <v>1446</v>
      </c>
      <c r="N63" s="38" t="s">
        <v>1446</v>
      </c>
      <c r="O63" s="38"/>
      <c r="R63" s="63"/>
    </row>
    <row r="64" spans="1:18" ht="16.5" x14ac:dyDescent="0.3">
      <c r="A64" s="38" t="s">
        <v>1447</v>
      </c>
      <c r="B64" s="38" t="s">
        <v>1448</v>
      </c>
      <c r="C64" s="38" t="s">
        <v>1449</v>
      </c>
      <c r="D64" s="38" t="s">
        <v>1450</v>
      </c>
      <c r="E64" s="38" t="s">
        <v>1451</v>
      </c>
      <c r="F64" s="38" t="s">
        <v>1452</v>
      </c>
      <c r="G64" s="38" t="s">
        <v>1453</v>
      </c>
      <c r="H64" s="38" t="s">
        <v>1455</v>
      </c>
      <c r="I64" s="38" t="s">
        <v>1456</v>
      </c>
      <c r="J64" s="38" t="s">
        <v>1457</v>
      </c>
      <c r="K64" s="38" t="s">
        <v>1458</v>
      </c>
      <c r="L64" s="38" t="s">
        <v>1459</v>
      </c>
      <c r="M64" s="38" t="s">
        <v>1460</v>
      </c>
      <c r="N64" s="38" t="s">
        <v>1460</v>
      </c>
      <c r="O64" s="38"/>
      <c r="R64" s="63"/>
    </row>
    <row r="65" spans="1:18" ht="16.5" x14ac:dyDescent="0.3">
      <c r="A65" s="38" t="s">
        <v>1461</v>
      </c>
      <c r="B65" s="38" t="s">
        <v>1462</v>
      </c>
      <c r="C65" s="38" t="s">
        <v>1463</v>
      </c>
      <c r="D65" s="38" t="s">
        <v>1464</v>
      </c>
      <c r="E65" s="38" t="s">
        <v>1465</v>
      </c>
      <c r="F65" s="38" t="s">
        <v>1466</v>
      </c>
      <c r="G65" s="38" t="s">
        <v>1467</v>
      </c>
      <c r="H65" s="38" t="s">
        <v>1469</v>
      </c>
      <c r="I65" s="38" t="s">
        <v>1470</v>
      </c>
      <c r="J65" s="38" t="s">
        <v>1471</v>
      </c>
      <c r="K65" s="38" t="s">
        <v>1472</v>
      </c>
      <c r="L65" s="38" t="s">
        <v>1473</v>
      </c>
      <c r="M65" s="38" t="s">
        <v>1474</v>
      </c>
      <c r="N65" s="38" t="s">
        <v>1474</v>
      </c>
      <c r="O65" s="38"/>
      <c r="R65" s="63"/>
    </row>
    <row r="66" spans="1:18" ht="16.5" x14ac:dyDescent="0.3">
      <c r="A66" s="38" t="s">
        <v>1475</v>
      </c>
      <c r="B66" s="38" t="s">
        <v>1476</v>
      </c>
      <c r="C66" s="38" t="s">
        <v>1477</v>
      </c>
      <c r="D66" s="38" t="s">
        <v>1478</v>
      </c>
      <c r="E66" s="38" t="s">
        <v>1479</v>
      </c>
      <c r="F66" s="38" t="s">
        <v>1480</v>
      </c>
      <c r="G66" s="38" t="s">
        <v>1481</v>
      </c>
      <c r="H66" s="38" t="s">
        <v>1483</v>
      </c>
      <c r="I66" s="38" t="s">
        <v>1484</v>
      </c>
      <c r="J66" s="38" t="s">
        <v>1485</v>
      </c>
      <c r="K66" s="38" t="s">
        <v>1486</v>
      </c>
      <c r="L66" s="38" t="s">
        <v>1487</v>
      </c>
      <c r="M66" s="38" t="s">
        <v>1488</v>
      </c>
      <c r="N66" s="38" t="s">
        <v>1488</v>
      </c>
      <c r="O66" s="38"/>
      <c r="R66" s="63"/>
    </row>
    <row r="67" spans="1:18" ht="16.5" x14ac:dyDescent="0.3">
      <c r="A67" s="38" t="s">
        <v>1489</v>
      </c>
      <c r="B67" s="38" t="s">
        <v>1490</v>
      </c>
      <c r="C67" s="38" t="s">
        <v>1491</v>
      </c>
      <c r="D67" s="38" t="s">
        <v>1492</v>
      </c>
      <c r="E67" s="38" t="s">
        <v>1493</v>
      </c>
      <c r="F67" s="38" t="s">
        <v>1494</v>
      </c>
      <c r="G67" s="38" t="s">
        <v>1495</v>
      </c>
      <c r="H67" s="38" t="s">
        <v>1497</v>
      </c>
      <c r="I67" s="38" t="s">
        <v>1498</v>
      </c>
      <c r="J67" s="38" t="s">
        <v>1499</v>
      </c>
      <c r="K67" s="38" t="s">
        <v>1500</v>
      </c>
      <c r="L67" s="38" t="s">
        <v>1501</v>
      </c>
      <c r="M67" s="38" t="s">
        <v>1502</v>
      </c>
      <c r="N67" s="38" t="s">
        <v>1502</v>
      </c>
      <c r="O67" s="38"/>
      <c r="R67" s="63"/>
    </row>
    <row r="68" spans="1:18" ht="16.5" x14ac:dyDescent="0.3">
      <c r="A68" s="38" t="s">
        <v>1503</v>
      </c>
      <c r="B68" s="38" t="s">
        <v>1504</v>
      </c>
      <c r="C68" s="38" t="s">
        <v>1505</v>
      </c>
      <c r="D68" s="38" t="s">
        <v>1506</v>
      </c>
      <c r="E68" s="38" t="s">
        <v>1507</v>
      </c>
      <c r="F68" s="38" t="s">
        <v>1508</v>
      </c>
      <c r="G68" s="38" t="s">
        <v>1509</v>
      </c>
      <c r="H68" s="38" t="s">
        <v>1511</v>
      </c>
      <c r="I68" s="38" t="s">
        <v>1512</v>
      </c>
      <c r="J68" s="38" t="s">
        <v>1513</v>
      </c>
      <c r="K68" s="38" t="s">
        <v>1514</v>
      </c>
      <c r="L68" s="38" t="s">
        <v>1515</v>
      </c>
      <c r="M68" s="38" t="s">
        <v>1516</v>
      </c>
      <c r="N68" s="38" t="s">
        <v>1516</v>
      </c>
      <c r="O68" s="38"/>
      <c r="R68" s="63"/>
    </row>
    <row r="69" spans="1:18" ht="16.5" x14ac:dyDescent="0.3">
      <c r="A69" s="38" t="s">
        <v>1517</v>
      </c>
      <c r="B69" s="38" t="s">
        <v>1518</v>
      </c>
      <c r="C69" s="38" t="s">
        <v>1519</v>
      </c>
      <c r="D69" s="38" t="s">
        <v>1520</v>
      </c>
      <c r="E69" s="38" t="s">
        <v>1521</v>
      </c>
      <c r="F69" s="38" t="s">
        <v>1522</v>
      </c>
      <c r="G69" s="38" t="s">
        <v>1523</v>
      </c>
      <c r="H69" s="38" t="s">
        <v>1525</v>
      </c>
      <c r="I69" s="38" t="s">
        <v>1526</v>
      </c>
      <c r="J69" s="38" t="s">
        <v>1527</v>
      </c>
      <c r="K69" s="38" t="s">
        <v>1528</v>
      </c>
      <c r="L69" s="38" t="s">
        <v>1529</v>
      </c>
      <c r="M69" s="38" t="s">
        <v>1530</v>
      </c>
      <c r="N69" s="38" t="s">
        <v>1530</v>
      </c>
      <c r="O69" s="38"/>
      <c r="R69" s="63"/>
    </row>
    <row r="70" spans="1:18" ht="16.5" x14ac:dyDescent="0.3">
      <c r="A70" s="38" t="s">
        <v>1531</v>
      </c>
      <c r="B70" s="38" t="s">
        <v>1532</v>
      </c>
      <c r="C70" s="38" t="s">
        <v>1533</v>
      </c>
      <c r="D70" s="38" t="s">
        <v>1534</v>
      </c>
      <c r="E70" s="38" t="s">
        <v>1535</v>
      </c>
      <c r="F70" s="38" t="s">
        <v>1536</v>
      </c>
      <c r="G70" s="38" t="s">
        <v>1537</v>
      </c>
      <c r="H70" s="38" t="s">
        <v>1539</v>
      </c>
      <c r="I70" s="38" t="s">
        <v>1540</v>
      </c>
      <c r="J70" s="38" t="s">
        <v>1541</v>
      </c>
      <c r="K70" s="38" t="s">
        <v>1542</v>
      </c>
      <c r="L70" s="38" t="s">
        <v>1543</v>
      </c>
      <c r="M70" s="38" t="s">
        <v>1544</v>
      </c>
      <c r="N70" s="38" t="s">
        <v>1544</v>
      </c>
      <c r="O70" s="38"/>
      <c r="R70" s="63"/>
    </row>
    <row r="71" spans="1:18" ht="16.5" x14ac:dyDescent="0.3">
      <c r="A71" s="38" t="s">
        <v>1545</v>
      </c>
      <c r="B71" s="38" t="s">
        <v>1546</v>
      </c>
      <c r="C71" s="38" t="s">
        <v>1547</v>
      </c>
      <c r="D71" s="38" t="s">
        <v>1548</v>
      </c>
      <c r="E71" s="38" t="s">
        <v>1549</v>
      </c>
      <c r="F71" s="38" t="s">
        <v>1550</v>
      </c>
      <c r="G71" s="38" t="s">
        <v>1551</v>
      </c>
      <c r="H71" s="38" t="s">
        <v>1553</v>
      </c>
      <c r="I71" s="38" t="s">
        <v>1554</v>
      </c>
      <c r="J71" s="38" t="s">
        <v>1555</v>
      </c>
      <c r="K71" s="38" t="s">
        <v>1556</v>
      </c>
      <c r="L71" s="38" t="s">
        <v>1557</v>
      </c>
      <c r="M71" s="38" t="s">
        <v>1558</v>
      </c>
      <c r="N71" s="38" t="s">
        <v>1558</v>
      </c>
      <c r="O71" s="38"/>
      <c r="R71" s="63"/>
    </row>
    <row r="72" spans="1:18" ht="16.5" x14ac:dyDescent="0.3">
      <c r="A72" s="38" t="s">
        <v>1559</v>
      </c>
      <c r="B72" s="38" t="s">
        <v>1560</v>
      </c>
      <c r="C72" s="38" t="s">
        <v>1561</v>
      </c>
      <c r="D72" s="38" t="s">
        <v>1562</v>
      </c>
      <c r="E72" s="38" t="s">
        <v>1563</v>
      </c>
      <c r="F72" s="38" t="s">
        <v>1564</v>
      </c>
      <c r="G72" s="38" t="s">
        <v>1565</v>
      </c>
      <c r="H72" s="38" t="s">
        <v>1567</v>
      </c>
      <c r="I72" s="38" t="s">
        <v>1568</v>
      </c>
      <c r="J72" s="38" t="s">
        <v>1569</v>
      </c>
      <c r="K72" s="38" t="s">
        <v>1570</v>
      </c>
      <c r="L72" s="38" t="s">
        <v>1571</v>
      </c>
      <c r="M72" s="38" t="s">
        <v>1572</v>
      </c>
      <c r="N72" s="38" t="s">
        <v>1572</v>
      </c>
      <c r="O72" s="38"/>
      <c r="R72" s="63"/>
    </row>
    <row r="73" spans="1:18" ht="16.5" x14ac:dyDescent="0.3">
      <c r="A73" s="38" t="s">
        <v>1573</v>
      </c>
      <c r="B73" s="38" t="s">
        <v>1574</v>
      </c>
      <c r="C73" s="38" t="s">
        <v>1575</v>
      </c>
      <c r="D73" s="38" t="s">
        <v>1576</v>
      </c>
      <c r="E73" s="38" t="s">
        <v>1577</v>
      </c>
      <c r="F73" s="38" t="s">
        <v>1578</v>
      </c>
      <c r="G73" s="38" t="s">
        <v>1579</v>
      </c>
      <c r="H73" s="38" t="s">
        <v>1581</v>
      </c>
      <c r="I73" s="38" t="s">
        <v>1582</v>
      </c>
      <c r="J73" s="38" t="s">
        <v>1583</v>
      </c>
      <c r="K73" s="38" t="s">
        <v>1584</v>
      </c>
      <c r="L73" s="38" t="s">
        <v>1585</v>
      </c>
      <c r="M73" s="38" t="s">
        <v>1586</v>
      </c>
      <c r="N73" s="38" t="s">
        <v>1586</v>
      </c>
      <c r="O73" s="38"/>
      <c r="R73" s="63"/>
    </row>
    <row r="74" spans="1:18" ht="16.5" x14ac:dyDescent="0.3">
      <c r="A74" s="38" t="s">
        <v>1587</v>
      </c>
      <c r="B74" s="38" t="s">
        <v>1588</v>
      </c>
      <c r="C74" s="38" t="s">
        <v>1589</v>
      </c>
      <c r="D74" s="38" t="s">
        <v>1590</v>
      </c>
      <c r="E74" s="38" t="s">
        <v>1591</v>
      </c>
      <c r="F74" s="38" t="s">
        <v>1592</v>
      </c>
      <c r="G74" s="38" t="s">
        <v>1593</v>
      </c>
      <c r="H74" s="38" t="s">
        <v>1595</v>
      </c>
      <c r="I74" s="38" t="s">
        <v>1596</v>
      </c>
      <c r="J74" s="38" t="s">
        <v>1597</v>
      </c>
      <c r="K74" s="38" t="s">
        <v>1598</v>
      </c>
      <c r="L74" s="38" t="s">
        <v>1599</v>
      </c>
      <c r="M74" s="38" t="s">
        <v>1600</v>
      </c>
      <c r="N74" s="38" t="s">
        <v>1600</v>
      </c>
      <c r="O74" s="38"/>
      <c r="R74" s="63"/>
    </row>
    <row r="75" spans="1:18" ht="16.5" x14ac:dyDescent="0.3">
      <c r="A75" s="38" t="s">
        <v>1601</v>
      </c>
      <c r="B75" s="38" t="s">
        <v>1602</v>
      </c>
      <c r="C75" s="38" t="s">
        <v>1603</v>
      </c>
      <c r="D75" s="38" t="s">
        <v>1604</v>
      </c>
      <c r="E75" s="38" t="s">
        <v>1605</v>
      </c>
      <c r="F75" s="38" t="s">
        <v>1606</v>
      </c>
      <c r="G75" s="38" t="s">
        <v>1607</v>
      </c>
      <c r="H75" s="38" t="s">
        <v>1609</v>
      </c>
      <c r="I75" s="38" t="s">
        <v>1610</v>
      </c>
      <c r="J75" s="38" t="s">
        <v>1611</v>
      </c>
      <c r="K75" s="38" t="s">
        <v>1612</v>
      </c>
      <c r="L75" s="38" t="s">
        <v>1613</v>
      </c>
      <c r="M75" s="38" t="s">
        <v>1614</v>
      </c>
      <c r="N75" s="38" t="s">
        <v>1614</v>
      </c>
      <c r="O75" s="38"/>
      <c r="R75" s="63"/>
    </row>
    <row r="76" spans="1:18" ht="16.5" x14ac:dyDescent="0.3">
      <c r="A76" s="38" t="s">
        <v>1615</v>
      </c>
      <c r="B76" s="38" t="s">
        <v>1616</v>
      </c>
      <c r="C76" s="38" t="s">
        <v>1617</v>
      </c>
      <c r="D76" s="38" t="s">
        <v>1618</v>
      </c>
      <c r="E76" s="38" t="s">
        <v>1619</v>
      </c>
      <c r="F76" s="38" t="s">
        <v>1620</v>
      </c>
      <c r="G76" s="38" t="s">
        <v>1621</v>
      </c>
      <c r="H76" s="38" t="s">
        <v>1623</v>
      </c>
      <c r="I76" s="38" t="s">
        <v>1624</v>
      </c>
      <c r="J76" s="38" t="s">
        <v>1625</v>
      </c>
      <c r="K76" s="38" t="s">
        <v>1626</v>
      </c>
      <c r="L76" s="38" t="s">
        <v>1627</v>
      </c>
      <c r="M76" s="38" t="s">
        <v>1628</v>
      </c>
      <c r="N76" s="38" t="s">
        <v>1628</v>
      </c>
      <c r="O76" s="38"/>
      <c r="R76" s="63"/>
    </row>
    <row r="77" spans="1:18" ht="16.5" x14ac:dyDescent="0.3">
      <c r="A77" s="38" t="s">
        <v>1629</v>
      </c>
      <c r="B77" s="38" t="s">
        <v>1630</v>
      </c>
      <c r="C77" s="38" t="s">
        <v>1631</v>
      </c>
      <c r="D77" s="38" t="s">
        <v>1632</v>
      </c>
      <c r="E77" s="38" t="s">
        <v>1633</v>
      </c>
      <c r="F77" s="38" t="s">
        <v>1634</v>
      </c>
      <c r="G77" s="38" t="s">
        <v>1635</v>
      </c>
      <c r="H77" s="38" t="s">
        <v>1637</v>
      </c>
      <c r="I77" s="38" t="s">
        <v>1638</v>
      </c>
      <c r="J77" s="38" t="s">
        <v>1639</v>
      </c>
      <c r="K77" s="38" t="s">
        <v>1640</v>
      </c>
      <c r="L77" s="38" t="s">
        <v>1641</v>
      </c>
      <c r="M77" s="38" t="s">
        <v>1642</v>
      </c>
      <c r="N77" s="38" t="s">
        <v>1642</v>
      </c>
      <c r="O77" s="38"/>
      <c r="R77" s="63"/>
    </row>
    <row r="78" spans="1:18" ht="16.5" x14ac:dyDescent="0.3">
      <c r="A78" s="38" t="s">
        <v>1643</v>
      </c>
      <c r="B78" s="38" t="s">
        <v>1644</v>
      </c>
      <c r="C78" s="38" t="s">
        <v>1645</v>
      </c>
      <c r="D78" s="38" t="s">
        <v>1646</v>
      </c>
      <c r="E78" s="38" t="s">
        <v>1647</v>
      </c>
      <c r="F78" s="38" t="s">
        <v>1648</v>
      </c>
      <c r="G78" s="38" t="s">
        <v>1649</v>
      </c>
      <c r="H78" s="38" t="s">
        <v>1651</v>
      </c>
      <c r="I78" s="38" t="s">
        <v>1652</v>
      </c>
      <c r="J78" s="38" t="s">
        <v>1653</v>
      </c>
      <c r="K78" s="38" t="s">
        <v>1654</v>
      </c>
      <c r="L78" s="38" t="s">
        <v>1655</v>
      </c>
      <c r="M78" s="38" t="s">
        <v>1656</v>
      </c>
      <c r="N78" s="38" t="s">
        <v>1656</v>
      </c>
      <c r="O78" s="38"/>
      <c r="R78" s="63"/>
    </row>
    <row r="79" spans="1:18" ht="16.5" x14ac:dyDescent="0.3">
      <c r="A79" s="38" t="s">
        <v>1657</v>
      </c>
      <c r="B79" s="38" t="s">
        <v>1658</v>
      </c>
      <c r="C79" s="38" t="s">
        <v>1659</v>
      </c>
      <c r="D79" s="38" t="s">
        <v>1660</v>
      </c>
      <c r="E79" s="38" t="s">
        <v>1661</v>
      </c>
      <c r="F79" s="38" t="s">
        <v>1662</v>
      </c>
      <c r="G79" s="38" t="s">
        <v>1663</v>
      </c>
      <c r="H79" s="38" t="s">
        <v>1665</v>
      </c>
      <c r="I79" s="38" t="s">
        <v>1666</v>
      </c>
      <c r="J79" s="38" t="s">
        <v>1667</v>
      </c>
      <c r="K79" s="38" t="s">
        <v>1668</v>
      </c>
      <c r="L79" s="38" t="s">
        <v>1669</v>
      </c>
      <c r="M79" s="38" t="s">
        <v>1670</v>
      </c>
      <c r="N79" s="38" t="s">
        <v>1670</v>
      </c>
      <c r="O79" s="38"/>
      <c r="R79" s="63"/>
    </row>
    <row r="80" spans="1:18" ht="16.5" x14ac:dyDescent="0.3">
      <c r="A80" s="38" t="s">
        <v>1671</v>
      </c>
      <c r="B80" s="38" t="s">
        <v>1672</v>
      </c>
      <c r="C80" s="38" t="s">
        <v>1673</v>
      </c>
      <c r="D80" s="38" t="s">
        <v>1674</v>
      </c>
      <c r="E80" s="38" t="s">
        <v>1675</v>
      </c>
      <c r="F80" s="38" t="s">
        <v>1676</v>
      </c>
      <c r="G80" s="38" t="s">
        <v>1677</v>
      </c>
      <c r="H80" s="38" t="s">
        <v>1679</v>
      </c>
      <c r="I80" s="38" t="s">
        <v>1680</v>
      </c>
      <c r="J80" s="38" t="s">
        <v>1681</v>
      </c>
      <c r="K80" s="38" t="s">
        <v>1682</v>
      </c>
      <c r="L80" s="38" t="s">
        <v>1683</v>
      </c>
      <c r="M80" s="38" t="s">
        <v>1684</v>
      </c>
      <c r="N80" s="38" t="s">
        <v>1684</v>
      </c>
      <c r="O80" s="38"/>
      <c r="R80" s="63"/>
    </row>
    <row r="81" spans="1:18" ht="16.5" x14ac:dyDescent="0.3">
      <c r="A81" s="38" t="s">
        <v>1685</v>
      </c>
      <c r="B81" s="38" t="s">
        <v>1686</v>
      </c>
      <c r="C81" s="38" t="s">
        <v>1687</v>
      </c>
      <c r="D81" s="38" t="s">
        <v>1688</v>
      </c>
      <c r="E81" s="38" t="s">
        <v>1689</v>
      </c>
      <c r="F81" s="38" t="s">
        <v>1690</v>
      </c>
      <c r="G81" s="38" t="s">
        <v>1691</v>
      </c>
      <c r="H81" s="38" t="s">
        <v>1693</v>
      </c>
      <c r="I81" s="38" t="s">
        <v>1694</v>
      </c>
      <c r="J81" s="38" t="s">
        <v>1695</v>
      </c>
      <c r="K81" s="38" t="s">
        <v>1696</v>
      </c>
      <c r="L81" s="38" t="s">
        <v>1697</v>
      </c>
      <c r="M81" s="38" t="s">
        <v>1698</v>
      </c>
      <c r="N81" s="38" t="s">
        <v>1698</v>
      </c>
      <c r="O81" s="38"/>
      <c r="R81" s="63"/>
    </row>
    <row r="82" spans="1:18" ht="16.5" x14ac:dyDescent="0.3">
      <c r="A82" s="38" t="s">
        <v>1699</v>
      </c>
      <c r="B82" s="38" t="s">
        <v>1700</v>
      </c>
      <c r="C82" s="38" t="s">
        <v>1701</v>
      </c>
      <c r="D82" s="38" t="s">
        <v>1702</v>
      </c>
      <c r="E82" s="38" t="s">
        <v>1703</v>
      </c>
      <c r="F82" s="38" t="s">
        <v>1704</v>
      </c>
      <c r="G82" s="38" t="s">
        <v>1705</v>
      </c>
      <c r="H82" s="38" t="s">
        <v>1707</v>
      </c>
      <c r="I82" s="38" t="s">
        <v>1708</v>
      </c>
      <c r="J82" s="38" t="s">
        <v>1709</v>
      </c>
      <c r="K82" s="38" t="s">
        <v>1710</v>
      </c>
      <c r="L82" s="38" t="s">
        <v>1711</v>
      </c>
      <c r="M82" s="38" t="s">
        <v>1712</v>
      </c>
      <c r="N82" s="38" t="s">
        <v>1712</v>
      </c>
      <c r="O82" s="38"/>
      <c r="R82" s="63"/>
    </row>
    <row r="83" spans="1:18" ht="16.5" x14ac:dyDescent="0.3">
      <c r="A83" s="38" t="s">
        <v>1713</v>
      </c>
      <c r="B83" s="38" t="s">
        <v>1714</v>
      </c>
      <c r="C83" s="38" t="s">
        <v>1715</v>
      </c>
      <c r="D83" s="38" t="s">
        <v>1716</v>
      </c>
      <c r="E83" s="38" t="s">
        <v>1717</v>
      </c>
      <c r="F83" s="38" t="s">
        <v>1718</v>
      </c>
      <c r="G83" s="38" t="s">
        <v>1719</v>
      </c>
      <c r="H83" s="38" t="s">
        <v>1721</v>
      </c>
      <c r="I83" s="38" t="s">
        <v>1722</v>
      </c>
      <c r="J83" s="38" t="s">
        <v>1723</v>
      </c>
      <c r="K83" s="38" t="s">
        <v>1724</v>
      </c>
      <c r="L83" s="38" t="s">
        <v>1725</v>
      </c>
      <c r="M83" s="38" t="s">
        <v>1726</v>
      </c>
      <c r="N83" s="38" t="s">
        <v>1726</v>
      </c>
      <c r="O83" s="38"/>
      <c r="R83" s="63"/>
    </row>
    <row r="84" spans="1:18" ht="16.5" x14ac:dyDescent="0.3">
      <c r="A84" s="38" t="s">
        <v>1727</v>
      </c>
      <c r="B84" s="38" t="s">
        <v>1728</v>
      </c>
      <c r="C84" s="38" t="s">
        <v>1729</v>
      </c>
      <c r="D84" s="38" t="s">
        <v>1730</v>
      </c>
      <c r="E84" s="38" t="s">
        <v>1731</v>
      </c>
      <c r="F84" s="38" t="s">
        <v>1732</v>
      </c>
      <c r="G84" s="38" t="s">
        <v>1733</v>
      </c>
      <c r="H84" s="38" t="s">
        <v>1735</v>
      </c>
      <c r="I84" s="38" t="s">
        <v>1736</v>
      </c>
      <c r="J84" s="38" t="s">
        <v>1737</v>
      </c>
      <c r="K84" s="38" t="s">
        <v>1738</v>
      </c>
      <c r="L84" s="38" t="s">
        <v>1739</v>
      </c>
      <c r="M84" s="38" t="s">
        <v>1740</v>
      </c>
      <c r="N84" s="38" t="s">
        <v>1740</v>
      </c>
      <c r="O84" s="38"/>
      <c r="R84" s="63"/>
    </row>
    <row r="85" spans="1:18" ht="16.5" x14ac:dyDescent="0.3">
      <c r="A85" s="38" t="s">
        <v>1741</v>
      </c>
      <c r="B85" s="38" t="s">
        <v>1742</v>
      </c>
      <c r="C85" s="38" t="s">
        <v>1743</v>
      </c>
      <c r="D85" s="38" t="s">
        <v>1744</v>
      </c>
      <c r="E85" s="38" t="s">
        <v>1745</v>
      </c>
      <c r="F85" s="38" t="s">
        <v>1746</v>
      </c>
      <c r="G85" s="38" t="s">
        <v>1747</v>
      </c>
      <c r="H85" s="38" t="s">
        <v>1749</v>
      </c>
      <c r="I85" s="38" t="s">
        <v>1750</v>
      </c>
      <c r="J85" s="38" t="s">
        <v>1751</v>
      </c>
      <c r="K85" s="38" t="s">
        <v>1752</v>
      </c>
      <c r="L85" s="38" t="s">
        <v>1753</v>
      </c>
      <c r="M85" s="38" t="s">
        <v>1754</v>
      </c>
      <c r="N85" s="38" t="s">
        <v>1754</v>
      </c>
      <c r="O85" s="38"/>
      <c r="R85" s="63"/>
    </row>
    <row r="86" spans="1:18" ht="16.5" x14ac:dyDescent="0.3">
      <c r="A86" s="38" t="s">
        <v>1755</v>
      </c>
      <c r="B86" s="38" t="s">
        <v>1756</v>
      </c>
      <c r="C86" s="38" t="s">
        <v>1757</v>
      </c>
      <c r="D86" s="38" t="s">
        <v>1758</v>
      </c>
      <c r="E86" s="38" t="s">
        <v>1759</v>
      </c>
      <c r="F86" s="38" t="s">
        <v>1760</v>
      </c>
      <c r="G86" s="38" t="s">
        <v>1761</v>
      </c>
      <c r="H86" s="38" t="s">
        <v>1763</v>
      </c>
      <c r="I86" s="38" t="s">
        <v>1764</v>
      </c>
      <c r="J86" s="38" t="s">
        <v>1765</v>
      </c>
      <c r="K86" s="38" t="s">
        <v>1766</v>
      </c>
      <c r="L86" s="38" t="s">
        <v>1767</v>
      </c>
      <c r="M86" s="38" t="s">
        <v>1768</v>
      </c>
      <c r="N86" s="38" t="s">
        <v>1768</v>
      </c>
      <c r="O86" s="38"/>
      <c r="R86" s="63"/>
    </row>
    <row r="87" spans="1:18" ht="16.5" x14ac:dyDescent="0.3">
      <c r="A87" s="38" t="s">
        <v>1769</v>
      </c>
      <c r="B87" s="38" t="s">
        <v>1770</v>
      </c>
      <c r="C87" s="38" t="s">
        <v>1771</v>
      </c>
      <c r="D87" s="38" t="s">
        <v>1772</v>
      </c>
      <c r="E87" s="38" t="s">
        <v>1773</v>
      </c>
      <c r="F87" s="38" t="s">
        <v>1774</v>
      </c>
      <c r="G87" s="38" t="s">
        <v>1775</v>
      </c>
      <c r="H87" s="38" t="s">
        <v>1777</v>
      </c>
      <c r="I87" s="38" t="s">
        <v>1778</v>
      </c>
      <c r="J87" s="38" t="s">
        <v>1779</v>
      </c>
      <c r="K87" s="38" t="s">
        <v>1780</v>
      </c>
      <c r="L87" s="38" t="s">
        <v>1781</v>
      </c>
      <c r="M87" s="38" t="s">
        <v>1782</v>
      </c>
      <c r="N87" s="38" t="s">
        <v>1782</v>
      </c>
      <c r="O87" s="38"/>
      <c r="R87" s="63"/>
    </row>
    <row r="88" spans="1:18" ht="16.5" x14ac:dyDescent="0.3">
      <c r="A88" s="38" t="s">
        <v>1783</v>
      </c>
      <c r="B88" s="38" t="s">
        <v>1784</v>
      </c>
      <c r="C88" s="38" t="s">
        <v>1785</v>
      </c>
      <c r="D88" s="38" t="s">
        <v>1786</v>
      </c>
      <c r="E88" s="38" t="s">
        <v>1787</v>
      </c>
      <c r="F88" s="38" t="s">
        <v>1788</v>
      </c>
      <c r="G88" s="38" t="s">
        <v>1789</v>
      </c>
      <c r="H88" s="38" t="s">
        <v>1791</v>
      </c>
      <c r="I88" s="38" t="s">
        <v>1792</v>
      </c>
      <c r="J88" s="38" t="s">
        <v>1793</v>
      </c>
      <c r="K88" s="38" t="s">
        <v>1794</v>
      </c>
      <c r="L88" s="38" t="s">
        <v>1795</v>
      </c>
      <c r="M88" s="38" t="s">
        <v>1796</v>
      </c>
      <c r="N88" s="38" t="s">
        <v>1796</v>
      </c>
      <c r="O88" s="38"/>
      <c r="R88" s="63"/>
    </row>
    <row r="89" spans="1:18" ht="16.5" x14ac:dyDescent="0.3">
      <c r="A89" s="38" t="s">
        <v>1797</v>
      </c>
      <c r="B89" s="38" t="s">
        <v>1798</v>
      </c>
      <c r="C89" s="38" t="s">
        <v>1799</v>
      </c>
      <c r="D89" s="38" t="s">
        <v>1800</v>
      </c>
      <c r="E89" s="38" t="s">
        <v>1801</v>
      </c>
      <c r="F89" s="38" t="s">
        <v>1802</v>
      </c>
      <c r="G89" s="38" t="s">
        <v>1803</v>
      </c>
      <c r="H89" s="38" t="s">
        <v>1805</v>
      </c>
      <c r="I89" s="38" t="s">
        <v>1806</v>
      </c>
      <c r="J89" s="38" t="s">
        <v>1807</v>
      </c>
      <c r="K89" s="38" t="s">
        <v>1808</v>
      </c>
      <c r="L89" s="38" t="s">
        <v>1809</v>
      </c>
      <c r="M89" s="38" t="s">
        <v>1810</v>
      </c>
      <c r="N89" s="38" t="s">
        <v>1810</v>
      </c>
      <c r="O89" s="38"/>
      <c r="R89" s="63"/>
    </row>
    <row r="90" spans="1:18" ht="16.5" x14ac:dyDescent="0.3">
      <c r="A90" s="38" t="s">
        <v>1811</v>
      </c>
      <c r="B90" s="38" t="s">
        <v>1812</v>
      </c>
      <c r="C90" s="38" t="s">
        <v>1813</v>
      </c>
      <c r="D90" s="38" t="s">
        <v>1814</v>
      </c>
      <c r="E90" s="38" t="s">
        <v>1815</v>
      </c>
      <c r="F90" s="38" t="s">
        <v>1816</v>
      </c>
      <c r="G90" s="38" t="s">
        <v>1817</v>
      </c>
      <c r="H90" s="38" t="s">
        <v>1819</v>
      </c>
      <c r="I90" s="38" t="s">
        <v>1820</v>
      </c>
      <c r="J90" s="38" t="s">
        <v>1821</v>
      </c>
      <c r="K90" s="38" t="s">
        <v>1822</v>
      </c>
      <c r="L90" s="38" t="s">
        <v>1823</v>
      </c>
      <c r="M90" s="38" t="s">
        <v>1824</v>
      </c>
      <c r="N90" s="38" t="s">
        <v>1824</v>
      </c>
      <c r="O90" s="38"/>
      <c r="R90" s="63"/>
    </row>
    <row r="91" spans="1:18" ht="16.5" x14ac:dyDescent="0.3">
      <c r="A91" s="38" t="s">
        <v>1825</v>
      </c>
      <c r="B91" s="38" t="s">
        <v>1826</v>
      </c>
      <c r="C91" s="38" t="s">
        <v>1827</v>
      </c>
      <c r="D91" s="38" t="s">
        <v>1828</v>
      </c>
      <c r="E91" s="38" t="s">
        <v>1829</v>
      </c>
      <c r="F91" s="38" t="s">
        <v>1830</v>
      </c>
      <c r="G91" s="38" t="s">
        <v>1831</v>
      </c>
      <c r="H91" s="38" t="s">
        <v>1833</v>
      </c>
      <c r="I91" s="38" t="s">
        <v>1834</v>
      </c>
      <c r="J91" s="38" t="s">
        <v>1835</v>
      </c>
      <c r="K91" s="38" t="s">
        <v>1836</v>
      </c>
      <c r="L91" s="38" t="s">
        <v>1837</v>
      </c>
      <c r="M91" s="38" t="s">
        <v>1838</v>
      </c>
      <c r="N91" s="38" t="s">
        <v>1838</v>
      </c>
      <c r="O91" s="38"/>
      <c r="R91" s="63"/>
    </row>
    <row r="92" spans="1:18" ht="16.5" x14ac:dyDescent="0.3">
      <c r="A92" s="38" t="s">
        <v>1839</v>
      </c>
      <c r="B92" s="38" t="s">
        <v>1840</v>
      </c>
      <c r="C92" s="38" t="s">
        <v>1841</v>
      </c>
      <c r="D92" s="38" t="s">
        <v>1842</v>
      </c>
      <c r="E92" s="38" t="s">
        <v>1843</v>
      </c>
      <c r="F92" s="38" t="s">
        <v>1844</v>
      </c>
      <c r="G92" s="38" t="s">
        <v>1845</v>
      </c>
      <c r="H92" s="38" t="s">
        <v>1847</v>
      </c>
      <c r="I92" s="38" t="s">
        <v>1848</v>
      </c>
      <c r="J92" s="38" t="s">
        <v>1849</v>
      </c>
      <c r="K92" s="38" t="s">
        <v>1850</v>
      </c>
      <c r="L92" s="38" t="s">
        <v>1851</v>
      </c>
      <c r="M92" s="38" t="s">
        <v>1852</v>
      </c>
      <c r="N92" s="38" t="s">
        <v>1852</v>
      </c>
      <c r="O92" s="38"/>
      <c r="R92" s="63"/>
    </row>
    <row r="93" spans="1:18" ht="16.5" x14ac:dyDescent="0.3">
      <c r="A93" s="38" t="s">
        <v>1853</v>
      </c>
      <c r="B93" s="38" t="s">
        <v>1854</v>
      </c>
      <c r="C93" s="38" t="s">
        <v>1855</v>
      </c>
      <c r="D93" s="38" t="s">
        <v>1856</v>
      </c>
      <c r="E93" s="38" t="s">
        <v>1857</v>
      </c>
      <c r="F93" s="38" t="s">
        <v>1858</v>
      </c>
      <c r="G93" s="38" t="s">
        <v>1859</v>
      </c>
      <c r="H93" s="38" t="s">
        <v>1861</v>
      </c>
      <c r="I93" s="38" t="s">
        <v>1862</v>
      </c>
      <c r="J93" s="38" t="s">
        <v>1863</v>
      </c>
      <c r="K93" s="38" t="s">
        <v>1864</v>
      </c>
      <c r="L93" s="38" t="s">
        <v>1865</v>
      </c>
      <c r="M93" s="38" t="s">
        <v>1866</v>
      </c>
      <c r="N93" s="38" t="s">
        <v>1866</v>
      </c>
      <c r="O93" s="38"/>
      <c r="R93" s="63"/>
    </row>
    <row r="94" spans="1:18" ht="16.5" x14ac:dyDescent="0.3">
      <c r="A94" s="38" t="s">
        <v>1867</v>
      </c>
      <c r="B94" s="38" t="s">
        <v>1868</v>
      </c>
      <c r="C94" s="38" t="s">
        <v>1869</v>
      </c>
      <c r="D94" s="38" t="s">
        <v>1870</v>
      </c>
      <c r="E94" s="38" t="s">
        <v>1871</v>
      </c>
      <c r="F94" s="38" t="s">
        <v>1872</v>
      </c>
      <c r="G94" s="38" t="s">
        <v>1873</v>
      </c>
      <c r="H94" s="38" t="s">
        <v>1875</v>
      </c>
      <c r="I94" s="38" t="s">
        <v>1876</v>
      </c>
      <c r="J94" s="38" t="s">
        <v>1877</v>
      </c>
      <c r="K94" s="38" t="s">
        <v>1878</v>
      </c>
      <c r="L94" s="38" t="s">
        <v>1879</v>
      </c>
      <c r="M94" s="38" t="s">
        <v>1880</v>
      </c>
      <c r="N94" s="38" t="s">
        <v>1880</v>
      </c>
      <c r="O94" s="38"/>
      <c r="R94" s="63"/>
    </row>
    <row r="95" spans="1:18" ht="16.5" x14ac:dyDescent="0.3">
      <c r="A95" s="38" t="s">
        <v>1881</v>
      </c>
      <c r="B95" s="38" t="s">
        <v>1882</v>
      </c>
      <c r="C95" s="38" t="s">
        <v>1883</v>
      </c>
      <c r="D95" s="38" t="s">
        <v>1884</v>
      </c>
      <c r="E95" s="38" t="s">
        <v>1885</v>
      </c>
      <c r="F95" s="38" t="s">
        <v>1886</v>
      </c>
      <c r="G95" s="38" t="s">
        <v>1887</v>
      </c>
      <c r="H95" s="38" t="s">
        <v>1889</v>
      </c>
      <c r="I95" s="38" t="s">
        <v>1890</v>
      </c>
      <c r="J95" s="38" t="s">
        <v>1891</v>
      </c>
      <c r="K95" s="38" t="s">
        <v>1892</v>
      </c>
      <c r="L95" s="38" t="s">
        <v>1893</v>
      </c>
      <c r="M95" s="38" t="s">
        <v>1894</v>
      </c>
      <c r="N95" s="38" t="s">
        <v>1894</v>
      </c>
      <c r="O95" s="38"/>
      <c r="R95" s="63"/>
    </row>
    <row r="96" spans="1:18" ht="16.5" x14ac:dyDescent="0.3">
      <c r="A96" s="38" t="s">
        <v>1895</v>
      </c>
      <c r="B96" s="38" t="s">
        <v>1896</v>
      </c>
      <c r="C96" s="38" t="s">
        <v>1897</v>
      </c>
      <c r="D96" s="38" t="s">
        <v>1898</v>
      </c>
      <c r="E96" s="38" t="s">
        <v>1899</v>
      </c>
      <c r="F96" s="38" t="s">
        <v>1900</v>
      </c>
      <c r="G96" s="38" t="s">
        <v>1901</v>
      </c>
      <c r="H96" s="38" t="s">
        <v>1903</v>
      </c>
      <c r="I96" s="38" t="s">
        <v>1904</v>
      </c>
      <c r="J96" s="38" t="s">
        <v>1905</v>
      </c>
      <c r="K96" s="38" t="s">
        <v>1906</v>
      </c>
      <c r="L96" s="38" t="s">
        <v>1907</v>
      </c>
      <c r="M96" s="38" t="s">
        <v>1908</v>
      </c>
      <c r="N96" s="38" t="s">
        <v>1908</v>
      </c>
      <c r="O96" s="38"/>
      <c r="R96" s="63"/>
    </row>
    <row r="97" spans="1:18" ht="16.5" x14ac:dyDescent="0.3">
      <c r="A97" s="38" t="s">
        <v>1909</v>
      </c>
      <c r="B97" s="38" t="s">
        <v>1910</v>
      </c>
      <c r="C97" s="38" t="s">
        <v>1911</v>
      </c>
      <c r="D97" s="38" t="s">
        <v>1912</v>
      </c>
      <c r="E97" s="38" t="s">
        <v>1913</v>
      </c>
      <c r="F97" s="38" t="s">
        <v>1914</v>
      </c>
      <c r="G97" s="38" t="s">
        <v>1915</v>
      </c>
      <c r="H97" s="38" t="s">
        <v>1917</v>
      </c>
      <c r="I97" s="38" t="s">
        <v>1918</v>
      </c>
      <c r="J97" s="38" t="s">
        <v>1919</v>
      </c>
      <c r="K97" s="38" t="s">
        <v>1920</v>
      </c>
      <c r="L97" s="38" t="s">
        <v>1921</v>
      </c>
      <c r="M97" s="38" t="s">
        <v>1922</v>
      </c>
      <c r="N97" s="38" t="s">
        <v>1922</v>
      </c>
      <c r="O97" s="38"/>
      <c r="R97" s="63"/>
    </row>
    <row r="98" spans="1:18" ht="16.5" x14ac:dyDescent="0.3">
      <c r="A98" s="38" t="s">
        <v>1923</v>
      </c>
      <c r="B98" s="38" t="s">
        <v>1924</v>
      </c>
      <c r="C98" s="38" t="s">
        <v>1925</v>
      </c>
      <c r="D98" s="38" t="s">
        <v>1926</v>
      </c>
      <c r="E98" s="38" t="s">
        <v>1927</v>
      </c>
      <c r="F98" s="38" t="s">
        <v>1928</v>
      </c>
      <c r="G98" s="38" t="s">
        <v>1929</v>
      </c>
      <c r="H98" s="38" t="s">
        <v>1931</v>
      </c>
      <c r="I98" s="38" t="s">
        <v>1932</v>
      </c>
      <c r="J98" s="38" t="s">
        <v>1933</v>
      </c>
      <c r="K98" s="38" t="s">
        <v>1934</v>
      </c>
      <c r="L98" s="38" t="s">
        <v>1935</v>
      </c>
      <c r="M98" s="38" t="s">
        <v>1936</v>
      </c>
      <c r="N98" s="38" t="s">
        <v>1936</v>
      </c>
      <c r="O98" s="38"/>
      <c r="R98" s="63"/>
    </row>
    <row r="99" spans="1:18" ht="16.5" x14ac:dyDescent="0.3">
      <c r="A99" s="38" t="s">
        <v>1937</v>
      </c>
      <c r="B99" s="38" t="s">
        <v>1938</v>
      </c>
      <c r="C99" s="38" t="s">
        <v>1939</v>
      </c>
      <c r="D99" s="38" t="s">
        <v>1940</v>
      </c>
      <c r="E99" s="38" t="s">
        <v>1941</v>
      </c>
      <c r="F99" s="38" t="s">
        <v>1942</v>
      </c>
      <c r="G99" s="38" t="s">
        <v>1943</v>
      </c>
      <c r="H99" s="38" t="s">
        <v>1945</v>
      </c>
      <c r="I99" s="38" t="s">
        <v>1946</v>
      </c>
      <c r="J99" s="38" t="s">
        <v>1947</v>
      </c>
      <c r="K99" s="38" t="s">
        <v>1948</v>
      </c>
      <c r="L99" s="38" t="s">
        <v>1949</v>
      </c>
      <c r="M99" s="38" t="s">
        <v>1950</v>
      </c>
      <c r="N99" s="38" t="s">
        <v>1950</v>
      </c>
      <c r="O99" s="38"/>
      <c r="R99" s="63"/>
    </row>
    <row r="100" spans="1:18" ht="16.5" x14ac:dyDescent="0.3">
      <c r="A100" s="38" t="s">
        <v>1951</v>
      </c>
      <c r="B100" s="38" t="s">
        <v>1952</v>
      </c>
      <c r="C100" s="38" t="s">
        <v>1953</v>
      </c>
      <c r="D100" s="38" t="s">
        <v>1954</v>
      </c>
      <c r="E100" s="38" t="s">
        <v>1955</v>
      </c>
      <c r="F100" s="38" t="s">
        <v>1956</v>
      </c>
      <c r="G100" s="38" t="s">
        <v>1957</v>
      </c>
      <c r="H100" s="38" t="s">
        <v>1959</v>
      </c>
      <c r="I100" s="38" t="s">
        <v>1960</v>
      </c>
      <c r="J100" s="38" t="s">
        <v>1961</v>
      </c>
      <c r="K100" s="38" t="s">
        <v>1962</v>
      </c>
      <c r="L100" s="38" t="s">
        <v>1963</v>
      </c>
      <c r="M100" s="38" t="s">
        <v>1964</v>
      </c>
      <c r="N100" s="38" t="s">
        <v>1964</v>
      </c>
      <c r="O100" s="38"/>
      <c r="R100" s="63"/>
    </row>
    <row r="101" spans="1:18" ht="16.5" x14ac:dyDescent="0.3">
      <c r="A101" s="38" t="s">
        <v>1965</v>
      </c>
      <c r="B101" s="38" t="s">
        <v>1966</v>
      </c>
      <c r="C101" s="38" t="s">
        <v>1967</v>
      </c>
      <c r="D101" s="38" t="s">
        <v>1968</v>
      </c>
      <c r="E101" s="38" t="s">
        <v>1969</v>
      </c>
      <c r="F101" s="38" t="s">
        <v>1970</v>
      </c>
      <c r="G101" s="38" t="s">
        <v>1971</v>
      </c>
      <c r="H101" s="38" t="s">
        <v>1973</v>
      </c>
      <c r="I101" s="38" t="s">
        <v>1974</v>
      </c>
      <c r="J101" s="38" t="s">
        <v>1975</v>
      </c>
      <c r="K101" s="38" t="s">
        <v>1976</v>
      </c>
      <c r="L101" s="38" t="s">
        <v>1977</v>
      </c>
      <c r="M101" s="38" t="s">
        <v>1978</v>
      </c>
      <c r="N101" s="38" t="s">
        <v>1978</v>
      </c>
      <c r="O101" s="38"/>
      <c r="R101" s="63"/>
    </row>
    <row r="102" spans="1:18" ht="16.5" x14ac:dyDescent="0.3">
      <c r="A102" s="38" t="s">
        <v>1979</v>
      </c>
      <c r="B102" s="38" t="s">
        <v>1980</v>
      </c>
      <c r="C102" s="38" t="s">
        <v>1981</v>
      </c>
      <c r="D102" s="38" t="s">
        <v>1982</v>
      </c>
      <c r="E102" s="38" t="s">
        <v>1983</v>
      </c>
      <c r="F102" s="38" t="s">
        <v>1984</v>
      </c>
      <c r="G102" s="38" t="s">
        <v>1985</v>
      </c>
      <c r="H102" s="38" t="s">
        <v>1987</v>
      </c>
      <c r="I102" s="38" t="s">
        <v>1988</v>
      </c>
      <c r="J102" s="38" t="s">
        <v>1989</v>
      </c>
      <c r="K102" s="38" t="s">
        <v>1990</v>
      </c>
      <c r="L102" s="38" t="s">
        <v>1991</v>
      </c>
      <c r="M102" s="38" t="s">
        <v>1992</v>
      </c>
      <c r="N102" s="38" t="s">
        <v>1992</v>
      </c>
      <c r="O102" s="38"/>
      <c r="R102" s="63"/>
    </row>
    <row r="103" spans="1:18" ht="16.5" x14ac:dyDescent="0.3">
      <c r="A103" s="38" t="s">
        <v>1993</v>
      </c>
      <c r="B103" s="38" t="s">
        <v>1994</v>
      </c>
      <c r="C103" s="38" t="s">
        <v>1995</v>
      </c>
      <c r="D103" s="38" t="s">
        <v>1996</v>
      </c>
      <c r="E103" s="38" t="s">
        <v>1997</v>
      </c>
      <c r="F103" s="38" t="s">
        <v>1998</v>
      </c>
      <c r="G103" s="38" t="s">
        <v>1999</v>
      </c>
      <c r="H103" s="38" t="s">
        <v>2001</v>
      </c>
      <c r="I103" s="38" t="s">
        <v>2002</v>
      </c>
      <c r="J103" s="38" t="s">
        <v>2003</v>
      </c>
      <c r="K103" s="38" t="s">
        <v>2004</v>
      </c>
      <c r="L103" s="38" t="s">
        <v>2005</v>
      </c>
      <c r="M103" s="38" t="s">
        <v>2006</v>
      </c>
      <c r="N103" s="38" t="s">
        <v>2006</v>
      </c>
      <c r="O103" s="38"/>
      <c r="R103" s="63"/>
    </row>
    <row r="104" spans="1:18" ht="16.5" x14ac:dyDescent="0.3">
      <c r="A104" s="38" t="s">
        <v>2007</v>
      </c>
      <c r="B104" s="38" t="s">
        <v>2008</v>
      </c>
      <c r="C104" s="38" t="s">
        <v>2009</v>
      </c>
      <c r="D104" s="38" t="s">
        <v>2010</v>
      </c>
      <c r="E104" s="38" t="s">
        <v>2011</v>
      </c>
      <c r="F104" s="38" t="s">
        <v>2012</v>
      </c>
      <c r="G104" s="38" t="s">
        <v>2013</v>
      </c>
      <c r="H104" s="38" t="s">
        <v>2015</v>
      </c>
      <c r="I104" s="38" t="s">
        <v>2016</v>
      </c>
      <c r="J104" s="38" t="s">
        <v>2017</v>
      </c>
      <c r="K104" s="38" t="s">
        <v>2018</v>
      </c>
      <c r="L104" s="38" t="s">
        <v>2019</v>
      </c>
      <c r="M104" s="38" t="s">
        <v>2020</v>
      </c>
      <c r="N104" s="38" t="s">
        <v>2020</v>
      </c>
      <c r="O104" s="38"/>
      <c r="R104" s="63"/>
    </row>
    <row r="105" spans="1:18" ht="16.5" x14ac:dyDescent="0.3">
      <c r="A105" s="38" t="s">
        <v>2021</v>
      </c>
      <c r="B105" s="38" t="s">
        <v>2022</v>
      </c>
      <c r="C105" s="38" t="s">
        <v>2023</v>
      </c>
      <c r="D105" s="38" t="s">
        <v>2024</v>
      </c>
      <c r="E105" s="38" t="s">
        <v>2025</v>
      </c>
      <c r="F105" s="38" t="s">
        <v>2026</v>
      </c>
      <c r="G105" s="38" t="s">
        <v>2027</v>
      </c>
      <c r="H105" s="38" t="s">
        <v>2029</v>
      </c>
      <c r="I105" s="38" t="s">
        <v>2030</v>
      </c>
      <c r="J105" s="38" t="s">
        <v>2031</v>
      </c>
      <c r="K105" s="38" t="s">
        <v>2032</v>
      </c>
      <c r="L105" s="38" t="s">
        <v>2033</v>
      </c>
      <c r="M105" s="38" t="s">
        <v>2034</v>
      </c>
      <c r="N105" s="38" t="s">
        <v>2034</v>
      </c>
      <c r="O105" s="38"/>
      <c r="R105" s="63"/>
    </row>
    <row r="106" spans="1:18" ht="16.5" x14ac:dyDescent="0.3">
      <c r="A106" s="38" t="s">
        <v>2035</v>
      </c>
      <c r="B106" s="38" t="s">
        <v>2036</v>
      </c>
      <c r="C106" s="38" t="s">
        <v>2037</v>
      </c>
      <c r="D106" s="38" t="s">
        <v>2038</v>
      </c>
      <c r="E106" s="38" t="s">
        <v>2039</v>
      </c>
      <c r="F106" s="38" t="s">
        <v>2040</v>
      </c>
      <c r="G106" s="38" t="s">
        <v>2041</v>
      </c>
      <c r="H106" s="38" t="s">
        <v>2043</v>
      </c>
      <c r="I106" s="38" t="s">
        <v>2044</v>
      </c>
      <c r="J106" s="38" t="s">
        <v>2045</v>
      </c>
      <c r="K106" s="38" t="s">
        <v>2046</v>
      </c>
      <c r="L106" s="38" t="s">
        <v>2047</v>
      </c>
      <c r="M106" s="38" t="s">
        <v>2048</v>
      </c>
      <c r="N106" s="38" t="s">
        <v>2048</v>
      </c>
      <c r="O106" s="38"/>
      <c r="R106" s="63"/>
    </row>
    <row r="107" spans="1:18" ht="16.5" x14ac:dyDescent="0.3">
      <c r="A107" s="38" t="s">
        <v>2049</v>
      </c>
      <c r="B107" s="38" t="s">
        <v>2050</v>
      </c>
      <c r="C107" s="38" t="s">
        <v>2051</v>
      </c>
      <c r="D107" s="38" t="s">
        <v>2052</v>
      </c>
      <c r="E107" s="38" t="s">
        <v>2053</v>
      </c>
      <c r="F107" s="38" t="s">
        <v>2054</v>
      </c>
      <c r="G107" s="38" t="s">
        <v>2055</v>
      </c>
      <c r="H107" s="38" t="s">
        <v>2057</v>
      </c>
      <c r="I107" s="38" t="s">
        <v>2058</v>
      </c>
      <c r="J107" s="38" t="s">
        <v>2059</v>
      </c>
      <c r="K107" s="38" t="s">
        <v>2060</v>
      </c>
      <c r="L107" s="38" t="s">
        <v>2061</v>
      </c>
      <c r="M107" s="38" t="s">
        <v>2062</v>
      </c>
      <c r="N107" s="38" t="s">
        <v>2062</v>
      </c>
      <c r="O107" s="38"/>
      <c r="R107" s="63"/>
    </row>
    <row r="108" spans="1:18" ht="16.5" x14ac:dyDescent="0.3">
      <c r="A108" s="38" t="s">
        <v>2063</v>
      </c>
      <c r="B108" s="38" t="s">
        <v>2064</v>
      </c>
      <c r="C108" s="38" t="s">
        <v>2065</v>
      </c>
      <c r="D108" s="38" t="s">
        <v>2066</v>
      </c>
      <c r="E108" s="38" t="s">
        <v>2067</v>
      </c>
      <c r="F108" s="38" t="s">
        <v>2068</v>
      </c>
      <c r="G108" s="38" t="s">
        <v>2069</v>
      </c>
      <c r="H108" s="38" t="s">
        <v>2071</v>
      </c>
      <c r="I108" s="38" t="s">
        <v>2072</v>
      </c>
      <c r="J108" s="38" t="s">
        <v>2073</v>
      </c>
      <c r="K108" s="38" t="s">
        <v>2074</v>
      </c>
      <c r="L108" s="38" t="s">
        <v>2075</v>
      </c>
      <c r="M108" s="38" t="s">
        <v>2076</v>
      </c>
      <c r="N108" s="38" t="s">
        <v>2076</v>
      </c>
      <c r="O108" s="38"/>
      <c r="R108" s="63"/>
    </row>
    <row r="109" spans="1:18" ht="16.5" x14ac:dyDescent="0.3">
      <c r="A109" s="38" t="s">
        <v>2077</v>
      </c>
      <c r="B109" s="38" t="s">
        <v>2078</v>
      </c>
      <c r="C109" s="38" t="s">
        <v>2079</v>
      </c>
      <c r="D109" s="38" t="s">
        <v>2080</v>
      </c>
      <c r="E109" s="38" t="s">
        <v>2081</v>
      </c>
      <c r="F109" s="38" t="s">
        <v>2082</v>
      </c>
      <c r="G109" s="38" t="s">
        <v>2083</v>
      </c>
      <c r="H109" s="38" t="s">
        <v>2085</v>
      </c>
      <c r="I109" s="38" t="s">
        <v>2086</v>
      </c>
      <c r="J109" s="38" t="s">
        <v>2087</v>
      </c>
      <c r="K109" s="38" t="s">
        <v>2088</v>
      </c>
      <c r="L109" s="38" t="s">
        <v>2089</v>
      </c>
      <c r="M109" s="38" t="s">
        <v>2090</v>
      </c>
      <c r="N109" s="38" t="s">
        <v>2090</v>
      </c>
      <c r="O109" s="38"/>
      <c r="R109" s="63"/>
    </row>
    <row r="110" spans="1:18" ht="16.5" x14ac:dyDescent="0.3">
      <c r="A110" s="38" t="s">
        <v>2091</v>
      </c>
      <c r="B110" s="38" t="s">
        <v>2092</v>
      </c>
      <c r="C110" s="38" t="s">
        <v>2093</v>
      </c>
      <c r="D110" s="38" t="s">
        <v>2094</v>
      </c>
      <c r="E110" s="38" t="s">
        <v>2095</v>
      </c>
      <c r="F110" s="38" t="s">
        <v>2096</v>
      </c>
      <c r="G110" s="38" t="s">
        <v>2097</v>
      </c>
      <c r="H110" s="38" t="s">
        <v>2099</v>
      </c>
      <c r="I110" s="38" t="s">
        <v>2100</v>
      </c>
      <c r="J110" s="38" t="s">
        <v>2101</v>
      </c>
      <c r="K110" s="38" t="s">
        <v>2102</v>
      </c>
      <c r="L110" s="38" t="s">
        <v>2103</v>
      </c>
      <c r="M110" s="38" t="s">
        <v>2104</v>
      </c>
      <c r="N110" s="38" t="s">
        <v>2104</v>
      </c>
      <c r="O110" s="38"/>
      <c r="Q110" s="61" t="str">
        <f>_xll.BDH(B113, "PX_MID", "2022-03-05")</f>
        <v>#N/A Invalid Security</v>
      </c>
      <c r="R110" s="63"/>
    </row>
    <row r="111" spans="1:18" ht="16.5" x14ac:dyDescent="0.3">
      <c r="A111" s="38" t="s">
        <v>2105</v>
      </c>
      <c r="B111" s="38" t="s">
        <v>2106</v>
      </c>
      <c r="C111" s="38" t="s">
        <v>2107</v>
      </c>
      <c r="D111" s="38" t="s">
        <v>2108</v>
      </c>
      <c r="E111" s="38" t="s">
        <v>2109</v>
      </c>
      <c r="F111" s="38" t="s">
        <v>2110</v>
      </c>
      <c r="G111" s="38" t="s">
        <v>2111</v>
      </c>
      <c r="H111" s="38" t="s">
        <v>2113</v>
      </c>
      <c r="I111" s="38" t="s">
        <v>2114</v>
      </c>
      <c r="J111" s="38" t="s">
        <v>2115</v>
      </c>
      <c r="K111" s="38" t="s">
        <v>2116</v>
      </c>
      <c r="L111" s="38" t="s">
        <v>2117</v>
      </c>
      <c r="M111" s="38" t="s">
        <v>2118</v>
      </c>
      <c r="N111" s="38" t="s">
        <v>2118</v>
      </c>
      <c r="O111" s="38"/>
    </row>
    <row r="112" spans="1:18" ht="15" x14ac:dyDescent="0.25">
      <c r="A112" s="62"/>
      <c r="B112" s="62" t="s">
        <v>3258</v>
      </c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</row>
    <row r="113" spans="1:32" ht="16.5" x14ac:dyDescent="0.3">
      <c r="A113" s="63"/>
      <c r="B113" s="61" t="str">
        <f>B4&amp;" LCLS Curncy"</f>
        <v>KRWA0A01 LCLS Curncy</v>
      </c>
      <c r="C113" s="61" t="str">
        <f t="shared" ref="C113:O113" si="0">C4&amp;" LCLS Curncy"</f>
        <v>KRWK0A01 LCLS Curncy</v>
      </c>
      <c r="D113" s="61" t="str">
        <f t="shared" si="0"/>
        <v>KRWL0A01 LCLS Curncy</v>
      </c>
      <c r="E113" s="61" t="str">
        <f t="shared" si="0"/>
        <v>KRWB0A01 LCLS Curncy</v>
      </c>
      <c r="F113" s="61" t="str">
        <f t="shared" si="0"/>
        <v>KRWM0A01 LCLS Curncy</v>
      </c>
      <c r="G113" s="61" t="str">
        <f t="shared" si="0"/>
        <v>KRWN0A01 LCLS Curncy</v>
      </c>
      <c r="H113" s="61" t="str">
        <f t="shared" si="0"/>
        <v>KRWO0A01 LCLS Curncy</v>
      </c>
      <c r="I113" s="61" t="str">
        <f t="shared" si="0"/>
        <v>KRWP0A01 LCLS Curncy</v>
      </c>
      <c r="J113" s="61" t="str">
        <f t="shared" si="0"/>
        <v>KRWC0A01 LCLS Curncy</v>
      </c>
      <c r="K113" s="61" t="str">
        <f t="shared" si="0"/>
        <v>KRWQ0A01 LCLS Curncy</v>
      </c>
      <c r="L113" s="61" t="str">
        <f t="shared" si="0"/>
        <v>KRWR0A01 LCLS Curncy</v>
      </c>
      <c r="M113" s="61" t="str">
        <f t="shared" si="0"/>
        <v>KRWD0A01 LCLS Curncy</v>
      </c>
      <c r="N113" s="61" t="str">
        <f t="shared" si="0"/>
        <v>KRWD0A01 LCLS Curncy</v>
      </c>
      <c r="O113" s="61" t="str">
        <f t="shared" si="0"/>
        <v xml:space="preserve"> LCLS Curncy</v>
      </c>
      <c r="Q113" s="61" t="str">
        <f>_xll.BDH(B113,$Q$2,$Q$1,$Q$1)</f>
        <v>#N/A Invalid Security</v>
      </c>
      <c r="R113" s="61" t="str">
        <f>_xll.BDH(C113,$Q$2,$Q$1,$Q$1)</f>
        <v>#N/A Invalid Security</v>
      </c>
      <c r="S113" s="61" t="str">
        <f>_xll.BDH(D113,$Q$2,$Q$1,$Q$1)</f>
        <v>#N/A Invalid Security</v>
      </c>
      <c r="T113" s="61" t="str">
        <f>_xll.BDH(E113,$Q$2,$Q$1,$Q$1)</f>
        <v>#N/A Invalid Security</v>
      </c>
      <c r="U113" s="61" t="str">
        <f>_xll.BDH(F113,$Q$2,$Q$1,$Q$1)</f>
        <v>#N/A Invalid Security</v>
      </c>
      <c r="V113" s="61" t="str">
        <f>_xll.BDH(G113,$Q$2,$Q$1,$Q$1)</f>
        <v>#N/A Invalid Security</v>
      </c>
      <c r="W113" s="61" t="str">
        <f>_xll.BDH(H113,$Q$2,$Q$1,$Q$1)</f>
        <v>#N/A Invalid Security</v>
      </c>
      <c r="X113" s="61" t="str">
        <f>_xll.BDH(I113,$Q$2,$Q$1,$Q$1)</f>
        <v>#N/A Invalid Security</v>
      </c>
      <c r="Y113" s="61" t="str">
        <f>_xll.BDH(J113,$Q$2,$Q$1,$Q$1)</f>
        <v>#N/A Invalid Security</v>
      </c>
      <c r="Z113" s="61" t="str">
        <f>_xll.BDH(K113,$Q$2,$Q$1,$Q$1)</f>
        <v>#N/A Invalid Security</v>
      </c>
      <c r="AA113" s="61" t="str">
        <f>_xll.BDH(L113,$Q$2,$Q$1,$Q$1)</f>
        <v>#N/A Invalid Security</v>
      </c>
      <c r="AB113" s="61" t="str">
        <f>_xll.BDH(M113,$Q$2,$Q$1,$Q$1)</f>
        <v>#N/A Invalid Security</v>
      </c>
      <c r="AC113" s="61" t="str">
        <f>_xll.BDH(N113,$Q$2,$Q$1,$Q$1)</f>
        <v>#N/A Invalid Security</v>
      </c>
      <c r="AD113" s="61" t="str">
        <f>_xll.BDH(P113,$Q$2,$Q$1,$Q$1)</f>
        <v>#N/A Mandatory parameter [SECURITY] cannot be empty</v>
      </c>
      <c r="AE113" s="61" t="str">
        <f>_xll.BDH(Q113,$Q$2,$Q$1,$Q$1)</f>
        <v>#N/A Invalid Security</v>
      </c>
      <c r="AF113" s="61" t="str">
        <f>_xll.BDH(R113,$Q$2,$Q$1,$Q$1)</f>
        <v>#N/A Invalid Security</v>
      </c>
    </row>
    <row r="114" spans="1:32" ht="16.5" x14ac:dyDescent="0.3">
      <c r="A114" s="63"/>
      <c r="B114" s="61" t="str">
        <f t="shared" ref="B114:O177" si="1">B5&amp;" LCLS Curncy"</f>
        <v>KRWA0A02 LCLS Curncy</v>
      </c>
      <c r="C114" s="61" t="str">
        <f t="shared" si="1"/>
        <v>KRWK0A02 LCLS Curncy</v>
      </c>
      <c r="D114" s="61" t="str">
        <f t="shared" si="1"/>
        <v>KRWL0A02 LCLS Curncy</v>
      </c>
      <c r="E114" s="61" t="str">
        <f t="shared" si="1"/>
        <v>KRWB0A02 LCLS Curncy</v>
      </c>
      <c r="F114" s="61" t="str">
        <f t="shared" si="1"/>
        <v>KRWM0A02 LCLS Curncy</v>
      </c>
      <c r="G114" s="61" t="str">
        <f t="shared" si="1"/>
        <v>KRWN0A02 LCLS Curncy</v>
      </c>
      <c r="H114" s="61" t="str">
        <f t="shared" si="1"/>
        <v>KRWO0A02 LCLS Curncy</v>
      </c>
      <c r="I114" s="61" t="str">
        <f t="shared" si="1"/>
        <v>KRWP0A02 LCLS Curncy</v>
      </c>
      <c r="J114" s="61" t="str">
        <f t="shared" si="1"/>
        <v>KRWC0A02 LCLS Curncy</v>
      </c>
      <c r="K114" s="61" t="str">
        <f t="shared" si="1"/>
        <v>KRWQ0A02 LCLS Curncy</v>
      </c>
      <c r="L114" s="61" t="str">
        <f t="shared" si="1"/>
        <v>KRWR0A02 LCLS Curncy</v>
      </c>
      <c r="M114" s="61" t="str">
        <f t="shared" si="1"/>
        <v>KRWD0A02 LCLS Curncy</v>
      </c>
      <c r="N114" s="61" t="str">
        <f t="shared" si="1"/>
        <v>KRWD0A02 LCLS Curncy</v>
      </c>
      <c r="O114" s="61" t="str">
        <f t="shared" si="1"/>
        <v xml:space="preserve"> LCLS Curncy</v>
      </c>
      <c r="Q114" s="61" t="str">
        <f>_xll.BDH(B114,$Q$2,$Q$1,$Q$1)</f>
        <v>#N/A Invalid Security</v>
      </c>
      <c r="R114" s="61" t="str">
        <f>_xll.BDH(C114,$Q$2,$Q$1,$Q$1)</f>
        <v>#N/A Invalid Security</v>
      </c>
      <c r="S114" s="61" t="str">
        <f>_xll.BDH(D114,$Q$2,$Q$1,$Q$1)</f>
        <v>#N/A Invalid Security</v>
      </c>
      <c r="T114" s="61" t="str">
        <f>_xll.BDH(E114,$Q$2,$Q$1,$Q$1)</f>
        <v>#N/A Invalid Security</v>
      </c>
      <c r="U114" s="61" t="str">
        <f>_xll.BDH(F114,$Q$2,$Q$1,$Q$1)</f>
        <v>#N/A Invalid Security</v>
      </c>
      <c r="V114" s="61" t="str">
        <f>_xll.BDH(G114,$Q$2,$Q$1,$Q$1)</f>
        <v>#N/A Invalid Security</v>
      </c>
      <c r="W114" s="61" t="str">
        <f>_xll.BDH(H114,$Q$2,$Q$1,$Q$1)</f>
        <v>#N/A Invalid Security</v>
      </c>
      <c r="X114" s="61" t="str">
        <f>_xll.BDH(I114,$Q$2,$Q$1,$Q$1)</f>
        <v>#N/A Invalid Security</v>
      </c>
      <c r="Y114" s="61" t="str">
        <f>_xll.BDH(J114,$Q$2,$Q$1,$Q$1)</f>
        <v>#N/A Invalid Security</v>
      </c>
      <c r="Z114" s="61" t="str">
        <f>_xll.BDH(K114,$Q$2,$Q$1,$Q$1)</f>
        <v>#N/A Invalid Security</v>
      </c>
      <c r="AA114" s="61" t="str">
        <f>_xll.BDH(L114,$Q$2,$Q$1,$Q$1)</f>
        <v>#N/A Invalid Security</v>
      </c>
      <c r="AB114" s="61" t="str">
        <f>_xll.BDH(M114,$Q$2,$Q$1,$Q$1)</f>
        <v>#N/A Invalid Security</v>
      </c>
      <c r="AC114" s="61" t="str">
        <f>_xll.BDH(N114,$Q$2,$Q$1,$Q$1)</f>
        <v>#N/A Invalid Security</v>
      </c>
      <c r="AD114" s="61" t="str">
        <f>_xll.BDH(P114,$Q$2,$Q$1,$Q$1)</f>
        <v>#N/A Mandatory parameter [SECURITY] cannot be empty</v>
      </c>
      <c r="AE114" s="61" t="str">
        <f>_xll.BDH(Q114,$Q$2,$Q$1,$Q$1)</f>
        <v>#N/A Invalid Security</v>
      </c>
      <c r="AF114" s="61" t="str">
        <f>_xll.BDH(R114,$Q$2,$Q$1,$Q$1)</f>
        <v>#N/A Invalid Security</v>
      </c>
    </row>
    <row r="115" spans="1:32" ht="16.5" x14ac:dyDescent="0.3">
      <c r="A115" s="63"/>
      <c r="B115" s="61" t="str">
        <f t="shared" si="1"/>
        <v>KRWA0A03 LCLS Curncy</v>
      </c>
      <c r="C115" s="61" t="str">
        <f t="shared" si="1"/>
        <v>KRWK0A03 LCLS Curncy</v>
      </c>
      <c r="D115" s="61" t="str">
        <f t="shared" si="1"/>
        <v>KRWL0A03 LCLS Curncy</v>
      </c>
      <c r="E115" s="61" t="str">
        <f t="shared" si="1"/>
        <v>KRWB0A03 LCLS Curncy</v>
      </c>
      <c r="F115" s="61" t="str">
        <f t="shared" si="1"/>
        <v>KRWM0A03 LCLS Curncy</v>
      </c>
      <c r="G115" s="61" t="str">
        <f t="shared" si="1"/>
        <v>KRWN0A03 LCLS Curncy</v>
      </c>
      <c r="H115" s="61" t="str">
        <f t="shared" si="1"/>
        <v>KRWO0A03 LCLS Curncy</v>
      </c>
      <c r="I115" s="61" t="str">
        <f t="shared" si="1"/>
        <v>KRWP0A03 LCLS Curncy</v>
      </c>
      <c r="J115" s="61" t="str">
        <f t="shared" si="1"/>
        <v>KRWC0A03 LCLS Curncy</v>
      </c>
      <c r="K115" s="61" t="str">
        <f t="shared" si="1"/>
        <v>KRWQ0A03 LCLS Curncy</v>
      </c>
      <c r="L115" s="61" t="str">
        <f t="shared" si="1"/>
        <v>KRWR0A03 LCLS Curncy</v>
      </c>
      <c r="M115" s="61" t="str">
        <f t="shared" si="1"/>
        <v>KRWD0A03 LCLS Curncy</v>
      </c>
      <c r="N115" s="61" t="str">
        <f t="shared" si="1"/>
        <v>KRWD0A03 LCLS Curncy</v>
      </c>
      <c r="O115" s="61" t="str">
        <f t="shared" si="1"/>
        <v xml:space="preserve"> LCLS Curncy</v>
      </c>
      <c r="Q115" s="61" t="str">
        <f>_xll.BDH(B115,$Q$2,$Q$1,$Q$1)</f>
        <v>#N/A Invalid Security</v>
      </c>
      <c r="R115" s="61" t="str">
        <f>_xll.BDH(C115,$Q$2,$Q$1,$Q$1)</f>
        <v>#N/A Invalid Security</v>
      </c>
      <c r="S115" s="61" t="str">
        <f>_xll.BDH(D115,$Q$2,$Q$1,$Q$1)</f>
        <v>#N/A Invalid Security</v>
      </c>
      <c r="T115" s="61" t="str">
        <f>_xll.BDH(E115,$Q$2,$Q$1,$Q$1)</f>
        <v>#N/A Invalid Security</v>
      </c>
      <c r="U115" s="61" t="str">
        <f>_xll.BDH(F115,$Q$2,$Q$1,$Q$1)</f>
        <v>#N/A Invalid Security</v>
      </c>
      <c r="V115" s="61" t="str">
        <f>_xll.BDH(G115,$Q$2,$Q$1,$Q$1)</f>
        <v>#N/A Invalid Security</v>
      </c>
      <c r="W115" s="61" t="str">
        <f>_xll.BDH(H115,$Q$2,$Q$1,$Q$1)</f>
        <v>#N/A Invalid Security</v>
      </c>
      <c r="X115" s="61" t="str">
        <f>_xll.BDH(I115,$Q$2,$Q$1,$Q$1)</f>
        <v>#N/A Invalid Security</v>
      </c>
      <c r="Y115" s="61" t="str">
        <f>_xll.BDH(J115,$Q$2,$Q$1,$Q$1)</f>
        <v>#N/A Invalid Security</v>
      </c>
      <c r="Z115" s="61" t="str">
        <f>_xll.BDH(K115,$Q$2,$Q$1,$Q$1)</f>
        <v>#N/A Invalid Security</v>
      </c>
      <c r="AA115" s="61" t="str">
        <f>_xll.BDH(L115,$Q$2,$Q$1,$Q$1)</f>
        <v>#N/A Invalid Security</v>
      </c>
      <c r="AB115" s="61" t="str">
        <f>_xll.BDH(M115,$Q$2,$Q$1,$Q$1)</f>
        <v>#N/A Invalid Security</v>
      </c>
      <c r="AC115" s="61" t="str">
        <f>_xll.BDH(N115,$Q$2,$Q$1,$Q$1)</f>
        <v>#N/A Invalid Security</v>
      </c>
      <c r="AD115" s="61" t="str">
        <f>_xll.BDH(P115,$Q$2,$Q$1,$Q$1)</f>
        <v>#N/A Mandatory parameter [SECURITY] cannot be empty</v>
      </c>
      <c r="AE115" s="61" t="str">
        <f>_xll.BDH(Q115,$Q$2,$Q$1,$Q$1)</f>
        <v>#N/A Invalid Security</v>
      </c>
      <c r="AF115" s="61" t="str">
        <f>_xll.BDH(R115,$Q$2,$Q$1,$Q$1)</f>
        <v>#N/A Invalid Security</v>
      </c>
    </row>
    <row r="116" spans="1:32" ht="16.5" x14ac:dyDescent="0.3">
      <c r="A116" s="63"/>
      <c r="B116" s="61" t="str">
        <f t="shared" si="1"/>
        <v>KRWA0A04 LCLS Curncy</v>
      </c>
      <c r="C116" s="61" t="str">
        <f t="shared" si="1"/>
        <v>KRWK0A04 LCLS Curncy</v>
      </c>
      <c r="D116" s="61" t="str">
        <f t="shared" si="1"/>
        <v>KRWL0A04 LCLS Curncy</v>
      </c>
      <c r="E116" s="61" t="str">
        <f t="shared" si="1"/>
        <v>KRWB0A04 LCLS Curncy</v>
      </c>
      <c r="F116" s="61" t="str">
        <f t="shared" si="1"/>
        <v>KRWM0A04 LCLS Curncy</v>
      </c>
      <c r="G116" s="61" t="str">
        <f t="shared" si="1"/>
        <v>KRWN0A04 LCLS Curncy</v>
      </c>
      <c r="H116" s="61" t="str">
        <f t="shared" si="1"/>
        <v>KRWO0A04 LCLS Curncy</v>
      </c>
      <c r="I116" s="61" t="str">
        <f t="shared" si="1"/>
        <v>KRWP0A04 LCLS Curncy</v>
      </c>
      <c r="J116" s="61" t="str">
        <f t="shared" si="1"/>
        <v>KRWC0A04 LCLS Curncy</v>
      </c>
      <c r="K116" s="61" t="str">
        <f t="shared" si="1"/>
        <v>KRWQ0A04 LCLS Curncy</v>
      </c>
      <c r="L116" s="61" t="str">
        <f t="shared" si="1"/>
        <v>KRWR0A04 LCLS Curncy</v>
      </c>
      <c r="M116" s="61" t="str">
        <f t="shared" si="1"/>
        <v>KRWD0A04 LCLS Curncy</v>
      </c>
      <c r="N116" s="61" t="str">
        <f t="shared" si="1"/>
        <v>KRWD0A04 LCLS Curncy</v>
      </c>
      <c r="O116" s="61" t="str">
        <f t="shared" si="1"/>
        <v xml:space="preserve"> LCLS Curncy</v>
      </c>
      <c r="Q116" s="61" t="str">
        <f>_xll.BDH(B116,$Q$2,$Q$1,$Q$1)</f>
        <v>#N/A Invalid Security</v>
      </c>
      <c r="R116" s="61" t="str">
        <f>_xll.BDH(C116,$Q$2,$Q$1,$Q$1)</f>
        <v>#N/A Invalid Security</v>
      </c>
      <c r="S116" s="61" t="str">
        <f>_xll.BDH(D116,$Q$2,$Q$1,$Q$1)</f>
        <v>#N/A Invalid Security</v>
      </c>
      <c r="T116" s="61" t="str">
        <f>_xll.BDH(E116,$Q$2,$Q$1,$Q$1)</f>
        <v>#N/A Invalid Security</v>
      </c>
      <c r="U116" s="61" t="str">
        <f>_xll.BDH(F116,$Q$2,$Q$1,$Q$1)</f>
        <v>#N/A Invalid Security</v>
      </c>
      <c r="V116" s="61" t="str">
        <f>_xll.BDH(G116,$Q$2,$Q$1,$Q$1)</f>
        <v>#N/A Invalid Security</v>
      </c>
      <c r="W116" s="61" t="str">
        <f>_xll.BDH(H116,$Q$2,$Q$1,$Q$1)</f>
        <v>#N/A Invalid Security</v>
      </c>
      <c r="X116" s="61" t="str">
        <f>_xll.BDH(I116,$Q$2,$Q$1,$Q$1)</f>
        <v>#N/A Invalid Security</v>
      </c>
      <c r="Y116" s="61" t="str">
        <f>_xll.BDH(J116,$Q$2,$Q$1,$Q$1)</f>
        <v>#N/A Invalid Security</v>
      </c>
      <c r="Z116" s="61" t="str">
        <f>_xll.BDH(K116,$Q$2,$Q$1,$Q$1)</f>
        <v>#N/A Invalid Security</v>
      </c>
      <c r="AA116" s="61" t="str">
        <f>_xll.BDH(L116,$Q$2,$Q$1,$Q$1)</f>
        <v>#N/A Invalid Security</v>
      </c>
      <c r="AB116" s="61" t="str">
        <f>_xll.BDH(M116,$Q$2,$Q$1,$Q$1)</f>
        <v>#N/A Invalid Security</v>
      </c>
      <c r="AC116" s="61" t="str">
        <f>_xll.BDH(N116,$Q$2,$Q$1,$Q$1)</f>
        <v>#N/A Invalid Security</v>
      </c>
      <c r="AD116" s="61" t="str">
        <f>_xll.BDH(P116,$Q$2,$Q$1,$Q$1)</f>
        <v>#N/A Mandatory parameter [SECURITY] cannot be empty</v>
      </c>
      <c r="AE116" s="61" t="str">
        <f>_xll.BDH(Q116,$Q$2,$Q$1,$Q$1)</f>
        <v>#N/A Invalid Security</v>
      </c>
      <c r="AF116" s="61" t="str">
        <f>_xll.BDH(R116,$Q$2,$Q$1,$Q$1)</f>
        <v>#N/A Invalid Security</v>
      </c>
    </row>
    <row r="117" spans="1:32" ht="16.5" x14ac:dyDescent="0.3">
      <c r="A117" s="63"/>
      <c r="B117" s="61" t="str">
        <f t="shared" si="1"/>
        <v>KRWA0A05 LCLS Curncy</v>
      </c>
      <c r="C117" s="61" t="str">
        <f t="shared" si="1"/>
        <v>KRWK0A05 LCLS Curncy</v>
      </c>
      <c r="D117" s="61" t="str">
        <f t="shared" si="1"/>
        <v>KRWL0A05 LCLS Curncy</v>
      </c>
      <c r="E117" s="61" t="str">
        <f t="shared" si="1"/>
        <v>KRWB0A05 LCLS Curncy</v>
      </c>
      <c r="F117" s="61" t="str">
        <f t="shared" si="1"/>
        <v>KRWM0A05 LCLS Curncy</v>
      </c>
      <c r="G117" s="61" t="str">
        <f t="shared" si="1"/>
        <v>KRWN0A05 LCLS Curncy</v>
      </c>
      <c r="H117" s="61" t="str">
        <f t="shared" si="1"/>
        <v>KRWO0A05 LCLS Curncy</v>
      </c>
      <c r="I117" s="61" t="str">
        <f t="shared" si="1"/>
        <v>KRWP0A05 LCLS Curncy</v>
      </c>
      <c r="J117" s="61" t="str">
        <f t="shared" si="1"/>
        <v>KRWC0A05 LCLS Curncy</v>
      </c>
      <c r="K117" s="61" t="str">
        <f t="shared" si="1"/>
        <v>KRWQ0A05 LCLS Curncy</v>
      </c>
      <c r="L117" s="61" t="str">
        <f t="shared" si="1"/>
        <v>KRWR0A05 LCLS Curncy</v>
      </c>
      <c r="M117" s="61" t="str">
        <f t="shared" si="1"/>
        <v>KRWD0A05 LCLS Curncy</v>
      </c>
      <c r="N117" s="61" t="str">
        <f t="shared" si="1"/>
        <v>KRWD0A05 LCLS Curncy</v>
      </c>
      <c r="O117" s="61" t="str">
        <f t="shared" si="1"/>
        <v xml:space="preserve"> LCLS Curncy</v>
      </c>
      <c r="Q117" s="61" t="str">
        <f>_xll.BDH(B117,$Q$2,$Q$1,$Q$1)</f>
        <v>#N/A Invalid Security</v>
      </c>
      <c r="R117" s="61" t="str">
        <f>_xll.BDH(C117,$Q$2,$Q$1,$Q$1)</f>
        <v>#N/A Invalid Security</v>
      </c>
      <c r="S117" s="61" t="str">
        <f>_xll.BDH(D117,$Q$2,$Q$1,$Q$1)</f>
        <v>#N/A Invalid Security</v>
      </c>
      <c r="T117" s="61" t="str">
        <f>_xll.BDH(E117,$Q$2,$Q$1,$Q$1)</f>
        <v>#N/A Invalid Security</v>
      </c>
      <c r="U117" s="61" t="str">
        <f>_xll.BDH(F117,$Q$2,$Q$1,$Q$1)</f>
        <v>#N/A Invalid Security</v>
      </c>
      <c r="V117" s="61" t="str">
        <f>_xll.BDH(G117,$Q$2,$Q$1,$Q$1)</f>
        <v>#N/A Invalid Security</v>
      </c>
      <c r="W117" s="61" t="str">
        <f>_xll.BDH(H117,$Q$2,$Q$1,$Q$1)</f>
        <v>#N/A Invalid Security</v>
      </c>
      <c r="X117" s="61" t="str">
        <f>_xll.BDH(I117,$Q$2,$Q$1,$Q$1)</f>
        <v>#N/A Invalid Security</v>
      </c>
      <c r="Y117" s="61" t="str">
        <f>_xll.BDH(J117,$Q$2,$Q$1,$Q$1)</f>
        <v>#N/A Invalid Security</v>
      </c>
      <c r="Z117" s="61" t="str">
        <f>_xll.BDH(K117,$Q$2,$Q$1,$Q$1)</f>
        <v>#N/A Invalid Security</v>
      </c>
      <c r="AA117" s="61" t="str">
        <f>_xll.BDH(L117,$Q$2,$Q$1,$Q$1)</f>
        <v>#N/A Invalid Security</v>
      </c>
      <c r="AB117" s="61" t="str">
        <f>_xll.BDH(M117,$Q$2,$Q$1,$Q$1)</f>
        <v>#N/A Invalid Security</v>
      </c>
      <c r="AC117" s="61" t="str">
        <f>_xll.BDH(N117,$Q$2,$Q$1,$Q$1)</f>
        <v>#N/A Invalid Security</v>
      </c>
      <c r="AD117" s="61" t="str">
        <f>_xll.BDH(P117,$Q$2,$Q$1,$Q$1)</f>
        <v>#N/A Mandatory parameter [SECURITY] cannot be empty</v>
      </c>
      <c r="AE117" s="61" t="str">
        <f>_xll.BDH(Q117,$Q$2,$Q$1,$Q$1)</f>
        <v>#N/A Invalid Security</v>
      </c>
      <c r="AF117" s="61" t="str">
        <f>_xll.BDH(R117,$Q$2,$Q$1,$Q$1)</f>
        <v>#N/A Invalid Security</v>
      </c>
    </row>
    <row r="118" spans="1:32" ht="16.5" x14ac:dyDescent="0.3">
      <c r="A118" s="63"/>
      <c r="B118" s="61" t="str">
        <f t="shared" si="1"/>
        <v>KRWA0A06 LCLS Curncy</v>
      </c>
      <c r="C118" s="61" t="str">
        <f t="shared" si="1"/>
        <v>KRWK0A06 LCLS Curncy</v>
      </c>
      <c r="D118" s="61" t="str">
        <f t="shared" si="1"/>
        <v>KRWL0A06 LCLS Curncy</v>
      </c>
      <c r="E118" s="61" t="str">
        <f t="shared" si="1"/>
        <v>KRWB0A06 LCLS Curncy</v>
      </c>
      <c r="F118" s="61" t="str">
        <f t="shared" si="1"/>
        <v>KRWM0A06 LCLS Curncy</v>
      </c>
      <c r="G118" s="61" t="str">
        <f t="shared" si="1"/>
        <v>KRWN0A06 LCLS Curncy</v>
      </c>
      <c r="H118" s="61" t="str">
        <f t="shared" si="1"/>
        <v>KRWO0A06 LCLS Curncy</v>
      </c>
      <c r="I118" s="61" t="str">
        <f t="shared" si="1"/>
        <v>KRWP0A06 LCLS Curncy</v>
      </c>
      <c r="J118" s="61" t="str">
        <f t="shared" si="1"/>
        <v>KRWC0A06 LCLS Curncy</v>
      </c>
      <c r="K118" s="61" t="str">
        <f t="shared" si="1"/>
        <v>KRWQ0A06 LCLS Curncy</v>
      </c>
      <c r="L118" s="61" t="str">
        <f t="shared" si="1"/>
        <v>KRWR0A06 LCLS Curncy</v>
      </c>
      <c r="M118" s="61" t="str">
        <f t="shared" si="1"/>
        <v>KRWD0A06 LCLS Curncy</v>
      </c>
      <c r="N118" s="61" t="str">
        <f t="shared" si="1"/>
        <v>KRWD0A06 LCLS Curncy</v>
      </c>
      <c r="O118" s="61" t="str">
        <f t="shared" si="1"/>
        <v xml:space="preserve"> LCLS Curncy</v>
      </c>
      <c r="Q118" s="61" t="str">
        <f>_xll.BDH(B118,$Q$2,$Q$1,$Q$1)</f>
        <v>#N/A Invalid Security</v>
      </c>
      <c r="R118" s="61" t="str">
        <f>_xll.BDH(C118,$Q$2,$Q$1,$Q$1)</f>
        <v>#N/A Invalid Security</v>
      </c>
      <c r="S118" s="61" t="str">
        <f>_xll.BDH(D118,$Q$2,$Q$1,$Q$1)</f>
        <v>#N/A Invalid Security</v>
      </c>
      <c r="T118" s="61" t="str">
        <f>_xll.BDH(E118,$Q$2,$Q$1,$Q$1)</f>
        <v>#N/A Invalid Security</v>
      </c>
      <c r="U118" s="61" t="str">
        <f>_xll.BDH(F118,$Q$2,$Q$1,$Q$1)</f>
        <v>#N/A Invalid Security</v>
      </c>
      <c r="V118" s="61" t="str">
        <f>_xll.BDH(G118,$Q$2,$Q$1,$Q$1)</f>
        <v>#N/A Invalid Security</v>
      </c>
      <c r="W118" s="61" t="str">
        <f>_xll.BDH(H118,$Q$2,$Q$1,$Q$1)</f>
        <v>#N/A Invalid Security</v>
      </c>
      <c r="X118" s="61" t="str">
        <f>_xll.BDH(I118,$Q$2,$Q$1,$Q$1)</f>
        <v>#N/A Invalid Security</v>
      </c>
      <c r="Y118" s="61" t="str">
        <f>_xll.BDH(J118,$Q$2,$Q$1,$Q$1)</f>
        <v>#N/A Invalid Security</v>
      </c>
      <c r="Z118" s="61" t="str">
        <f>_xll.BDH(K118,$Q$2,$Q$1,$Q$1)</f>
        <v>#N/A Invalid Security</v>
      </c>
      <c r="AA118" s="61" t="str">
        <f>_xll.BDH(L118,$Q$2,$Q$1,$Q$1)</f>
        <v>#N/A Invalid Security</v>
      </c>
      <c r="AB118" s="61" t="str">
        <f>_xll.BDH(M118,$Q$2,$Q$1,$Q$1)</f>
        <v>#N/A Invalid Security</v>
      </c>
      <c r="AC118" s="61" t="str">
        <f>_xll.BDH(N118,$Q$2,$Q$1,$Q$1)</f>
        <v>#N/A Invalid Security</v>
      </c>
      <c r="AD118" s="61" t="str">
        <f>_xll.BDH(P118,$Q$2,$Q$1,$Q$1)</f>
        <v>#N/A Mandatory parameter [SECURITY] cannot be empty</v>
      </c>
      <c r="AE118" s="61" t="str">
        <f>_xll.BDH(Q118,$Q$2,$Q$1,$Q$1)</f>
        <v>#N/A Invalid Security</v>
      </c>
      <c r="AF118" s="61" t="str">
        <f>_xll.BDH(R118,$Q$2,$Q$1,$Q$1)</f>
        <v>#N/A Invalid Security</v>
      </c>
    </row>
    <row r="119" spans="1:32" ht="16.5" x14ac:dyDescent="0.3">
      <c r="A119" s="63"/>
      <c r="B119" s="61" t="str">
        <f t="shared" si="1"/>
        <v>KRWA0A07 LCLS Curncy</v>
      </c>
      <c r="C119" s="61" t="str">
        <f t="shared" si="1"/>
        <v>KRWK0A07 LCLS Curncy</v>
      </c>
      <c r="D119" s="61" t="str">
        <f t="shared" si="1"/>
        <v>KRWL0A07 LCLS Curncy</v>
      </c>
      <c r="E119" s="61" t="str">
        <f t="shared" si="1"/>
        <v>KRWB0A07 LCLS Curncy</v>
      </c>
      <c r="F119" s="61" t="str">
        <f t="shared" si="1"/>
        <v>KRWM0A07 LCLS Curncy</v>
      </c>
      <c r="G119" s="61" t="str">
        <f t="shared" si="1"/>
        <v>KRWN0A07 LCLS Curncy</v>
      </c>
      <c r="H119" s="61" t="str">
        <f t="shared" si="1"/>
        <v>KRWO0A07 LCLS Curncy</v>
      </c>
      <c r="I119" s="61" t="str">
        <f t="shared" si="1"/>
        <v>KRWP0A07 LCLS Curncy</v>
      </c>
      <c r="J119" s="61" t="str">
        <f t="shared" si="1"/>
        <v>KRWC0A07 LCLS Curncy</v>
      </c>
      <c r="K119" s="61" t="str">
        <f t="shared" si="1"/>
        <v>KRWQ0A07 LCLS Curncy</v>
      </c>
      <c r="L119" s="61" t="str">
        <f t="shared" si="1"/>
        <v>KRWR0A07 LCLS Curncy</v>
      </c>
      <c r="M119" s="61" t="str">
        <f t="shared" si="1"/>
        <v>KRWD0A07 LCLS Curncy</v>
      </c>
      <c r="N119" s="61" t="str">
        <f t="shared" si="1"/>
        <v>KRWD0A07 LCLS Curncy</v>
      </c>
      <c r="O119" s="61" t="str">
        <f t="shared" si="1"/>
        <v xml:space="preserve"> LCLS Curncy</v>
      </c>
      <c r="Q119" s="61" t="str">
        <f>_xll.BDH(B119,$Q$2,$Q$1,$Q$1)</f>
        <v>#N/A Invalid Security</v>
      </c>
      <c r="R119" s="61" t="str">
        <f>_xll.BDH(C119,$Q$2,$Q$1,$Q$1)</f>
        <v>#N/A Invalid Security</v>
      </c>
      <c r="S119" s="61" t="str">
        <f>_xll.BDH(D119,$Q$2,$Q$1,$Q$1)</f>
        <v>#N/A Invalid Security</v>
      </c>
      <c r="T119" s="61" t="str">
        <f>_xll.BDH(E119,$Q$2,$Q$1,$Q$1)</f>
        <v>#N/A Invalid Security</v>
      </c>
      <c r="U119" s="61" t="str">
        <f>_xll.BDH(F119,$Q$2,$Q$1,$Q$1)</f>
        <v>#N/A Invalid Security</v>
      </c>
      <c r="V119" s="61" t="str">
        <f>_xll.BDH(G119,$Q$2,$Q$1,$Q$1)</f>
        <v>#N/A Invalid Security</v>
      </c>
      <c r="W119" s="61" t="str">
        <f>_xll.BDH(H119,$Q$2,$Q$1,$Q$1)</f>
        <v>#N/A Invalid Security</v>
      </c>
      <c r="X119" s="61" t="str">
        <f>_xll.BDH(I119,$Q$2,$Q$1,$Q$1)</f>
        <v>#N/A Invalid Security</v>
      </c>
      <c r="Y119" s="61" t="str">
        <f>_xll.BDH(J119,$Q$2,$Q$1,$Q$1)</f>
        <v>#N/A Invalid Security</v>
      </c>
      <c r="Z119" s="61" t="str">
        <f>_xll.BDH(K119,$Q$2,$Q$1,$Q$1)</f>
        <v>#N/A Invalid Security</v>
      </c>
      <c r="AA119" s="61" t="str">
        <f>_xll.BDH(L119,$Q$2,$Q$1,$Q$1)</f>
        <v>#N/A Invalid Security</v>
      </c>
      <c r="AB119" s="61" t="str">
        <f>_xll.BDH(M119,$Q$2,$Q$1,$Q$1)</f>
        <v>#N/A Invalid Security</v>
      </c>
      <c r="AC119" s="61" t="str">
        <f>_xll.BDH(N119,$Q$2,$Q$1,$Q$1)</f>
        <v>#N/A Invalid Security</v>
      </c>
      <c r="AD119" s="61" t="str">
        <f>_xll.BDH(P119,$Q$2,$Q$1,$Q$1)</f>
        <v>#N/A Mandatory parameter [SECURITY] cannot be empty</v>
      </c>
      <c r="AE119" s="61" t="str">
        <f>_xll.BDH(Q119,$Q$2,$Q$1,$Q$1)</f>
        <v>#N/A Invalid Security</v>
      </c>
      <c r="AF119" s="61" t="str">
        <f>_xll.BDH(R119,$Q$2,$Q$1,$Q$1)</f>
        <v>#N/A Invalid Security</v>
      </c>
    </row>
    <row r="120" spans="1:32" ht="16.5" x14ac:dyDescent="0.3">
      <c r="A120" s="63"/>
      <c r="B120" s="61" t="str">
        <f t="shared" si="1"/>
        <v>KRWA0A08 LCLS Curncy</v>
      </c>
      <c r="C120" s="61" t="str">
        <f t="shared" si="1"/>
        <v>KRWK0A08 LCLS Curncy</v>
      </c>
      <c r="D120" s="61" t="str">
        <f t="shared" si="1"/>
        <v>KRWL0A08 LCLS Curncy</v>
      </c>
      <c r="E120" s="61" t="str">
        <f t="shared" si="1"/>
        <v>KRWB0A08 LCLS Curncy</v>
      </c>
      <c r="F120" s="61" t="str">
        <f t="shared" si="1"/>
        <v>KRWM0A08 LCLS Curncy</v>
      </c>
      <c r="G120" s="61" t="str">
        <f t="shared" si="1"/>
        <v>KRWN0A08 LCLS Curncy</v>
      </c>
      <c r="H120" s="61" t="str">
        <f t="shared" si="1"/>
        <v>KRWO0A08 LCLS Curncy</v>
      </c>
      <c r="I120" s="61" t="str">
        <f t="shared" si="1"/>
        <v>KRWP0A08 LCLS Curncy</v>
      </c>
      <c r="J120" s="61" t="str">
        <f t="shared" si="1"/>
        <v>KRWC0A08 LCLS Curncy</v>
      </c>
      <c r="K120" s="61" t="str">
        <f t="shared" si="1"/>
        <v>KRWQ0A08 LCLS Curncy</v>
      </c>
      <c r="L120" s="61" t="str">
        <f t="shared" si="1"/>
        <v>KRWR0A08 LCLS Curncy</v>
      </c>
      <c r="M120" s="61" t="str">
        <f t="shared" si="1"/>
        <v>KRWD0A08 LCLS Curncy</v>
      </c>
      <c r="N120" s="61" t="str">
        <f t="shared" si="1"/>
        <v>KRWD0A08 LCLS Curncy</v>
      </c>
      <c r="O120" s="61" t="str">
        <f t="shared" si="1"/>
        <v xml:space="preserve"> LCLS Curncy</v>
      </c>
      <c r="Q120" s="61" t="str">
        <f>_xll.BDH(B120,$Q$2,$Q$1,$Q$1)</f>
        <v>#N/A Invalid Security</v>
      </c>
      <c r="R120" s="61" t="str">
        <f>_xll.BDH(C120,$Q$2,$Q$1,$Q$1)</f>
        <v>#N/A Invalid Security</v>
      </c>
      <c r="S120" s="61" t="str">
        <f>_xll.BDH(D120,$Q$2,$Q$1,$Q$1)</f>
        <v>#N/A Invalid Security</v>
      </c>
      <c r="T120" s="61" t="str">
        <f>_xll.BDH(E120,$Q$2,$Q$1,$Q$1)</f>
        <v>#N/A Invalid Security</v>
      </c>
      <c r="U120" s="61" t="str">
        <f>_xll.BDH(F120,$Q$2,$Q$1,$Q$1)</f>
        <v>#N/A Invalid Security</v>
      </c>
      <c r="V120" s="61" t="str">
        <f>_xll.BDH(G120,$Q$2,$Q$1,$Q$1)</f>
        <v>#N/A Invalid Security</v>
      </c>
      <c r="W120" s="61" t="str">
        <f>_xll.BDH(H120,$Q$2,$Q$1,$Q$1)</f>
        <v>#N/A Invalid Security</v>
      </c>
      <c r="X120" s="61" t="str">
        <f>_xll.BDH(I120,$Q$2,$Q$1,$Q$1)</f>
        <v>#N/A Invalid Security</v>
      </c>
      <c r="Y120" s="61" t="str">
        <f>_xll.BDH(J120,$Q$2,$Q$1,$Q$1)</f>
        <v>#N/A Invalid Security</v>
      </c>
      <c r="Z120" s="61" t="str">
        <f>_xll.BDH(K120,$Q$2,$Q$1,$Q$1)</f>
        <v>#N/A Invalid Security</v>
      </c>
      <c r="AA120" s="61" t="str">
        <f>_xll.BDH(L120,$Q$2,$Q$1,$Q$1)</f>
        <v>#N/A Invalid Security</v>
      </c>
      <c r="AB120" s="61" t="str">
        <f>_xll.BDH(M120,$Q$2,$Q$1,$Q$1)</f>
        <v>#N/A Invalid Security</v>
      </c>
      <c r="AC120" s="61" t="str">
        <f>_xll.BDH(N120,$Q$2,$Q$1,$Q$1)</f>
        <v>#N/A Invalid Security</v>
      </c>
      <c r="AD120" s="61" t="str">
        <f>_xll.BDH(P120,$Q$2,$Q$1,$Q$1)</f>
        <v>#N/A Mandatory parameter [SECURITY] cannot be empty</v>
      </c>
      <c r="AE120" s="61" t="str">
        <f>_xll.BDH(Q120,$Q$2,$Q$1,$Q$1)</f>
        <v>#N/A Invalid Security</v>
      </c>
      <c r="AF120" s="61" t="str">
        <f>_xll.BDH(R120,$Q$2,$Q$1,$Q$1)</f>
        <v>#N/A Invalid Security</v>
      </c>
    </row>
    <row r="121" spans="1:32" ht="16.5" x14ac:dyDescent="0.3">
      <c r="A121" s="63"/>
      <c r="B121" s="61" t="str">
        <f t="shared" si="1"/>
        <v>KRWA0A09 LCLS Curncy</v>
      </c>
      <c r="C121" s="61" t="str">
        <f t="shared" si="1"/>
        <v>KRWK0A09 LCLS Curncy</v>
      </c>
      <c r="D121" s="61" t="str">
        <f t="shared" si="1"/>
        <v>KRWL0A09 LCLS Curncy</v>
      </c>
      <c r="E121" s="61" t="str">
        <f t="shared" si="1"/>
        <v>KRWB0A09 LCLS Curncy</v>
      </c>
      <c r="F121" s="61" t="str">
        <f t="shared" si="1"/>
        <v>KRWM0A09 LCLS Curncy</v>
      </c>
      <c r="G121" s="61" t="str">
        <f t="shared" si="1"/>
        <v>KRWN0A09 LCLS Curncy</v>
      </c>
      <c r="H121" s="61" t="str">
        <f t="shared" si="1"/>
        <v>KRWO0A09 LCLS Curncy</v>
      </c>
      <c r="I121" s="61" t="str">
        <f t="shared" si="1"/>
        <v>KRWP0A09 LCLS Curncy</v>
      </c>
      <c r="J121" s="61" t="str">
        <f t="shared" si="1"/>
        <v>KRWC0A09 LCLS Curncy</v>
      </c>
      <c r="K121" s="61" t="str">
        <f t="shared" si="1"/>
        <v>KRWQ0A09 LCLS Curncy</v>
      </c>
      <c r="L121" s="61" t="str">
        <f t="shared" si="1"/>
        <v>KRWR0A09 LCLS Curncy</v>
      </c>
      <c r="M121" s="61" t="str">
        <f t="shared" si="1"/>
        <v>KRWD0A09 LCLS Curncy</v>
      </c>
      <c r="N121" s="61" t="str">
        <f t="shared" si="1"/>
        <v>KRWD0A09 LCLS Curncy</v>
      </c>
      <c r="O121" s="61" t="str">
        <f t="shared" si="1"/>
        <v xml:space="preserve"> LCLS Curncy</v>
      </c>
      <c r="Q121" s="61" t="str">
        <f>_xll.BDH(B121,$Q$2,$Q$1,$Q$1)</f>
        <v>#N/A Invalid Security</v>
      </c>
      <c r="R121" s="61" t="str">
        <f>_xll.BDH(C121,$Q$2,$Q$1,$Q$1)</f>
        <v>#N/A Invalid Security</v>
      </c>
      <c r="S121" s="61" t="str">
        <f>_xll.BDH(D121,$Q$2,$Q$1,$Q$1)</f>
        <v>#N/A Invalid Security</v>
      </c>
      <c r="T121" s="61" t="str">
        <f>_xll.BDH(E121,$Q$2,$Q$1,$Q$1)</f>
        <v>#N/A Invalid Security</v>
      </c>
      <c r="U121" s="61" t="str">
        <f>_xll.BDH(F121,$Q$2,$Q$1,$Q$1)</f>
        <v>#N/A Invalid Security</v>
      </c>
      <c r="V121" s="61" t="str">
        <f>_xll.BDH(G121,$Q$2,$Q$1,$Q$1)</f>
        <v>#N/A Invalid Security</v>
      </c>
      <c r="W121" s="61" t="str">
        <f>_xll.BDH(H121,$Q$2,$Q$1,$Q$1)</f>
        <v>#N/A Invalid Security</v>
      </c>
      <c r="X121" s="61" t="str">
        <f>_xll.BDH(I121,$Q$2,$Q$1,$Q$1)</f>
        <v>#N/A Invalid Security</v>
      </c>
      <c r="Y121" s="61" t="str">
        <f>_xll.BDH(J121,$Q$2,$Q$1,$Q$1)</f>
        <v>#N/A Invalid Security</v>
      </c>
      <c r="Z121" s="61" t="str">
        <f>_xll.BDH(K121,$Q$2,$Q$1,$Q$1)</f>
        <v>#N/A Invalid Security</v>
      </c>
      <c r="AA121" s="61" t="str">
        <f>_xll.BDH(L121,$Q$2,$Q$1,$Q$1)</f>
        <v>#N/A Invalid Security</v>
      </c>
      <c r="AB121" s="61" t="str">
        <f>_xll.BDH(M121,$Q$2,$Q$1,$Q$1)</f>
        <v>#N/A Invalid Security</v>
      </c>
      <c r="AC121" s="61" t="str">
        <f>_xll.BDH(N121,$Q$2,$Q$1,$Q$1)</f>
        <v>#N/A Invalid Security</v>
      </c>
      <c r="AD121" s="61" t="str">
        <f>_xll.BDH(P121,$Q$2,$Q$1,$Q$1)</f>
        <v>#N/A Mandatory parameter [SECURITY] cannot be empty</v>
      </c>
      <c r="AE121" s="61" t="str">
        <f>_xll.BDH(Q121,$Q$2,$Q$1,$Q$1)</f>
        <v>#N/A Invalid Security</v>
      </c>
      <c r="AF121" s="61" t="str">
        <f>_xll.BDH(R121,$Q$2,$Q$1,$Q$1)</f>
        <v>#N/A Invalid Security</v>
      </c>
    </row>
    <row r="122" spans="1:32" ht="16.5" x14ac:dyDescent="0.3">
      <c r="A122" s="63"/>
      <c r="B122" s="61" t="str">
        <f t="shared" si="1"/>
        <v>KRWA0A10 LCLS Curncy</v>
      </c>
      <c r="C122" s="61" t="str">
        <f t="shared" si="1"/>
        <v>KRWK0A10 LCLS Curncy</v>
      </c>
      <c r="D122" s="61" t="str">
        <f t="shared" si="1"/>
        <v>KRWL0A10 LCLS Curncy</v>
      </c>
      <c r="E122" s="61" t="str">
        <f t="shared" si="1"/>
        <v>KRWB0A10 LCLS Curncy</v>
      </c>
      <c r="F122" s="61" t="str">
        <f t="shared" si="1"/>
        <v>KRWM0A10 LCLS Curncy</v>
      </c>
      <c r="G122" s="61" t="str">
        <f t="shared" si="1"/>
        <v>KRWN0A10 LCLS Curncy</v>
      </c>
      <c r="H122" s="61" t="str">
        <f t="shared" si="1"/>
        <v>KRWO0A10 LCLS Curncy</v>
      </c>
      <c r="I122" s="61" t="str">
        <f t="shared" si="1"/>
        <v>KRWP0A10 LCLS Curncy</v>
      </c>
      <c r="J122" s="61" t="str">
        <f t="shared" si="1"/>
        <v>KRWC0A10 LCLS Curncy</v>
      </c>
      <c r="K122" s="61" t="str">
        <f t="shared" si="1"/>
        <v>KRWQ0A10 LCLS Curncy</v>
      </c>
      <c r="L122" s="61" t="str">
        <f t="shared" si="1"/>
        <v>KRWR0A10 LCLS Curncy</v>
      </c>
      <c r="M122" s="61" t="str">
        <f t="shared" si="1"/>
        <v>KRWD0A10 LCLS Curncy</v>
      </c>
      <c r="N122" s="61" t="str">
        <f t="shared" si="1"/>
        <v>KRWD0A10 LCLS Curncy</v>
      </c>
      <c r="O122" s="61" t="str">
        <f t="shared" si="1"/>
        <v xml:space="preserve"> LCLS Curncy</v>
      </c>
      <c r="Q122" s="61" t="str">
        <f>_xll.BDH(B122,$Q$2,$Q$1,$Q$1)</f>
        <v>#N/A Invalid Security</v>
      </c>
      <c r="R122" s="61" t="str">
        <f>_xll.BDH(C122,$Q$2,$Q$1,$Q$1)</f>
        <v>#N/A Invalid Security</v>
      </c>
      <c r="S122" s="61" t="str">
        <f>_xll.BDH(D122,$Q$2,$Q$1,$Q$1)</f>
        <v>#N/A Invalid Security</v>
      </c>
      <c r="T122" s="61" t="str">
        <f>_xll.BDH(E122,$Q$2,$Q$1,$Q$1)</f>
        <v>#N/A Invalid Security</v>
      </c>
      <c r="U122" s="61" t="str">
        <f>_xll.BDH(F122,$Q$2,$Q$1,$Q$1)</f>
        <v>#N/A Invalid Security</v>
      </c>
      <c r="V122" s="61" t="str">
        <f>_xll.BDH(G122,$Q$2,$Q$1,$Q$1)</f>
        <v>#N/A Invalid Security</v>
      </c>
      <c r="W122" s="61" t="str">
        <f>_xll.BDH(H122,$Q$2,$Q$1,$Q$1)</f>
        <v>#N/A Invalid Security</v>
      </c>
      <c r="X122" s="61" t="str">
        <f>_xll.BDH(I122,$Q$2,$Q$1,$Q$1)</f>
        <v>#N/A Invalid Security</v>
      </c>
      <c r="Y122" s="61" t="str">
        <f>_xll.BDH(J122,$Q$2,$Q$1,$Q$1)</f>
        <v>#N/A Invalid Security</v>
      </c>
      <c r="Z122" s="61" t="str">
        <f>_xll.BDH(K122,$Q$2,$Q$1,$Q$1)</f>
        <v>#N/A Invalid Security</v>
      </c>
      <c r="AA122" s="61" t="str">
        <f>_xll.BDH(L122,$Q$2,$Q$1,$Q$1)</f>
        <v>#N/A Invalid Security</v>
      </c>
      <c r="AB122" s="61" t="str">
        <f>_xll.BDH(M122,$Q$2,$Q$1,$Q$1)</f>
        <v>#N/A Invalid Security</v>
      </c>
      <c r="AC122" s="61" t="str">
        <f>_xll.BDH(N122,$Q$2,$Q$1,$Q$1)</f>
        <v>#N/A Invalid Security</v>
      </c>
      <c r="AD122" s="61" t="str">
        <f>_xll.BDH(P122,$Q$2,$Q$1,$Q$1)</f>
        <v>#N/A Mandatory parameter [SECURITY] cannot be empty</v>
      </c>
      <c r="AE122" s="61" t="str">
        <f>_xll.BDH(Q122,$Q$2,$Q$1,$Q$1)</f>
        <v>#N/A Invalid Security</v>
      </c>
      <c r="AF122" s="61" t="str">
        <f>_xll.BDH(R122,$Q$2,$Q$1,$Q$1)</f>
        <v>#N/A Invalid Security</v>
      </c>
    </row>
    <row r="123" spans="1:32" ht="16.5" x14ac:dyDescent="0.3">
      <c r="A123" s="63"/>
      <c r="B123" s="61" t="str">
        <f t="shared" si="1"/>
        <v>KRWA0A15 LCLS Curncy</v>
      </c>
      <c r="C123" s="61" t="str">
        <f t="shared" si="1"/>
        <v>KRWK0A15 LCLS Curncy</v>
      </c>
      <c r="D123" s="61" t="str">
        <f t="shared" si="1"/>
        <v>KRWL0A15 LCLS Curncy</v>
      </c>
      <c r="E123" s="61" t="str">
        <f t="shared" si="1"/>
        <v>KRWB0A15 LCLS Curncy</v>
      </c>
      <c r="F123" s="61" t="str">
        <f t="shared" si="1"/>
        <v>KRWM0A15 LCLS Curncy</v>
      </c>
      <c r="G123" s="61" t="str">
        <f t="shared" si="1"/>
        <v>KRWN0A15 LCLS Curncy</v>
      </c>
      <c r="H123" s="61" t="str">
        <f t="shared" si="1"/>
        <v>KRWO0A15 LCLS Curncy</v>
      </c>
      <c r="I123" s="61" t="str">
        <f t="shared" si="1"/>
        <v>KRWP0A15 LCLS Curncy</v>
      </c>
      <c r="J123" s="61" t="str">
        <f t="shared" si="1"/>
        <v>KRWC0A15 LCLS Curncy</v>
      </c>
      <c r="K123" s="61" t="str">
        <f t="shared" si="1"/>
        <v>KRWQ0A15 LCLS Curncy</v>
      </c>
      <c r="L123" s="61" t="str">
        <f t="shared" si="1"/>
        <v>KRWR0A15 LCLS Curncy</v>
      </c>
      <c r="M123" s="61" t="str">
        <f t="shared" si="1"/>
        <v>KRWD0A15 LCLS Curncy</v>
      </c>
      <c r="N123" s="61" t="str">
        <f t="shared" si="1"/>
        <v>KRWD0A15 LCLS Curncy</v>
      </c>
      <c r="O123" s="61" t="str">
        <f t="shared" si="1"/>
        <v xml:space="preserve"> LCLS Curncy</v>
      </c>
      <c r="Q123" s="61" t="str">
        <f>_xll.BDH(B123,$Q$2,$Q$1,$Q$1)</f>
        <v>#N/A Invalid Security</v>
      </c>
      <c r="R123" s="61" t="str">
        <f>_xll.BDH(C123,$Q$2,$Q$1,$Q$1)</f>
        <v>#N/A Invalid Security</v>
      </c>
      <c r="S123" s="61" t="str">
        <f>_xll.BDH(D123,$Q$2,$Q$1,$Q$1)</f>
        <v>#N/A Invalid Security</v>
      </c>
      <c r="T123" s="61" t="str">
        <f>_xll.BDH(E123,$Q$2,$Q$1,$Q$1)</f>
        <v>#N/A Invalid Security</v>
      </c>
      <c r="U123" s="61" t="str">
        <f>_xll.BDH(F123,$Q$2,$Q$1,$Q$1)</f>
        <v>#N/A Invalid Security</v>
      </c>
      <c r="V123" s="61" t="str">
        <f>_xll.BDH(G123,$Q$2,$Q$1,$Q$1)</f>
        <v>#N/A Invalid Security</v>
      </c>
      <c r="W123" s="61" t="str">
        <f>_xll.BDH(H123,$Q$2,$Q$1,$Q$1)</f>
        <v>#N/A Invalid Security</v>
      </c>
      <c r="X123" s="61" t="str">
        <f>_xll.BDH(I123,$Q$2,$Q$1,$Q$1)</f>
        <v>#N/A Invalid Security</v>
      </c>
      <c r="Y123" s="61" t="str">
        <f>_xll.BDH(J123,$Q$2,$Q$1,$Q$1)</f>
        <v>#N/A Invalid Security</v>
      </c>
      <c r="Z123" s="61" t="str">
        <f>_xll.BDH(K123,$Q$2,$Q$1,$Q$1)</f>
        <v>#N/A Invalid Security</v>
      </c>
      <c r="AA123" s="61" t="str">
        <f>_xll.BDH(L123,$Q$2,$Q$1,$Q$1)</f>
        <v>#N/A Invalid Security</v>
      </c>
      <c r="AB123" s="61" t="str">
        <f>_xll.BDH(M123,$Q$2,$Q$1,$Q$1)</f>
        <v>#N/A Invalid Security</v>
      </c>
      <c r="AC123" s="61" t="str">
        <f>_xll.BDH(N123,$Q$2,$Q$1,$Q$1)</f>
        <v>#N/A Invalid Security</v>
      </c>
      <c r="AD123" s="61" t="str">
        <f>_xll.BDH(P123,$Q$2,$Q$1,$Q$1)</f>
        <v>#N/A Mandatory parameter [SECURITY] cannot be empty</v>
      </c>
      <c r="AE123" s="61" t="str">
        <f>_xll.BDH(Q123,$Q$2,$Q$1,$Q$1)</f>
        <v>#N/A Invalid Security</v>
      </c>
      <c r="AF123" s="61" t="str">
        <f>_xll.BDH(R123,$Q$2,$Q$1,$Q$1)</f>
        <v>#N/A Invalid Security</v>
      </c>
    </row>
    <row r="124" spans="1:32" ht="16.5" x14ac:dyDescent="0.3">
      <c r="A124" s="63"/>
      <c r="B124" s="61" t="str">
        <f t="shared" si="1"/>
        <v>KRWA0A20 LCLS Curncy</v>
      </c>
      <c r="C124" s="61" t="str">
        <f t="shared" si="1"/>
        <v>KRWK0A20 LCLS Curncy</v>
      </c>
      <c r="D124" s="61" t="str">
        <f t="shared" si="1"/>
        <v>KRWL0A20 LCLS Curncy</v>
      </c>
      <c r="E124" s="61" t="str">
        <f t="shared" si="1"/>
        <v>KRWB0A20 LCLS Curncy</v>
      </c>
      <c r="F124" s="61" t="str">
        <f t="shared" si="1"/>
        <v>KRWM0A20 LCLS Curncy</v>
      </c>
      <c r="G124" s="61" t="str">
        <f t="shared" si="1"/>
        <v>KRWN0A20 LCLS Curncy</v>
      </c>
      <c r="H124" s="61" t="str">
        <f t="shared" si="1"/>
        <v>KRWO0A20 LCLS Curncy</v>
      </c>
      <c r="I124" s="61" t="str">
        <f t="shared" si="1"/>
        <v>KRWP0A20 LCLS Curncy</v>
      </c>
      <c r="J124" s="61" t="str">
        <f t="shared" si="1"/>
        <v>KRWC0A20 LCLS Curncy</v>
      </c>
      <c r="K124" s="61" t="str">
        <f t="shared" si="1"/>
        <v>KRWQ0A20 LCLS Curncy</v>
      </c>
      <c r="L124" s="61" t="str">
        <f t="shared" si="1"/>
        <v>KRWR0A20 LCLS Curncy</v>
      </c>
      <c r="M124" s="61" t="str">
        <f t="shared" si="1"/>
        <v>KRWD0A20 LCLS Curncy</v>
      </c>
      <c r="N124" s="61" t="str">
        <f t="shared" si="1"/>
        <v>KRWD0A20 LCLS Curncy</v>
      </c>
      <c r="O124" s="61" t="str">
        <f t="shared" si="1"/>
        <v xml:space="preserve"> LCLS Curncy</v>
      </c>
      <c r="Q124" s="61" t="str">
        <f>_xll.BDH(B124,$Q$2,$Q$1,$Q$1)</f>
        <v>#N/A Invalid Security</v>
      </c>
      <c r="R124" s="61" t="str">
        <f>_xll.BDH(C124,$Q$2,$Q$1,$Q$1)</f>
        <v>#N/A Invalid Security</v>
      </c>
      <c r="S124" s="61" t="str">
        <f>_xll.BDH(D124,$Q$2,$Q$1,$Q$1)</f>
        <v>#N/A Invalid Security</v>
      </c>
      <c r="T124" s="61" t="str">
        <f>_xll.BDH(E124,$Q$2,$Q$1,$Q$1)</f>
        <v>#N/A Invalid Security</v>
      </c>
      <c r="U124" s="61" t="str">
        <f>_xll.BDH(F124,$Q$2,$Q$1,$Q$1)</f>
        <v>#N/A Invalid Security</v>
      </c>
      <c r="V124" s="61" t="str">
        <f>_xll.BDH(G124,$Q$2,$Q$1,$Q$1)</f>
        <v>#N/A Invalid Security</v>
      </c>
      <c r="W124" s="61" t="str">
        <f>_xll.BDH(H124,$Q$2,$Q$1,$Q$1)</f>
        <v>#N/A Invalid Security</v>
      </c>
      <c r="X124" s="61" t="str">
        <f>_xll.BDH(I124,$Q$2,$Q$1,$Q$1)</f>
        <v>#N/A Invalid Security</v>
      </c>
      <c r="Y124" s="61" t="str">
        <f>_xll.BDH(J124,$Q$2,$Q$1,$Q$1)</f>
        <v>#N/A Invalid Security</v>
      </c>
      <c r="Z124" s="61" t="str">
        <f>_xll.BDH(K124,$Q$2,$Q$1,$Q$1)</f>
        <v>#N/A Invalid Security</v>
      </c>
      <c r="AA124" s="61" t="str">
        <f>_xll.BDH(L124,$Q$2,$Q$1,$Q$1)</f>
        <v>#N/A Invalid Security</v>
      </c>
      <c r="AB124" s="61" t="str">
        <f>_xll.BDH(M124,$Q$2,$Q$1,$Q$1)</f>
        <v>#N/A Invalid Security</v>
      </c>
      <c r="AC124" s="61" t="str">
        <f>_xll.BDH(N124,$Q$2,$Q$1,$Q$1)</f>
        <v>#N/A Invalid Security</v>
      </c>
      <c r="AD124" s="61" t="str">
        <f>_xll.BDH(P124,$Q$2,$Q$1,$Q$1)</f>
        <v>#N/A Mandatory parameter [SECURITY] cannot be empty</v>
      </c>
      <c r="AE124" s="61" t="str">
        <f>_xll.BDH(Q124,$Q$2,$Q$1,$Q$1)</f>
        <v>#N/A Invalid Security</v>
      </c>
      <c r="AF124" s="61" t="str">
        <f>_xll.BDH(R124,$Q$2,$Q$1,$Q$1)</f>
        <v>#N/A Invalid Security</v>
      </c>
    </row>
    <row r="125" spans="1:32" ht="16.5" x14ac:dyDescent="0.3">
      <c r="A125" s="63"/>
      <c r="B125" s="61" t="str">
        <f t="shared" si="1"/>
        <v>KRWA0C01 LCLS Curncy</v>
      </c>
      <c r="C125" s="61" t="str">
        <f t="shared" si="1"/>
        <v>KRWK0C01 LCLS Curncy</v>
      </c>
      <c r="D125" s="61" t="str">
        <f t="shared" si="1"/>
        <v>KRWL0C01 LCLS Curncy</v>
      </c>
      <c r="E125" s="61" t="str">
        <f t="shared" si="1"/>
        <v>KRWB0C01 LCLS Curncy</v>
      </c>
      <c r="F125" s="61" t="str">
        <f t="shared" si="1"/>
        <v>KRWM0C01 LCLS Curncy</v>
      </c>
      <c r="G125" s="61" t="str">
        <f t="shared" si="1"/>
        <v>KRWN0C01 LCLS Curncy</v>
      </c>
      <c r="H125" s="61" t="str">
        <f t="shared" si="1"/>
        <v>KRWO0C01 LCLS Curncy</v>
      </c>
      <c r="I125" s="61" t="str">
        <f t="shared" si="1"/>
        <v>KRWP0C01 LCLS Curncy</v>
      </c>
      <c r="J125" s="61" t="str">
        <f t="shared" si="1"/>
        <v>KRWC0C01 LCLS Curncy</v>
      </c>
      <c r="K125" s="61" t="str">
        <f t="shared" si="1"/>
        <v>KRWQ0C01 LCLS Curncy</v>
      </c>
      <c r="L125" s="61" t="str">
        <f t="shared" si="1"/>
        <v>KRWR0C01 LCLS Curncy</v>
      </c>
      <c r="M125" s="61" t="str">
        <f t="shared" si="1"/>
        <v>KRWD0C01 LCLS Curncy</v>
      </c>
      <c r="N125" s="61" t="str">
        <f t="shared" si="1"/>
        <v>KRWD0C01 LCLS Curncy</v>
      </c>
      <c r="O125" s="61" t="str">
        <f t="shared" si="1"/>
        <v xml:space="preserve"> LCLS Curncy</v>
      </c>
      <c r="Q125" s="61" t="str">
        <f>_xll.BDH(B125,$Q$2,$Q$1,$Q$1)</f>
        <v>#N/A Invalid Security</v>
      </c>
      <c r="R125" s="61" t="str">
        <f>_xll.BDH(C125,$Q$2,$Q$1,$Q$1)</f>
        <v>#N/A Invalid Security</v>
      </c>
      <c r="S125" s="61" t="str">
        <f>_xll.BDH(D125,$Q$2,$Q$1,$Q$1)</f>
        <v>#N/A Invalid Security</v>
      </c>
      <c r="T125" s="61" t="str">
        <f>_xll.BDH(E125,$Q$2,$Q$1,$Q$1)</f>
        <v>#N/A Invalid Security</v>
      </c>
      <c r="U125" s="61" t="str">
        <f>_xll.BDH(F125,$Q$2,$Q$1,$Q$1)</f>
        <v>#N/A Invalid Security</v>
      </c>
      <c r="V125" s="61" t="str">
        <f>_xll.BDH(G125,$Q$2,$Q$1,$Q$1)</f>
        <v>#N/A Invalid Security</v>
      </c>
      <c r="W125" s="61" t="str">
        <f>_xll.BDH(H125,$Q$2,$Q$1,$Q$1)</f>
        <v>#N/A Invalid Security</v>
      </c>
      <c r="X125" s="61" t="str">
        <f>_xll.BDH(I125,$Q$2,$Q$1,$Q$1)</f>
        <v>#N/A Invalid Security</v>
      </c>
      <c r="Y125" s="61" t="str">
        <f>_xll.BDH(J125,$Q$2,$Q$1,$Q$1)</f>
        <v>#N/A Invalid Security</v>
      </c>
      <c r="Z125" s="61" t="str">
        <f>_xll.BDH(K125,$Q$2,$Q$1,$Q$1)</f>
        <v>#N/A Invalid Security</v>
      </c>
      <c r="AA125" s="61" t="str">
        <f>_xll.BDH(L125,$Q$2,$Q$1,$Q$1)</f>
        <v>#N/A Invalid Security</v>
      </c>
      <c r="AB125" s="61" t="str">
        <f>_xll.BDH(M125,$Q$2,$Q$1,$Q$1)</f>
        <v>#N/A Invalid Security</v>
      </c>
      <c r="AC125" s="61" t="str">
        <f>_xll.BDH(N125,$Q$2,$Q$1,$Q$1)</f>
        <v>#N/A Invalid Security</v>
      </c>
      <c r="AD125" s="61" t="str">
        <f>_xll.BDH(P125,$Q$2,$Q$1,$Q$1)</f>
        <v>#N/A Mandatory parameter [SECURITY] cannot be empty</v>
      </c>
      <c r="AE125" s="61" t="str">
        <f>_xll.BDH(Q125,$Q$2,$Q$1,$Q$1)</f>
        <v>#N/A Invalid Security</v>
      </c>
      <c r="AF125" s="61" t="str">
        <f>_xll.BDH(R125,$Q$2,$Q$1,$Q$1)</f>
        <v>#N/A Invalid Security</v>
      </c>
    </row>
    <row r="126" spans="1:32" ht="16.5" x14ac:dyDescent="0.3">
      <c r="A126" s="63"/>
      <c r="B126" s="61" t="str">
        <f t="shared" si="1"/>
        <v>KRWA0C02 LCLS Curncy</v>
      </c>
      <c r="C126" s="61" t="str">
        <f t="shared" si="1"/>
        <v>KRWK0C02 LCLS Curncy</v>
      </c>
      <c r="D126" s="61" t="str">
        <f t="shared" si="1"/>
        <v>KRWL0C02 LCLS Curncy</v>
      </c>
      <c r="E126" s="61" t="str">
        <f t="shared" si="1"/>
        <v>KRWB0C02 LCLS Curncy</v>
      </c>
      <c r="F126" s="61" t="str">
        <f t="shared" si="1"/>
        <v>KRWM0C02 LCLS Curncy</v>
      </c>
      <c r="G126" s="61" t="str">
        <f t="shared" si="1"/>
        <v>KRWN0C02 LCLS Curncy</v>
      </c>
      <c r="H126" s="61" t="str">
        <f t="shared" si="1"/>
        <v>KRWO0C02 LCLS Curncy</v>
      </c>
      <c r="I126" s="61" t="str">
        <f t="shared" si="1"/>
        <v>KRWP0C02 LCLS Curncy</v>
      </c>
      <c r="J126" s="61" t="str">
        <f t="shared" si="1"/>
        <v>KRWC0C02 LCLS Curncy</v>
      </c>
      <c r="K126" s="61" t="str">
        <f t="shared" si="1"/>
        <v>KRWQ0C02 LCLS Curncy</v>
      </c>
      <c r="L126" s="61" t="str">
        <f t="shared" si="1"/>
        <v>KRWR0C02 LCLS Curncy</v>
      </c>
      <c r="M126" s="61" t="str">
        <f t="shared" si="1"/>
        <v>KRWD0C02 LCLS Curncy</v>
      </c>
      <c r="N126" s="61" t="str">
        <f t="shared" si="1"/>
        <v>KRWD0C02 LCLS Curncy</v>
      </c>
      <c r="O126" s="61" t="str">
        <f t="shared" si="1"/>
        <v xml:space="preserve"> LCLS Curncy</v>
      </c>
      <c r="Q126" s="61" t="str">
        <f>_xll.BDH(B126,$Q$2,$Q$1,$Q$1)</f>
        <v>#N/A Invalid Security</v>
      </c>
      <c r="R126" s="61" t="str">
        <f>_xll.BDH(C126,$Q$2,$Q$1,$Q$1)</f>
        <v>#N/A Invalid Security</v>
      </c>
      <c r="S126" s="61" t="str">
        <f>_xll.BDH(D126,$Q$2,$Q$1,$Q$1)</f>
        <v>#N/A Invalid Security</v>
      </c>
      <c r="T126" s="61" t="str">
        <f>_xll.BDH(E126,$Q$2,$Q$1,$Q$1)</f>
        <v>#N/A Invalid Security</v>
      </c>
      <c r="U126" s="61" t="str">
        <f>_xll.BDH(F126,$Q$2,$Q$1,$Q$1)</f>
        <v>#N/A Invalid Security</v>
      </c>
      <c r="V126" s="61" t="str">
        <f>_xll.BDH(G126,$Q$2,$Q$1,$Q$1)</f>
        <v>#N/A Invalid Security</v>
      </c>
      <c r="W126" s="61" t="str">
        <f>_xll.BDH(H126,$Q$2,$Q$1,$Q$1)</f>
        <v>#N/A Invalid Security</v>
      </c>
      <c r="X126" s="61" t="str">
        <f>_xll.BDH(I126,$Q$2,$Q$1,$Q$1)</f>
        <v>#N/A Invalid Security</v>
      </c>
      <c r="Y126" s="61" t="str">
        <f>_xll.BDH(J126,$Q$2,$Q$1,$Q$1)</f>
        <v>#N/A Invalid Security</v>
      </c>
      <c r="Z126" s="61" t="str">
        <f>_xll.BDH(K126,$Q$2,$Q$1,$Q$1)</f>
        <v>#N/A Invalid Security</v>
      </c>
      <c r="AA126" s="61" t="str">
        <f>_xll.BDH(L126,$Q$2,$Q$1,$Q$1)</f>
        <v>#N/A Invalid Security</v>
      </c>
      <c r="AB126" s="61" t="str">
        <f>_xll.BDH(M126,$Q$2,$Q$1,$Q$1)</f>
        <v>#N/A Invalid Security</v>
      </c>
      <c r="AC126" s="61" t="str">
        <f>_xll.BDH(N126,$Q$2,$Q$1,$Q$1)</f>
        <v>#N/A Invalid Security</v>
      </c>
      <c r="AD126" s="61" t="str">
        <f>_xll.BDH(P126,$Q$2,$Q$1,$Q$1)</f>
        <v>#N/A Mandatory parameter [SECURITY] cannot be empty</v>
      </c>
      <c r="AE126" s="61" t="str">
        <f>_xll.BDH(Q126,$Q$2,$Q$1,$Q$1)</f>
        <v>#N/A Invalid Security</v>
      </c>
      <c r="AF126" s="61" t="str">
        <f>_xll.BDH(R126,$Q$2,$Q$1,$Q$1)</f>
        <v>#N/A Invalid Security</v>
      </c>
    </row>
    <row r="127" spans="1:32" ht="16.5" x14ac:dyDescent="0.3">
      <c r="A127" s="63"/>
      <c r="B127" s="61" t="str">
        <f t="shared" si="1"/>
        <v>KRWA0C03 LCLS Curncy</v>
      </c>
      <c r="C127" s="61" t="str">
        <f t="shared" si="1"/>
        <v>KRWK0C03 LCLS Curncy</v>
      </c>
      <c r="D127" s="61" t="str">
        <f t="shared" si="1"/>
        <v>KRWL0C03 LCLS Curncy</v>
      </c>
      <c r="E127" s="61" t="str">
        <f t="shared" si="1"/>
        <v>KRWB0C03 LCLS Curncy</v>
      </c>
      <c r="F127" s="61" t="str">
        <f t="shared" si="1"/>
        <v>KRWM0C03 LCLS Curncy</v>
      </c>
      <c r="G127" s="61" t="str">
        <f t="shared" si="1"/>
        <v>KRWN0C03 LCLS Curncy</v>
      </c>
      <c r="H127" s="61" t="str">
        <f t="shared" si="1"/>
        <v>KRWO0C03 LCLS Curncy</v>
      </c>
      <c r="I127" s="61" t="str">
        <f t="shared" si="1"/>
        <v>KRWP0C03 LCLS Curncy</v>
      </c>
      <c r="J127" s="61" t="str">
        <f t="shared" si="1"/>
        <v>KRWC0C03 LCLS Curncy</v>
      </c>
      <c r="K127" s="61" t="str">
        <f t="shared" si="1"/>
        <v>KRWQ0C03 LCLS Curncy</v>
      </c>
      <c r="L127" s="61" t="str">
        <f t="shared" si="1"/>
        <v>KRWR0C03 LCLS Curncy</v>
      </c>
      <c r="M127" s="61" t="str">
        <f t="shared" si="1"/>
        <v>KRWD0C03 LCLS Curncy</v>
      </c>
      <c r="N127" s="61" t="str">
        <f t="shared" si="1"/>
        <v>KRWD0C03 LCLS Curncy</v>
      </c>
      <c r="O127" s="61" t="str">
        <f t="shared" si="1"/>
        <v xml:space="preserve"> LCLS Curncy</v>
      </c>
      <c r="Q127" s="61" t="str">
        <f>_xll.BDH(B127,$Q$2,$Q$1,$Q$1)</f>
        <v>#N/A Invalid Security</v>
      </c>
      <c r="R127" s="61" t="str">
        <f>_xll.BDH(C127,$Q$2,$Q$1,$Q$1)</f>
        <v>#N/A Invalid Security</v>
      </c>
      <c r="S127" s="61" t="str">
        <f>_xll.BDH(D127,$Q$2,$Q$1,$Q$1)</f>
        <v>#N/A Invalid Security</v>
      </c>
      <c r="T127" s="61" t="str">
        <f>_xll.BDH(E127,$Q$2,$Q$1,$Q$1)</f>
        <v>#N/A Invalid Security</v>
      </c>
      <c r="U127" s="61" t="str">
        <f>_xll.BDH(F127,$Q$2,$Q$1,$Q$1)</f>
        <v>#N/A Invalid Security</v>
      </c>
      <c r="V127" s="61" t="str">
        <f>_xll.BDH(G127,$Q$2,$Q$1,$Q$1)</f>
        <v>#N/A Invalid Security</v>
      </c>
      <c r="W127" s="61" t="str">
        <f>_xll.BDH(H127,$Q$2,$Q$1,$Q$1)</f>
        <v>#N/A Invalid Security</v>
      </c>
      <c r="X127" s="61" t="str">
        <f>_xll.BDH(I127,$Q$2,$Q$1,$Q$1)</f>
        <v>#N/A Invalid Security</v>
      </c>
      <c r="Y127" s="61" t="str">
        <f>_xll.BDH(J127,$Q$2,$Q$1,$Q$1)</f>
        <v>#N/A Invalid Security</v>
      </c>
      <c r="Z127" s="61" t="str">
        <f>_xll.BDH(K127,$Q$2,$Q$1,$Q$1)</f>
        <v>#N/A Invalid Security</v>
      </c>
      <c r="AA127" s="61" t="str">
        <f>_xll.BDH(L127,$Q$2,$Q$1,$Q$1)</f>
        <v>#N/A Invalid Security</v>
      </c>
      <c r="AB127" s="61" t="str">
        <f>_xll.BDH(M127,$Q$2,$Q$1,$Q$1)</f>
        <v>#N/A Invalid Security</v>
      </c>
      <c r="AC127" s="61" t="str">
        <f>_xll.BDH(N127,$Q$2,$Q$1,$Q$1)</f>
        <v>#N/A Invalid Security</v>
      </c>
      <c r="AD127" s="61" t="str">
        <f>_xll.BDH(P127,$Q$2,$Q$1,$Q$1)</f>
        <v>#N/A Mandatory parameter [SECURITY] cannot be empty</v>
      </c>
      <c r="AE127" s="61" t="str">
        <f>_xll.BDH(Q127,$Q$2,$Q$1,$Q$1)</f>
        <v>#N/A Invalid Security</v>
      </c>
      <c r="AF127" s="61" t="str">
        <f>_xll.BDH(R127,$Q$2,$Q$1,$Q$1)</f>
        <v>#N/A Invalid Security</v>
      </c>
    </row>
    <row r="128" spans="1:32" ht="16.5" x14ac:dyDescent="0.3">
      <c r="A128" s="63"/>
      <c r="B128" s="61" t="str">
        <f t="shared" si="1"/>
        <v>KRWA0C04 LCLS Curncy</v>
      </c>
      <c r="C128" s="61" t="str">
        <f t="shared" si="1"/>
        <v>KRWK0C04 LCLS Curncy</v>
      </c>
      <c r="D128" s="61" t="str">
        <f t="shared" si="1"/>
        <v>KRWL0C04 LCLS Curncy</v>
      </c>
      <c r="E128" s="61" t="str">
        <f t="shared" si="1"/>
        <v>KRWB0C04 LCLS Curncy</v>
      </c>
      <c r="F128" s="61" t="str">
        <f t="shared" si="1"/>
        <v>KRWM0C04 LCLS Curncy</v>
      </c>
      <c r="G128" s="61" t="str">
        <f t="shared" si="1"/>
        <v>KRWN0C04 LCLS Curncy</v>
      </c>
      <c r="H128" s="61" t="str">
        <f t="shared" si="1"/>
        <v>KRWO0C04 LCLS Curncy</v>
      </c>
      <c r="I128" s="61" t="str">
        <f t="shared" si="1"/>
        <v>KRWP0C04 LCLS Curncy</v>
      </c>
      <c r="J128" s="61" t="str">
        <f t="shared" si="1"/>
        <v>KRWC0C04 LCLS Curncy</v>
      </c>
      <c r="K128" s="61" t="str">
        <f t="shared" si="1"/>
        <v>KRWQ0C04 LCLS Curncy</v>
      </c>
      <c r="L128" s="61" t="str">
        <f t="shared" ref="C128:O143" si="2">L19&amp;" LCLS Curncy"</f>
        <v>KRWR0C04 LCLS Curncy</v>
      </c>
      <c r="M128" s="61" t="str">
        <f t="shared" si="2"/>
        <v>KRWD0C04 LCLS Curncy</v>
      </c>
      <c r="N128" s="61" t="str">
        <f t="shared" si="2"/>
        <v>KRWD0C04 LCLS Curncy</v>
      </c>
      <c r="O128" s="61" t="str">
        <f t="shared" si="2"/>
        <v xml:space="preserve"> LCLS Curncy</v>
      </c>
      <c r="Q128" s="61" t="str">
        <f>_xll.BDH(B128,$Q$2,$Q$1,$Q$1)</f>
        <v>#N/A Invalid Security</v>
      </c>
      <c r="R128" s="61" t="str">
        <f>_xll.BDH(C128,$Q$2,$Q$1,$Q$1)</f>
        <v>#N/A Invalid Security</v>
      </c>
      <c r="S128" s="61" t="str">
        <f>_xll.BDH(D128,$Q$2,$Q$1,$Q$1)</f>
        <v>#N/A Invalid Security</v>
      </c>
      <c r="T128" s="61" t="str">
        <f>_xll.BDH(E128,$Q$2,$Q$1,$Q$1)</f>
        <v>#N/A Invalid Security</v>
      </c>
      <c r="U128" s="61" t="str">
        <f>_xll.BDH(F128,$Q$2,$Q$1,$Q$1)</f>
        <v>#N/A Invalid Security</v>
      </c>
      <c r="V128" s="61" t="str">
        <f>_xll.BDH(G128,$Q$2,$Q$1,$Q$1)</f>
        <v>#N/A Invalid Security</v>
      </c>
      <c r="W128" s="61" t="str">
        <f>_xll.BDH(H128,$Q$2,$Q$1,$Q$1)</f>
        <v>#N/A Invalid Security</v>
      </c>
      <c r="X128" s="61" t="str">
        <f>_xll.BDH(I128,$Q$2,$Q$1,$Q$1)</f>
        <v>#N/A Invalid Security</v>
      </c>
      <c r="Y128" s="61" t="str">
        <f>_xll.BDH(J128,$Q$2,$Q$1,$Q$1)</f>
        <v>#N/A Invalid Security</v>
      </c>
      <c r="Z128" s="61" t="str">
        <f>_xll.BDH(K128,$Q$2,$Q$1,$Q$1)</f>
        <v>#N/A Invalid Security</v>
      </c>
      <c r="AA128" s="61" t="str">
        <f>_xll.BDH(L128,$Q$2,$Q$1,$Q$1)</f>
        <v>#N/A Invalid Security</v>
      </c>
      <c r="AB128" s="61" t="str">
        <f>_xll.BDH(M128,$Q$2,$Q$1,$Q$1)</f>
        <v>#N/A Invalid Security</v>
      </c>
      <c r="AC128" s="61" t="str">
        <f>_xll.BDH(N128,$Q$2,$Q$1,$Q$1)</f>
        <v>#N/A Invalid Security</v>
      </c>
      <c r="AD128" s="61" t="str">
        <f>_xll.BDH(P128,$Q$2,$Q$1,$Q$1)</f>
        <v>#N/A Mandatory parameter [SECURITY] cannot be empty</v>
      </c>
      <c r="AE128" s="61" t="str">
        <f>_xll.BDH(Q128,$Q$2,$Q$1,$Q$1)</f>
        <v>#N/A Invalid Security</v>
      </c>
      <c r="AF128" s="61" t="str">
        <f>_xll.BDH(R128,$Q$2,$Q$1,$Q$1)</f>
        <v>#N/A Invalid Security</v>
      </c>
    </row>
    <row r="129" spans="1:32" ht="16.5" x14ac:dyDescent="0.3">
      <c r="A129" s="63"/>
      <c r="B129" s="61" t="str">
        <f t="shared" si="1"/>
        <v>KRWA0C05 LCLS Curncy</v>
      </c>
      <c r="C129" s="61" t="str">
        <f t="shared" si="2"/>
        <v>KRWK0C05 LCLS Curncy</v>
      </c>
      <c r="D129" s="61" t="str">
        <f t="shared" si="2"/>
        <v>KRWL0C05 LCLS Curncy</v>
      </c>
      <c r="E129" s="61" t="str">
        <f t="shared" si="2"/>
        <v>KRWB0C05 LCLS Curncy</v>
      </c>
      <c r="F129" s="61" t="str">
        <f t="shared" si="2"/>
        <v>KRWM0C05 LCLS Curncy</v>
      </c>
      <c r="G129" s="61" t="str">
        <f t="shared" si="2"/>
        <v>KRWN0C05 LCLS Curncy</v>
      </c>
      <c r="H129" s="61" t="str">
        <f t="shared" si="2"/>
        <v>KRWO0C05 LCLS Curncy</v>
      </c>
      <c r="I129" s="61" t="str">
        <f t="shared" si="2"/>
        <v>KRWP0C05 LCLS Curncy</v>
      </c>
      <c r="J129" s="61" t="str">
        <f t="shared" si="2"/>
        <v>KRWC0C05 LCLS Curncy</v>
      </c>
      <c r="K129" s="61" t="str">
        <f t="shared" si="2"/>
        <v>KRWQ0C05 LCLS Curncy</v>
      </c>
      <c r="L129" s="61" t="str">
        <f t="shared" si="2"/>
        <v>KRWR0C05 LCLS Curncy</v>
      </c>
      <c r="M129" s="61" t="str">
        <f t="shared" si="2"/>
        <v>KRWD0C05 LCLS Curncy</v>
      </c>
      <c r="N129" s="61" t="str">
        <f t="shared" si="2"/>
        <v>KRWD0C05 LCLS Curncy</v>
      </c>
      <c r="O129" s="61" t="str">
        <f t="shared" si="2"/>
        <v xml:space="preserve"> LCLS Curncy</v>
      </c>
      <c r="Q129" s="61" t="str">
        <f>_xll.BDH(B129,$Q$2,$Q$1,$Q$1)</f>
        <v>#N/A Invalid Security</v>
      </c>
      <c r="R129" s="61" t="str">
        <f>_xll.BDH(C129,$Q$2,$Q$1,$Q$1)</f>
        <v>#N/A Invalid Security</v>
      </c>
      <c r="S129" s="61" t="str">
        <f>_xll.BDH(D129,$Q$2,$Q$1,$Q$1)</f>
        <v>#N/A Invalid Security</v>
      </c>
      <c r="T129" s="61" t="str">
        <f>_xll.BDH(E129,$Q$2,$Q$1,$Q$1)</f>
        <v>#N/A Invalid Security</v>
      </c>
      <c r="U129" s="61" t="str">
        <f>_xll.BDH(F129,$Q$2,$Q$1,$Q$1)</f>
        <v>#N/A Invalid Security</v>
      </c>
      <c r="V129" s="61" t="str">
        <f>_xll.BDH(G129,$Q$2,$Q$1,$Q$1)</f>
        <v>#N/A Invalid Security</v>
      </c>
      <c r="W129" s="61" t="str">
        <f>_xll.BDH(H129,$Q$2,$Q$1,$Q$1)</f>
        <v>#N/A Invalid Security</v>
      </c>
      <c r="X129" s="61" t="str">
        <f>_xll.BDH(I129,$Q$2,$Q$1,$Q$1)</f>
        <v>#N/A Invalid Security</v>
      </c>
      <c r="Y129" s="61" t="str">
        <f>_xll.BDH(J129,$Q$2,$Q$1,$Q$1)</f>
        <v>#N/A Invalid Security</v>
      </c>
      <c r="Z129" s="61" t="str">
        <f>_xll.BDH(K129,$Q$2,$Q$1,$Q$1)</f>
        <v>#N/A Invalid Security</v>
      </c>
      <c r="AA129" s="61" t="str">
        <f>_xll.BDH(L129,$Q$2,$Q$1,$Q$1)</f>
        <v>#N/A Invalid Security</v>
      </c>
      <c r="AB129" s="61" t="str">
        <f>_xll.BDH(M129,$Q$2,$Q$1,$Q$1)</f>
        <v>#N/A Invalid Security</v>
      </c>
      <c r="AC129" s="61" t="str">
        <f>_xll.BDH(N129,$Q$2,$Q$1,$Q$1)</f>
        <v>#N/A Invalid Security</v>
      </c>
      <c r="AD129" s="61" t="str">
        <f>_xll.BDH(P129,$Q$2,$Q$1,$Q$1)</f>
        <v>#N/A Mandatory parameter [SECURITY] cannot be empty</v>
      </c>
      <c r="AE129" s="61" t="str">
        <f>_xll.BDH(Q129,$Q$2,$Q$1,$Q$1)</f>
        <v>#N/A Invalid Security</v>
      </c>
      <c r="AF129" s="61" t="str">
        <f>_xll.BDH(R129,$Q$2,$Q$1,$Q$1)</f>
        <v>#N/A Invalid Security</v>
      </c>
    </row>
    <row r="130" spans="1:32" ht="16.5" x14ac:dyDescent="0.3">
      <c r="A130" s="63"/>
      <c r="B130" s="61" t="str">
        <f t="shared" si="1"/>
        <v>KRWA0C06 LCLS Curncy</v>
      </c>
      <c r="C130" s="61" t="str">
        <f t="shared" si="2"/>
        <v>KRWK0C06 LCLS Curncy</v>
      </c>
      <c r="D130" s="61" t="str">
        <f t="shared" si="2"/>
        <v>KRWL0C06 LCLS Curncy</v>
      </c>
      <c r="E130" s="61" t="str">
        <f t="shared" si="2"/>
        <v>KRWB0C06 LCLS Curncy</v>
      </c>
      <c r="F130" s="61" t="str">
        <f t="shared" si="2"/>
        <v>KRWM0C06 LCLS Curncy</v>
      </c>
      <c r="G130" s="61" t="str">
        <f t="shared" si="2"/>
        <v>KRWN0C06 LCLS Curncy</v>
      </c>
      <c r="H130" s="61" t="str">
        <f t="shared" si="2"/>
        <v>KRWO0C06 LCLS Curncy</v>
      </c>
      <c r="I130" s="61" t="str">
        <f t="shared" si="2"/>
        <v>KRWP0C06 LCLS Curncy</v>
      </c>
      <c r="J130" s="61" t="str">
        <f t="shared" si="2"/>
        <v>KRWC0C06 LCLS Curncy</v>
      </c>
      <c r="K130" s="61" t="str">
        <f t="shared" si="2"/>
        <v>KRWQ0C06 LCLS Curncy</v>
      </c>
      <c r="L130" s="61" t="str">
        <f t="shared" si="2"/>
        <v>KRWR0C06 LCLS Curncy</v>
      </c>
      <c r="M130" s="61" t="str">
        <f t="shared" si="2"/>
        <v>KRWD0C06 LCLS Curncy</v>
      </c>
      <c r="N130" s="61" t="str">
        <f t="shared" si="2"/>
        <v>KRWD0C06 LCLS Curncy</v>
      </c>
      <c r="O130" s="61" t="str">
        <f t="shared" si="2"/>
        <v xml:space="preserve"> LCLS Curncy</v>
      </c>
      <c r="Q130" s="61" t="str">
        <f>_xll.BDH(B130,$Q$2,$Q$1,$Q$1)</f>
        <v>#N/A Invalid Security</v>
      </c>
      <c r="R130" s="61" t="str">
        <f>_xll.BDH(C130,$Q$2,$Q$1,$Q$1)</f>
        <v>#N/A Invalid Security</v>
      </c>
      <c r="S130" s="61" t="str">
        <f>_xll.BDH(D130,$Q$2,$Q$1,$Q$1)</f>
        <v>#N/A Invalid Security</v>
      </c>
      <c r="T130" s="61" t="str">
        <f>_xll.BDH(E130,$Q$2,$Q$1,$Q$1)</f>
        <v>#N/A Invalid Security</v>
      </c>
      <c r="U130" s="61" t="str">
        <f>_xll.BDH(F130,$Q$2,$Q$1,$Q$1)</f>
        <v>#N/A Invalid Security</v>
      </c>
      <c r="V130" s="61" t="str">
        <f>_xll.BDH(G130,$Q$2,$Q$1,$Q$1)</f>
        <v>#N/A Invalid Security</v>
      </c>
      <c r="W130" s="61" t="str">
        <f>_xll.BDH(H130,$Q$2,$Q$1,$Q$1)</f>
        <v>#N/A Invalid Security</v>
      </c>
      <c r="X130" s="61" t="str">
        <f>_xll.BDH(I130,$Q$2,$Q$1,$Q$1)</f>
        <v>#N/A Invalid Security</v>
      </c>
      <c r="Y130" s="61" t="str">
        <f>_xll.BDH(J130,$Q$2,$Q$1,$Q$1)</f>
        <v>#N/A Invalid Security</v>
      </c>
      <c r="Z130" s="61" t="str">
        <f>_xll.BDH(K130,$Q$2,$Q$1,$Q$1)</f>
        <v>#N/A Invalid Security</v>
      </c>
      <c r="AA130" s="61" t="str">
        <f>_xll.BDH(L130,$Q$2,$Q$1,$Q$1)</f>
        <v>#N/A Invalid Security</v>
      </c>
      <c r="AB130" s="61" t="str">
        <f>_xll.BDH(M130,$Q$2,$Q$1,$Q$1)</f>
        <v>#N/A Invalid Security</v>
      </c>
      <c r="AC130" s="61" t="str">
        <f>_xll.BDH(N130,$Q$2,$Q$1,$Q$1)</f>
        <v>#N/A Invalid Security</v>
      </c>
      <c r="AD130" s="61" t="str">
        <f>_xll.BDH(P130,$Q$2,$Q$1,$Q$1)</f>
        <v>#N/A Mandatory parameter [SECURITY] cannot be empty</v>
      </c>
      <c r="AE130" s="61" t="str">
        <f>_xll.BDH(Q130,$Q$2,$Q$1,$Q$1)</f>
        <v>#N/A Invalid Security</v>
      </c>
      <c r="AF130" s="61" t="str">
        <f>_xll.BDH(R130,$Q$2,$Q$1,$Q$1)</f>
        <v>#N/A Invalid Security</v>
      </c>
    </row>
    <row r="131" spans="1:32" ht="16.5" x14ac:dyDescent="0.3">
      <c r="A131" s="63"/>
      <c r="B131" s="61" t="str">
        <f t="shared" si="1"/>
        <v>KRWA0C07 LCLS Curncy</v>
      </c>
      <c r="C131" s="61" t="str">
        <f t="shared" si="2"/>
        <v>KRWK0C07 LCLS Curncy</v>
      </c>
      <c r="D131" s="61" t="str">
        <f t="shared" si="2"/>
        <v>KRWL0C07 LCLS Curncy</v>
      </c>
      <c r="E131" s="61" t="str">
        <f t="shared" si="2"/>
        <v>KRWB0C07 LCLS Curncy</v>
      </c>
      <c r="F131" s="61" t="str">
        <f t="shared" si="2"/>
        <v>KRWM0C07 LCLS Curncy</v>
      </c>
      <c r="G131" s="61" t="str">
        <f t="shared" si="2"/>
        <v>KRWN0C07 LCLS Curncy</v>
      </c>
      <c r="H131" s="61" t="str">
        <f t="shared" si="2"/>
        <v>KRWO0C07 LCLS Curncy</v>
      </c>
      <c r="I131" s="61" t="str">
        <f t="shared" si="2"/>
        <v>KRWP0C07 LCLS Curncy</v>
      </c>
      <c r="J131" s="61" t="str">
        <f t="shared" si="2"/>
        <v>KRWC0C07 LCLS Curncy</v>
      </c>
      <c r="K131" s="61" t="str">
        <f t="shared" si="2"/>
        <v>KRWQ0C07 LCLS Curncy</v>
      </c>
      <c r="L131" s="61" t="str">
        <f t="shared" si="2"/>
        <v>KRWR0C07 LCLS Curncy</v>
      </c>
      <c r="M131" s="61" t="str">
        <f t="shared" si="2"/>
        <v>KRWD0C07 LCLS Curncy</v>
      </c>
      <c r="N131" s="61" t="str">
        <f t="shared" si="2"/>
        <v>KRWD0C07 LCLS Curncy</v>
      </c>
      <c r="O131" s="61" t="str">
        <f t="shared" si="2"/>
        <v xml:space="preserve"> LCLS Curncy</v>
      </c>
      <c r="Q131" s="61" t="str">
        <f>_xll.BDH(B131,$Q$2,$Q$1,$Q$1)</f>
        <v>#N/A Invalid Security</v>
      </c>
      <c r="R131" s="61" t="str">
        <f>_xll.BDH(C131,$Q$2,$Q$1,$Q$1)</f>
        <v>#N/A Invalid Security</v>
      </c>
      <c r="S131" s="61" t="str">
        <f>_xll.BDH(D131,$Q$2,$Q$1,$Q$1)</f>
        <v>#N/A Invalid Security</v>
      </c>
      <c r="T131" s="61" t="str">
        <f>_xll.BDH(E131,$Q$2,$Q$1,$Q$1)</f>
        <v>#N/A Invalid Security</v>
      </c>
      <c r="U131" s="61" t="str">
        <f>_xll.BDH(F131,$Q$2,$Q$1,$Q$1)</f>
        <v>#N/A Invalid Security</v>
      </c>
      <c r="V131" s="61" t="str">
        <f>_xll.BDH(G131,$Q$2,$Q$1,$Q$1)</f>
        <v>#N/A Invalid Security</v>
      </c>
      <c r="W131" s="61" t="str">
        <f>_xll.BDH(H131,$Q$2,$Q$1,$Q$1)</f>
        <v>#N/A Invalid Security</v>
      </c>
      <c r="X131" s="61" t="str">
        <f>_xll.BDH(I131,$Q$2,$Q$1,$Q$1)</f>
        <v>#N/A Invalid Security</v>
      </c>
      <c r="Y131" s="61" t="str">
        <f>_xll.BDH(J131,$Q$2,$Q$1,$Q$1)</f>
        <v>#N/A Invalid Security</v>
      </c>
      <c r="Z131" s="61" t="str">
        <f>_xll.BDH(K131,$Q$2,$Q$1,$Q$1)</f>
        <v>#N/A Invalid Security</v>
      </c>
      <c r="AA131" s="61" t="str">
        <f>_xll.BDH(L131,$Q$2,$Q$1,$Q$1)</f>
        <v>#N/A Invalid Security</v>
      </c>
      <c r="AB131" s="61" t="str">
        <f>_xll.BDH(M131,$Q$2,$Q$1,$Q$1)</f>
        <v>#N/A Invalid Security</v>
      </c>
      <c r="AC131" s="61" t="str">
        <f>_xll.BDH(N131,$Q$2,$Q$1,$Q$1)</f>
        <v>#N/A Invalid Security</v>
      </c>
      <c r="AD131" s="61" t="str">
        <f>_xll.BDH(P131,$Q$2,$Q$1,$Q$1)</f>
        <v>#N/A Mandatory parameter [SECURITY] cannot be empty</v>
      </c>
      <c r="AE131" s="61" t="str">
        <f>_xll.BDH(Q131,$Q$2,$Q$1,$Q$1)</f>
        <v>#N/A Invalid Security</v>
      </c>
      <c r="AF131" s="61" t="str">
        <f>_xll.BDH(R131,$Q$2,$Q$1,$Q$1)</f>
        <v>#N/A Invalid Security</v>
      </c>
    </row>
    <row r="132" spans="1:32" ht="16.5" x14ac:dyDescent="0.3">
      <c r="A132" s="63"/>
      <c r="B132" s="61" t="str">
        <f t="shared" si="1"/>
        <v>KRWA0C08 LCLS Curncy</v>
      </c>
      <c r="C132" s="61" t="str">
        <f t="shared" si="2"/>
        <v>KRWK0C08 LCLS Curncy</v>
      </c>
      <c r="D132" s="61" t="str">
        <f t="shared" si="2"/>
        <v>KRWL0C08 LCLS Curncy</v>
      </c>
      <c r="E132" s="61" t="str">
        <f t="shared" si="2"/>
        <v>KRWB0C08 LCLS Curncy</v>
      </c>
      <c r="F132" s="61" t="str">
        <f t="shared" si="2"/>
        <v>KRWM0C08 LCLS Curncy</v>
      </c>
      <c r="G132" s="61" t="str">
        <f t="shared" si="2"/>
        <v>KRWN0C08 LCLS Curncy</v>
      </c>
      <c r="H132" s="61" t="str">
        <f t="shared" si="2"/>
        <v>KRWO0C08 LCLS Curncy</v>
      </c>
      <c r="I132" s="61" t="str">
        <f t="shared" si="2"/>
        <v>KRWP0C08 LCLS Curncy</v>
      </c>
      <c r="J132" s="61" t="str">
        <f t="shared" si="2"/>
        <v>KRWC0C08 LCLS Curncy</v>
      </c>
      <c r="K132" s="61" t="str">
        <f t="shared" si="2"/>
        <v>KRWQ0C08 LCLS Curncy</v>
      </c>
      <c r="L132" s="61" t="str">
        <f t="shared" si="2"/>
        <v>KRWR0C08 LCLS Curncy</v>
      </c>
      <c r="M132" s="61" t="str">
        <f t="shared" si="2"/>
        <v>KRWD0C08 LCLS Curncy</v>
      </c>
      <c r="N132" s="61" t="str">
        <f t="shared" si="2"/>
        <v>KRWD0C08 LCLS Curncy</v>
      </c>
      <c r="O132" s="61" t="str">
        <f t="shared" si="2"/>
        <v xml:space="preserve"> LCLS Curncy</v>
      </c>
      <c r="Q132" s="61" t="str">
        <f>_xll.BDH(B132,$Q$2,$Q$1,$Q$1)</f>
        <v>#N/A Invalid Security</v>
      </c>
      <c r="R132" s="61" t="str">
        <f>_xll.BDH(C132,$Q$2,$Q$1,$Q$1)</f>
        <v>#N/A Invalid Security</v>
      </c>
      <c r="S132" s="61" t="str">
        <f>_xll.BDH(D132,$Q$2,$Q$1,$Q$1)</f>
        <v>#N/A Invalid Security</v>
      </c>
      <c r="T132" s="61" t="str">
        <f>_xll.BDH(E132,$Q$2,$Q$1,$Q$1)</f>
        <v>#N/A Invalid Security</v>
      </c>
      <c r="U132" s="61" t="str">
        <f>_xll.BDH(F132,$Q$2,$Q$1,$Q$1)</f>
        <v>#N/A Invalid Security</v>
      </c>
      <c r="V132" s="61" t="str">
        <f>_xll.BDH(G132,$Q$2,$Q$1,$Q$1)</f>
        <v>#N/A Invalid Security</v>
      </c>
      <c r="W132" s="61" t="str">
        <f>_xll.BDH(H132,$Q$2,$Q$1,$Q$1)</f>
        <v>#N/A Invalid Security</v>
      </c>
      <c r="X132" s="61" t="str">
        <f>_xll.BDH(I132,$Q$2,$Q$1,$Q$1)</f>
        <v>#N/A Invalid Security</v>
      </c>
      <c r="Y132" s="61" t="str">
        <f>_xll.BDH(J132,$Q$2,$Q$1,$Q$1)</f>
        <v>#N/A Invalid Security</v>
      </c>
      <c r="Z132" s="61" t="str">
        <f>_xll.BDH(K132,$Q$2,$Q$1,$Q$1)</f>
        <v>#N/A Invalid Security</v>
      </c>
      <c r="AA132" s="61" t="str">
        <f>_xll.BDH(L132,$Q$2,$Q$1,$Q$1)</f>
        <v>#N/A Invalid Security</v>
      </c>
      <c r="AB132" s="61" t="str">
        <f>_xll.BDH(M132,$Q$2,$Q$1,$Q$1)</f>
        <v>#N/A Invalid Security</v>
      </c>
      <c r="AC132" s="61" t="str">
        <f>_xll.BDH(N132,$Q$2,$Q$1,$Q$1)</f>
        <v>#N/A Invalid Security</v>
      </c>
      <c r="AD132" s="61" t="str">
        <f>_xll.BDH(P132,$Q$2,$Q$1,$Q$1)</f>
        <v>#N/A Mandatory parameter [SECURITY] cannot be empty</v>
      </c>
      <c r="AE132" s="61" t="str">
        <f>_xll.BDH(Q132,$Q$2,$Q$1,$Q$1)</f>
        <v>#N/A Invalid Security</v>
      </c>
      <c r="AF132" s="61" t="str">
        <f>_xll.BDH(R132,$Q$2,$Q$1,$Q$1)</f>
        <v>#N/A Invalid Security</v>
      </c>
    </row>
    <row r="133" spans="1:32" ht="16.5" x14ac:dyDescent="0.3">
      <c r="A133" s="63"/>
      <c r="B133" s="61" t="str">
        <f t="shared" si="1"/>
        <v>KRWA0C09 LCLS Curncy</v>
      </c>
      <c r="C133" s="61" t="str">
        <f t="shared" si="2"/>
        <v>KRWK0C09 LCLS Curncy</v>
      </c>
      <c r="D133" s="61" t="str">
        <f t="shared" si="2"/>
        <v>KRWL0C09 LCLS Curncy</v>
      </c>
      <c r="E133" s="61" t="str">
        <f t="shared" si="2"/>
        <v>KRWB0C09 LCLS Curncy</v>
      </c>
      <c r="F133" s="61" t="str">
        <f t="shared" si="2"/>
        <v>KRWM0C09 LCLS Curncy</v>
      </c>
      <c r="G133" s="61" t="str">
        <f t="shared" si="2"/>
        <v>KRWN0C09 LCLS Curncy</v>
      </c>
      <c r="H133" s="61" t="str">
        <f t="shared" si="2"/>
        <v>KRWO0C09 LCLS Curncy</v>
      </c>
      <c r="I133" s="61" t="str">
        <f t="shared" si="2"/>
        <v>KRWP0C09 LCLS Curncy</v>
      </c>
      <c r="J133" s="61" t="str">
        <f t="shared" si="2"/>
        <v>KRWC0C09 LCLS Curncy</v>
      </c>
      <c r="K133" s="61" t="str">
        <f t="shared" si="2"/>
        <v>KRWQ0C09 LCLS Curncy</v>
      </c>
      <c r="L133" s="61" t="str">
        <f t="shared" si="2"/>
        <v>KRWR0C09 LCLS Curncy</v>
      </c>
      <c r="M133" s="61" t="str">
        <f t="shared" si="2"/>
        <v>KRWD0C09 LCLS Curncy</v>
      </c>
      <c r="N133" s="61" t="str">
        <f t="shared" si="2"/>
        <v>KRWD0C09 LCLS Curncy</v>
      </c>
      <c r="O133" s="61" t="str">
        <f t="shared" si="2"/>
        <v xml:space="preserve"> LCLS Curncy</v>
      </c>
      <c r="Q133" s="61" t="str">
        <f>_xll.BDH(B133,$Q$2,$Q$1,$Q$1)</f>
        <v>#N/A Invalid Security</v>
      </c>
      <c r="R133" s="61" t="str">
        <f>_xll.BDH(C133,$Q$2,$Q$1,$Q$1)</f>
        <v>#N/A Invalid Security</v>
      </c>
      <c r="S133" s="61" t="str">
        <f>_xll.BDH(D133,$Q$2,$Q$1,$Q$1)</f>
        <v>#N/A Invalid Security</v>
      </c>
      <c r="T133" s="61" t="str">
        <f>_xll.BDH(E133,$Q$2,$Q$1,$Q$1)</f>
        <v>#N/A Invalid Security</v>
      </c>
      <c r="U133" s="61" t="str">
        <f>_xll.BDH(F133,$Q$2,$Q$1,$Q$1)</f>
        <v>#N/A Invalid Security</v>
      </c>
      <c r="V133" s="61" t="str">
        <f>_xll.BDH(G133,$Q$2,$Q$1,$Q$1)</f>
        <v>#N/A Invalid Security</v>
      </c>
      <c r="W133" s="61" t="str">
        <f>_xll.BDH(H133,$Q$2,$Q$1,$Q$1)</f>
        <v>#N/A Invalid Security</v>
      </c>
      <c r="X133" s="61" t="str">
        <f>_xll.BDH(I133,$Q$2,$Q$1,$Q$1)</f>
        <v>#N/A Invalid Security</v>
      </c>
      <c r="Y133" s="61" t="str">
        <f>_xll.BDH(J133,$Q$2,$Q$1,$Q$1)</f>
        <v>#N/A Invalid Security</v>
      </c>
      <c r="Z133" s="61" t="str">
        <f>_xll.BDH(K133,$Q$2,$Q$1,$Q$1)</f>
        <v>#N/A Invalid Security</v>
      </c>
      <c r="AA133" s="61" t="str">
        <f>_xll.BDH(L133,$Q$2,$Q$1,$Q$1)</f>
        <v>#N/A Invalid Security</v>
      </c>
      <c r="AB133" s="61" t="str">
        <f>_xll.BDH(M133,$Q$2,$Q$1,$Q$1)</f>
        <v>#N/A Invalid Security</v>
      </c>
      <c r="AC133" s="61" t="str">
        <f>_xll.BDH(N133,$Q$2,$Q$1,$Q$1)</f>
        <v>#N/A Invalid Security</v>
      </c>
      <c r="AD133" s="61" t="str">
        <f>_xll.BDH(P133,$Q$2,$Q$1,$Q$1)</f>
        <v>#N/A Mandatory parameter [SECURITY] cannot be empty</v>
      </c>
      <c r="AE133" s="61" t="str">
        <f>_xll.BDH(Q133,$Q$2,$Q$1,$Q$1)</f>
        <v>#N/A Invalid Security</v>
      </c>
      <c r="AF133" s="61" t="str">
        <f>_xll.BDH(R133,$Q$2,$Q$1,$Q$1)</f>
        <v>#N/A Invalid Security</v>
      </c>
    </row>
    <row r="134" spans="1:32" ht="16.5" x14ac:dyDescent="0.3">
      <c r="A134" s="63"/>
      <c r="B134" s="61" t="str">
        <f t="shared" si="1"/>
        <v>KRWA0C10 LCLS Curncy</v>
      </c>
      <c r="C134" s="61" t="str">
        <f t="shared" si="2"/>
        <v>KRWK0C10 LCLS Curncy</v>
      </c>
      <c r="D134" s="61" t="str">
        <f t="shared" si="2"/>
        <v>KRWL0C10 LCLS Curncy</v>
      </c>
      <c r="E134" s="61" t="str">
        <f t="shared" si="2"/>
        <v>KRWB0C10 LCLS Curncy</v>
      </c>
      <c r="F134" s="61" t="str">
        <f t="shared" si="2"/>
        <v>KRWM0C10 LCLS Curncy</v>
      </c>
      <c r="G134" s="61" t="str">
        <f t="shared" si="2"/>
        <v>KRWN0C10 LCLS Curncy</v>
      </c>
      <c r="H134" s="61" t="str">
        <f t="shared" si="2"/>
        <v>KRWO0C10 LCLS Curncy</v>
      </c>
      <c r="I134" s="61" t="str">
        <f t="shared" si="2"/>
        <v>KRWP0C10 LCLS Curncy</v>
      </c>
      <c r="J134" s="61" t="str">
        <f t="shared" si="2"/>
        <v>KRWC0C10 LCLS Curncy</v>
      </c>
      <c r="K134" s="61" t="str">
        <f t="shared" si="2"/>
        <v>KRWQ0C10 LCLS Curncy</v>
      </c>
      <c r="L134" s="61" t="str">
        <f t="shared" si="2"/>
        <v>KRWR0C10 LCLS Curncy</v>
      </c>
      <c r="M134" s="61" t="str">
        <f t="shared" si="2"/>
        <v>KRWD0C10 LCLS Curncy</v>
      </c>
      <c r="N134" s="61" t="str">
        <f t="shared" si="2"/>
        <v>KRWD0C10 LCLS Curncy</v>
      </c>
      <c r="O134" s="61" t="str">
        <f t="shared" si="2"/>
        <v xml:space="preserve"> LCLS Curncy</v>
      </c>
      <c r="Q134" s="61" t="str">
        <f>_xll.BDH(B134,$Q$2,$Q$1,$Q$1)</f>
        <v>#N/A Invalid Security</v>
      </c>
      <c r="R134" s="61" t="str">
        <f>_xll.BDH(C134,$Q$2,$Q$1,$Q$1)</f>
        <v>#N/A Invalid Security</v>
      </c>
      <c r="S134" s="61" t="str">
        <f>_xll.BDH(D134,$Q$2,$Q$1,$Q$1)</f>
        <v>#N/A Invalid Security</v>
      </c>
      <c r="T134" s="61" t="str">
        <f>_xll.BDH(E134,$Q$2,$Q$1,$Q$1)</f>
        <v>#N/A Invalid Security</v>
      </c>
      <c r="U134" s="61" t="str">
        <f>_xll.BDH(F134,$Q$2,$Q$1,$Q$1)</f>
        <v>#N/A Invalid Security</v>
      </c>
      <c r="V134" s="61" t="str">
        <f>_xll.BDH(G134,$Q$2,$Q$1,$Q$1)</f>
        <v>#N/A Invalid Security</v>
      </c>
      <c r="W134" s="61" t="str">
        <f>_xll.BDH(H134,$Q$2,$Q$1,$Q$1)</f>
        <v>#N/A Invalid Security</v>
      </c>
      <c r="X134" s="61" t="str">
        <f>_xll.BDH(I134,$Q$2,$Q$1,$Q$1)</f>
        <v>#N/A Invalid Security</v>
      </c>
      <c r="Y134" s="61" t="str">
        <f>_xll.BDH(J134,$Q$2,$Q$1,$Q$1)</f>
        <v>#N/A Invalid Security</v>
      </c>
      <c r="Z134" s="61" t="str">
        <f>_xll.BDH(K134,$Q$2,$Q$1,$Q$1)</f>
        <v>#N/A Invalid Security</v>
      </c>
      <c r="AA134" s="61" t="str">
        <f>_xll.BDH(L134,$Q$2,$Q$1,$Q$1)</f>
        <v>#N/A Invalid Security</v>
      </c>
      <c r="AB134" s="61" t="str">
        <f>_xll.BDH(M134,$Q$2,$Q$1,$Q$1)</f>
        <v>#N/A Invalid Security</v>
      </c>
      <c r="AC134" s="61" t="str">
        <f>_xll.BDH(N134,$Q$2,$Q$1,$Q$1)</f>
        <v>#N/A Invalid Security</v>
      </c>
      <c r="AD134" s="61" t="str">
        <f>_xll.BDH(P134,$Q$2,$Q$1,$Q$1)</f>
        <v>#N/A Mandatory parameter [SECURITY] cannot be empty</v>
      </c>
      <c r="AE134" s="61" t="str">
        <f>_xll.BDH(Q134,$Q$2,$Q$1,$Q$1)</f>
        <v>#N/A Invalid Security</v>
      </c>
      <c r="AF134" s="61" t="str">
        <f>_xll.BDH(R134,$Q$2,$Q$1,$Q$1)</f>
        <v>#N/A Invalid Security</v>
      </c>
    </row>
    <row r="135" spans="1:32" ht="16.5" x14ac:dyDescent="0.3">
      <c r="A135" s="63"/>
      <c r="B135" s="61" t="str">
        <f t="shared" si="1"/>
        <v>KRWA0C15 LCLS Curncy</v>
      </c>
      <c r="C135" s="61" t="str">
        <f t="shared" si="2"/>
        <v>KRWK0C15 LCLS Curncy</v>
      </c>
      <c r="D135" s="61" t="str">
        <f t="shared" si="2"/>
        <v>KRWL0C15 LCLS Curncy</v>
      </c>
      <c r="E135" s="61" t="str">
        <f t="shared" si="2"/>
        <v>KRWB0C15 LCLS Curncy</v>
      </c>
      <c r="F135" s="61" t="str">
        <f t="shared" si="2"/>
        <v>KRWM0C15 LCLS Curncy</v>
      </c>
      <c r="G135" s="61" t="str">
        <f t="shared" si="2"/>
        <v>KRWN0C15 LCLS Curncy</v>
      </c>
      <c r="H135" s="61" t="str">
        <f t="shared" si="2"/>
        <v>KRWO0C15 LCLS Curncy</v>
      </c>
      <c r="I135" s="61" t="str">
        <f t="shared" si="2"/>
        <v>KRWP0C15 LCLS Curncy</v>
      </c>
      <c r="J135" s="61" t="str">
        <f t="shared" si="2"/>
        <v>KRWC0C15 LCLS Curncy</v>
      </c>
      <c r="K135" s="61" t="str">
        <f t="shared" si="2"/>
        <v>KRWQ0C15 LCLS Curncy</v>
      </c>
      <c r="L135" s="61" t="str">
        <f t="shared" si="2"/>
        <v>KRWR0C15 LCLS Curncy</v>
      </c>
      <c r="M135" s="61" t="str">
        <f t="shared" si="2"/>
        <v>KRWD0C15 LCLS Curncy</v>
      </c>
      <c r="N135" s="61" t="str">
        <f t="shared" si="2"/>
        <v>KRWD0C15 LCLS Curncy</v>
      </c>
      <c r="O135" s="61" t="str">
        <f t="shared" si="2"/>
        <v xml:space="preserve"> LCLS Curncy</v>
      </c>
      <c r="Q135" s="61" t="str">
        <f>_xll.BDH(B135,$Q$2,$Q$1,$Q$1)</f>
        <v>#N/A Invalid Security</v>
      </c>
      <c r="R135" s="61" t="str">
        <f>_xll.BDH(C135,$Q$2,$Q$1,$Q$1)</f>
        <v>#N/A Invalid Security</v>
      </c>
      <c r="S135" s="61" t="str">
        <f>_xll.BDH(D135,$Q$2,$Q$1,$Q$1)</f>
        <v>#N/A Invalid Security</v>
      </c>
      <c r="T135" s="61" t="str">
        <f>_xll.BDH(E135,$Q$2,$Q$1,$Q$1)</f>
        <v>#N/A Invalid Security</v>
      </c>
      <c r="U135" s="61" t="str">
        <f>_xll.BDH(F135,$Q$2,$Q$1,$Q$1)</f>
        <v>#N/A Invalid Security</v>
      </c>
      <c r="V135" s="61" t="str">
        <f>_xll.BDH(G135,$Q$2,$Q$1,$Q$1)</f>
        <v>#N/A Invalid Security</v>
      </c>
      <c r="W135" s="61" t="str">
        <f>_xll.BDH(H135,$Q$2,$Q$1,$Q$1)</f>
        <v>#N/A Invalid Security</v>
      </c>
      <c r="X135" s="61" t="str">
        <f>_xll.BDH(I135,$Q$2,$Q$1,$Q$1)</f>
        <v>#N/A Invalid Security</v>
      </c>
      <c r="Y135" s="61" t="str">
        <f>_xll.BDH(J135,$Q$2,$Q$1,$Q$1)</f>
        <v>#N/A Invalid Security</v>
      </c>
      <c r="Z135" s="61" t="str">
        <f>_xll.BDH(K135,$Q$2,$Q$1,$Q$1)</f>
        <v>#N/A Invalid Security</v>
      </c>
      <c r="AA135" s="61" t="str">
        <f>_xll.BDH(L135,$Q$2,$Q$1,$Q$1)</f>
        <v>#N/A Invalid Security</v>
      </c>
      <c r="AB135" s="61" t="str">
        <f>_xll.BDH(M135,$Q$2,$Q$1,$Q$1)</f>
        <v>#N/A Invalid Security</v>
      </c>
      <c r="AC135" s="61" t="str">
        <f>_xll.BDH(N135,$Q$2,$Q$1,$Q$1)</f>
        <v>#N/A Invalid Security</v>
      </c>
      <c r="AD135" s="61" t="str">
        <f>_xll.BDH(P135,$Q$2,$Q$1,$Q$1)</f>
        <v>#N/A Mandatory parameter [SECURITY] cannot be empty</v>
      </c>
      <c r="AE135" s="61" t="str">
        <f>_xll.BDH(Q135,$Q$2,$Q$1,$Q$1)</f>
        <v>#N/A Invalid Security</v>
      </c>
      <c r="AF135" s="61" t="str">
        <f>_xll.BDH(R135,$Q$2,$Q$1,$Q$1)</f>
        <v>#N/A Invalid Security</v>
      </c>
    </row>
    <row r="136" spans="1:32" ht="16.5" x14ac:dyDescent="0.3">
      <c r="A136" s="63"/>
      <c r="B136" s="61" t="str">
        <f t="shared" si="1"/>
        <v>KRWA0C20 LCLS Curncy</v>
      </c>
      <c r="C136" s="61" t="str">
        <f t="shared" si="2"/>
        <v>KRWK0C20 LCLS Curncy</v>
      </c>
      <c r="D136" s="61" t="str">
        <f t="shared" si="2"/>
        <v>KRWL0C20 LCLS Curncy</v>
      </c>
      <c r="E136" s="61" t="str">
        <f t="shared" si="2"/>
        <v>KRWB0C20 LCLS Curncy</v>
      </c>
      <c r="F136" s="61" t="str">
        <f t="shared" si="2"/>
        <v>KRWM0C20 LCLS Curncy</v>
      </c>
      <c r="G136" s="61" t="str">
        <f t="shared" si="2"/>
        <v>KRWN0C20 LCLS Curncy</v>
      </c>
      <c r="H136" s="61" t="str">
        <f t="shared" si="2"/>
        <v>KRWO0C20 LCLS Curncy</v>
      </c>
      <c r="I136" s="61" t="str">
        <f t="shared" si="2"/>
        <v>KRWP0C20 LCLS Curncy</v>
      </c>
      <c r="J136" s="61" t="str">
        <f t="shared" si="2"/>
        <v>KRWC0C20 LCLS Curncy</v>
      </c>
      <c r="K136" s="61" t="str">
        <f t="shared" si="2"/>
        <v>KRWQ0C20 LCLS Curncy</v>
      </c>
      <c r="L136" s="61" t="str">
        <f t="shared" si="2"/>
        <v>KRWR0C20 LCLS Curncy</v>
      </c>
      <c r="M136" s="61" t="str">
        <f t="shared" si="2"/>
        <v>KRWD0C20 LCLS Curncy</v>
      </c>
      <c r="N136" s="61" t="str">
        <f t="shared" si="2"/>
        <v>KRWD0C20 LCLS Curncy</v>
      </c>
      <c r="O136" s="61" t="str">
        <f t="shared" si="2"/>
        <v xml:space="preserve"> LCLS Curncy</v>
      </c>
      <c r="Q136" s="61" t="str">
        <f>_xll.BDH(B136,$Q$2,$Q$1,$Q$1)</f>
        <v>#N/A Invalid Security</v>
      </c>
      <c r="R136" s="61" t="str">
        <f>_xll.BDH(C136,$Q$2,$Q$1,$Q$1)</f>
        <v>#N/A Invalid Security</v>
      </c>
      <c r="S136" s="61" t="str">
        <f>_xll.BDH(D136,$Q$2,$Q$1,$Q$1)</f>
        <v>#N/A Invalid Security</v>
      </c>
      <c r="T136" s="61" t="str">
        <f>_xll.BDH(E136,$Q$2,$Q$1,$Q$1)</f>
        <v>#N/A Invalid Security</v>
      </c>
      <c r="U136" s="61" t="str">
        <f>_xll.BDH(F136,$Q$2,$Q$1,$Q$1)</f>
        <v>#N/A Invalid Security</v>
      </c>
      <c r="V136" s="61" t="str">
        <f>_xll.BDH(G136,$Q$2,$Q$1,$Q$1)</f>
        <v>#N/A Invalid Security</v>
      </c>
      <c r="W136" s="61" t="str">
        <f>_xll.BDH(H136,$Q$2,$Q$1,$Q$1)</f>
        <v>#N/A Invalid Security</v>
      </c>
      <c r="X136" s="61" t="str">
        <f>_xll.BDH(I136,$Q$2,$Q$1,$Q$1)</f>
        <v>#N/A Invalid Security</v>
      </c>
      <c r="Y136" s="61" t="str">
        <f>_xll.BDH(J136,$Q$2,$Q$1,$Q$1)</f>
        <v>#N/A Invalid Security</v>
      </c>
      <c r="Z136" s="61" t="str">
        <f>_xll.BDH(K136,$Q$2,$Q$1,$Q$1)</f>
        <v>#N/A Invalid Security</v>
      </c>
      <c r="AA136" s="61" t="str">
        <f>_xll.BDH(L136,$Q$2,$Q$1,$Q$1)</f>
        <v>#N/A Invalid Security</v>
      </c>
      <c r="AB136" s="61" t="str">
        <f>_xll.BDH(M136,$Q$2,$Q$1,$Q$1)</f>
        <v>#N/A Invalid Security</v>
      </c>
      <c r="AC136" s="61" t="str">
        <f>_xll.BDH(N136,$Q$2,$Q$1,$Q$1)</f>
        <v>#N/A Invalid Security</v>
      </c>
      <c r="AD136" s="61" t="str">
        <f>_xll.BDH(P136,$Q$2,$Q$1,$Q$1)</f>
        <v>#N/A Mandatory parameter [SECURITY] cannot be empty</v>
      </c>
      <c r="AE136" s="61" t="str">
        <f>_xll.BDH(Q136,$Q$2,$Q$1,$Q$1)</f>
        <v>#N/A Invalid Security</v>
      </c>
      <c r="AF136" s="61" t="str">
        <f>_xll.BDH(R136,$Q$2,$Q$1,$Q$1)</f>
        <v>#N/A Invalid Security</v>
      </c>
    </row>
    <row r="137" spans="1:32" ht="16.5" x14ac:dyDescent="0.3">
      <c r="A137" s="63"/>
      <c r="B137" s="61" t="str">
        <f t="shared" si="1"/>
        <v>KRWA0F01 LCLS Curncy</v>
      </c>
      <c r="C137" s="61" t="str">
        <f t="shared" si="2"/>
        <v>KRWK0F01 LCLS Curncy</v>
      </c>
      <c r="D137" s="61" t="str">
        <f t="shared" si="2"/>
        <v>KRWL0F01 LCLS Curncy</v>
      </c>
      <c r="E137" s="61" t="str">
        <f t="shared" si="2"/>
        <v>KRWB0F01 LCLS Curncy</v>
      </c>
      <c r="F137" s="61" t="str">
        <f t="shared" si="2"/>
        <v>KRWM0F01 LCLS Curncy</v>
      </c>
      <c r="G137" s="61" t="str">
        <f t="shared" si="2"/>
        <v>KRWN0F01 LCLS Curncy</v>
      </c>
      <c r="H137" s="61" t="str">
        <f t="shared" si="2"/>
        <v>KRWO0F01 LCLS Curncy</v>
      </c>
      <c r="I137" s="61" t="str">
        <f t="shared" si="2"/>
        <v>KRWP0F01 LCLS Curncy</v>
      </c>
      <c r="J137" s="61" t="str">
        <f t="shared" si="2"/>
        <v>KRWC0F01 LCLS Curncy</v>
      </c>
      <c r="K137" s="61" t="str">
        <f t="shared" si="2"/>
        <v>KRWQ0F01 LCLS Curncy</v>
      </c>
      <c r="L137" s="61" t="str">
        <f t="shared" si="2"/>
        <v>KRWR0F01 LCLS Curncy</v>
      </c>
      <c r="M137" s="61" t="str">
        <f t="shared" si="2"/>
        <v>KRWD0F01 LCLS Curncy</v>
      </c>
      <c r="N137" s="61" t="str">
        <f t="shared" si="2"/>
        <v>KRWD0F01 LCLS Curncy</v>
      </c>
      <c r="O137" s="61" t="str">
        <f t="shared" si="2"/>
        <v xml:space="preserve"> LCLS Curncy</v>
      </c>
      <c r="Q137" s="61" t="str">
        <f>_xll.BDH(B137,$Q$2,$Q$1,$Q$1)</f>
        <v>#N/A Invalid Security</v>
      </c>
      <c r="R137" s="61" t="str">
        <f>_xll.BDH(C137,$Q$2,$Q$1,$Q$1)</f>
        <v>#N/A Invalid Security</v>
      </c>
      <c r="S137" s="61" t="str">
        <f>_xll.BDH(D137,$Q$2,$Q$1,$Q$1)</f>
        <v>#N/A Invalid Security</v>
      </c>
      <c r="T137" s="61" t="str">
        <f>_xll.BDH(E137,$Q$2,$Q$1,$Q$1)</f>
        <v>#N/A Invalid Security</v>
      </c>
      <c r="U137" s="61" t="str">
        <f>_xll.BDH(F137,$Q$2,$Q$1,$Q$1)</f>
        <v>#N/A Invalid Security</v>
      </c>
      <c r="V137" s="61" t="str">
        <f>_xll.BDH(G137,$Q$2,$Q$1,$Q$1)</f>
        <v>#N/A Invalid Security</v>
      </c>
      <c r="W137" s="61" t="str">
        <f>_xll.BDH(H137,$Q$2,$Q$1,$Q$1)</f>
        <v>#N/A Invalid Security</v>
      </c>
      <c r="X137" s="61" t="str">
        <f>_xll.BDH(I137,$Q$2,$Q$1,$Q$1)</f>
        <v>#N/A Invalid Security</v>
      </c>
      <c r="Y137" s="61" t="str">
        <f>_xll.BDH(J137,$Q$2,$Q$1,$Q$1)</f>
        <v>#N/A Invalid Security</v>
      </c>
      <c r="Z137" s="61" t="str">
        <f>_xll.BDH(K137,$Q$2,$Q$1,$Q$1)</f>
        <v>#N/A Invalid Security</v>
      </c>
      <c r="AA137" s="61" t="str">
        <f>_xll.BDH(L137,$Q$2,$Q$1,$Q$1)</f>
        <v>#N/A Invalid Security</v>
      </c>
      <c r="AB137" s="61" t="str">
        <f>_xll.BDH(M137,$Q$2,$Q$1,$Q$1)</f>
        <v>#N/A Invalid Security</v>
      </c>
      <c r="AC137" s="61" t="str">
        <f>_xll.BDH(N137,$Q$2,$Q$1,$Q$1)</f>
        <v>#N/A Invalid Security</v>
      </c>
      <c r="AD137" s="61" t="str">
        <f>_xll.BDH(P137,$Q$2,$Q$1,$Q$1)</f>
        <v>#N/A Mandatory parameter [SECURITY] cannot be empty</v>
      </c>
      <c r="AE137" s="61" t="str">
        <f>_xll.BDH(Q137,$Q$2,$Q$1,$Q$1)</f>
        <v>#N/A Invalid Security</v>
      </c>
      <c r="AF137" s="61" t="str">
        <f>_xll.BDH(R137,$Q$2,$Q$1,$Q$1)</f>
        <v>#N/A Invalid Security</v>
      </c>
    </row>
    <row r="138" spans="1:32" ht="16.5" x14ac:dyDescent="0.3">
      <c r="A138" s="63"/>
      <c r="B138" s="61" t="str">
        <f t="shared" si="1"/>
        <v>KRWA0F02 LCLS Curncy</v>
      </c>
      <c r="C138" s="61" t="str">
        <f t="shared" si="2"/>
        <v>KRWK0F02 LCLS Curncy</v>
      </c>
      <c r="D138" s="61" t="str">
        <f t="shared" si="2"/>
        <v>KRWL0F02 LCLS Curncy</v>
      </c>
      <c r="E138" s="61" t="str">
        <f t="shared" si="2"/>
        <v>KRWB0F02 LCLS Curncy</v>
      </c>
      <c r="F138" s="61" t="str">
        <f t="shared" si="2"/>
        <v>KRWM0F02 LCLS Curncy</v>
      </c>
      <c r="G138" s="61" t="str">
        <f t="shared" si="2"/>
        <v>KRWN0F02 LCLS Curncy</v>
      </c>
      <c r="H138" s="61" t="str">
        <f t="shared" si="2"/>
        <v>KRWO0F02 LCLS Curncy</v>
      </c>
      <c r="I138" s="61" t="str">
        <f t="shared" si="2"/>
        <v>KRWP0F02 LCLS Curncy</v>
      </c>
      <c r="J138" s="61" t="str">
        <f t="shared" si="2"/>
        <v>KRWC0F02 LCLS Curncy</v>
      </c>
      <c r="K138" s="61" t="str">
        <f t="shared" si="2"/>
        <v>KRWQ0F02 LCLS Curncy</v>
      </c>
      <c r="L138" s="61" t="str">
        <f t="shared" si="2"/>
        <v>KRWR0F02 LCLS Curncy</v>
      </c>
      <c r="M138" s="61" t="str">
        <f t="shared" si="2"/>
        <v>KRWD0F02 LCLS Curncy</v>
      </c>
      <c r="N138" s="61" t="str">
        <f t="shared" si="2"/>
        <v>KRWD0F02 LCLS Curncy</v>
      </c>
      <c r="O138" s="61" t="str">
        <f t="shared" si="2"/>
        <v xml:space="preserve"> LCLS Curncy</v>
      </c>
      <c r="Q138" s="61" t="str">
        <f>_xll.BDH(B138,$Q$2,$Q$1,$Q$1)</f>
        <v>#N/A Invalid Security</v>
      </c>
      <c r="R138" s="61" t="str">
        <f>_xll.BDH(C138,$Q$2,$Q$1,$Q$1)</f>
        <v>#N/A Invalid Security</v>
      </c>
      <c r="S138" s="61" t="str">
        <f>_xll.BDH(D138,$Q$2,$Q$1,$Q$1)</f>
        <v>#N/A Invalid Security</v>
      </c>
      <c r="T138" s="61" t="str">
        <f>_xll.BDH(E138,$Q$2,$Q$1,$Q$1)</f>
        <v>#N/A Invalid Security</v>
      </c>
      <c r="U138" s="61" t="str">
        <f>_xll.BDH(F138,$Q$2,$Q$1,$Q$1)</f>
        <v>#N/A Invalid Security</v>
      </c>
      <c r="V138" s="61" t="str">
        <f>_xll.BDH(G138,$Q$2,$Q$1,$Q$1)</f>
        <v>#N/A Invalid Security</v>
      </c>
      <c r="W138" s="61" t="str">
        <f>_xll.BDH(H138,$Q$2,$Q$1,$Q$1)</f>
        <v>#N/A Invalid Security</v>
      </c>
      <c r="X138" s="61" t="str">
        <f>_xll.BDH(I138,$Q$2,$Q$1,$Q$1)</f>
        <v>#N/A Invalid Security</v>
      </c>
      <c r="Y138" s="61" t="str">
        <f>_xll.BDH(J138,$Q$2,$Q$1,$Q$1)</f>
        <v>#N/A Invalid Security</v>
      </c>
      <c r="Z138" s="61" t="str">
        <f>_xll.BDH(K138,$Q$2,$Q$1,$Q$1)</f>
        <v>#N/A Invalid Security</v>
      </c>
      <c r="AA138" s="61" t="str">
        <f>_xll.BDH(L138,$Q$2,$Q$1,$Q$1)</f>
        <v>#N/A Invalid Security</v>
      </c>
      <c r="AB138" s="61" t="str">
        <f>_xll.BDH(M138,$Q$2,$Q$1,$Q$1)</f>
        <v>#N/A Invalid Security</v>
      </c>
      <c r="AC138" s="61" t="str">
        <f>_xll.BDH(N138,$Q$2,$Q$1,$Q$1)</f>
        <v>#N/A Invalid Security</v>
      </c>
      <c r="AD138" s="61" t="str">
        <f>_xll.BDH(P138,$Q$2,$Q$1,$Q$1)</f>
        <v>#N/A Mandatory parameter [SECURITY] cannot be empty</v>
      </c>
      <c r="AE138" s="61" t="str">
        <f>_xll.BDH(Q138,$Q$2,$Q$1,$Q$1)</f>
        <v>#N/A Invalid Security</v>
      </c>
      <c r="AF138" s="61" t="str">
        <f>_xll.BDH(R138,$Q$2,$Q$1,$Q$1)</f>
        <v>#N/A Invalid Security</v>
      </c>
    </row>
    <row r="139" spans="1:32" ht="16.5" x14ac:dyDescent="0.3">
      <c r="A139" s="63"/>
      <c r="B139" s="61" t="str">
        <f t="shared" si="1"/>
        <v>KRWA0F03 LCLS Curncy</v>
      </c>
      <c r="C139" s="61" t="str">
        <f t="shared" si="2"/>
        <v>KRWK0F03 LCLS Curncy</v>
      </c>
      <c r="D139" s="61" t="str">
        <f t="shared" si="2"/>
        <v>KRWL0F03 LCLS Curncy</v>
      </c>
      <c r="E139" s="61" t="str">
        <f t="shared" si="2"/>
        <v>KRWB0F03 LCLS Curncy</v>
      </c>
      <c r="F139" s="61" t="str">
        <f t="shared" si="2"/>
        <v>KRWM0F03 LCLS Curncy</v>
      </c>
      <c r="G139" s="61" t="str">
        <f t="shared" si="2"/>
        <v>KRWN0F03 LCLS Curncy</v>
      </c>
      <c r="H139" s="61" t="str">
        <f t="shared" si="2"/>
        <v>KRWO0F03 LCLS Curncy</v>
      </c>
      <c r="I139" s="61" t="str">
        <f t="shared" si="2"/>
        <v>KRWP0F03 LCLS Curncy</v>
      </c>
      <c r="J139" s="61" t="str">
        <f t="shared" si="2"/>
        <v>KRWC0F03 LCLS Curncy</v>
      </c>
      <c r="K139" s="61" t="str">
        <f t="shared" si="2"/>
        <v>KRWQ0F03 LCLS Curncy</v>
      </c>
      <c r="L139" s="61" t="str">
        <f t="shared" si="2"/>
        <v>KRWR0F03 LCLS Curncy</v>
      </c>
      <c r="M139" s="61" t="str">
        <f t="shared" si="2"/>
        <v>KRWD0F03 LCLS Curncy</v>
      </c>
      <c r="N139" s="61" t="str">
        <f t="shared" si="2"/>
        <v>KRWD0F03 LCLS Curncy</v>
      </c>
      <c r="O139" s="61" t="str">
        <f t="shared" si="2"/>
        <v xml:space="preserve"> LCLS Curncy</v>
      </c>
      <c r="Q139" s="61" t="str">
        <f>_xll.BDH(B139,$Q$2,$Q$1,$Q$1)</f>
        <v>#N/A Invalid Security</v>
      </c>
      <c r="R139" s="61" t="str">
        <f>_xll.BDH(C139,$Q$2,$Q$1,$Q$1)</f>
        <v>#N/A Invalid Security</v>
      </c>
      <c r="S139" s="61" t="str">
        <f>_xll.BDH(D139,$Q$2,$Q$1,$Q$1)</f>
        <v>#N/A Invalid Security</v>
      </c>
      <c r="T139" s="61" t="str">
        <f>_xll.BDH(E139,$Q$2,$Q$1,$Q$1)</f>
        <v>#N/A Invalid Security</v>
      </c>
      <c r="U139" s="61" t="str">
        <f>_xll.BDH(F139,$Q$2,$Q$1,$Q$1)</f>
        <v>#N/A Invalid Security</v>
      </c>
      <c r="V139" s="61" t="str">
        <f>_xll.BDH(G139,$Q$2,$Q$1,$Q$1)</f>
        <v>#N/A Invalid Security</v>
      </c>
      <c r="W139" s="61" t="str">
        <f>_xll.BDH(H139,$Q$2,$Q$1,$Q$1)</f>
        <v>#N/A Invalid Security</v>
      </c>
      <c r="X139" s="61" t="str">
        <f>_xll.BDH(I139,$Q$2,$Q$1,$Q$1)</f>
        <v>#N/A Invalid Security</v>
      </c>
      <c r="Y139" s="61" t="str">
        <f>_xll.BDH(J139,$Q$2,$Q$1,$Q$1)</f>
        <v>#N/A Invalid Security</v>
      </c>
      <c r="Z139" s="61" t="str">
        <f>_xll.BDH(K139,$Q$2,$Q$1,$Q$1)</f>
        <v>#N/A Invalid Security</v>
      </c>
      <c r="AA139" s="61" t="str">
        <f>_xll.BDH(L139,$Q$2,$Q$1,$Q$1)</f>
        <v>#N/A Invalid Security</v>
      </c>
      <c r="AB139" s="61" t="str">
        <f>_xll.BDH(M139,$Q$2,$Q$1,$Q$1)</f>
        <v>#N/A Invalid Security</v>
      </c>
      <c r="AC139" s="61" t="str">
        <f>_xll.BDH(N139,$Q$2,$Q$1,$Q$1)</f>
        <v>#N/A Invalid Security</v>
      </c>
      <c r="AD139" s="61" t="str">
        <f>_xll.BDH(P139,$Q$2,$Q$1,$Q$1)</f>
        <v>#N/A Mandatory parameter [SECURITY] cannot be empty</v>
      </c>
      <c r="AE139" s="61" t="str">
        <f>_xll.BDH(Q139,$Q$2,$Q$1,$Q$1)</f>
        <v>#N/A Invalid Security</v>
      </c>
      <c r="AF139" s="61" t="str">
        <f>_xll.BDH(R139,$Q$2,$Q$1,$Q$1)</f>
        <v>#N/A Invalid Security</v>
      </c>
    </row>
    <row r="140" spans="1:32" ht="16.5" x14ac:dyDescent="0.3">
      <c r="A140" s="63"/>
      <c r="B140" s="61" t="str">
        <f t="shared" si="1"/>
        <v>KRWA0F04 LCLS Curncy</v>
      </c>
      <c r="C140" s="61" t="str">
        <f t="shared" si="2"/>
        <v>KRWK0F04 LCLS Curncy</v>
      </c>
      <c r="D140" s="61" t="str">
        <f t="shared" si="2"/>
        <v>KRWL0F04 LCLS Curncy</v>
      </c>
      <c r="E140" s="61" t="str">
        <f t="shared" si="2"/>
        <v>KRWB0F04 LCLS Curncy</v>
      </c>
      <c r="F140" s="61" t="str">
        <f t="shared" si="2"/>
        <v>KRWM0F04 LCLS Curncy</v>
      </c>
      <c r="G140" s="61" t="str">
        <f t="shared" si="2"/>
        <v>KRWN0F04 LCLS Curncy</v>
      </c>
      <c r="H140" s="61" t="str">
        <f t="shared" si="2"/>
        <v>KRWO0F04 LCLS Curncy</v>
      </c>
      <c r="I140" s="61" t="str">
        <f t="shared" si="2"/>
        <v>KRWP0F04 LCLS Curncy</v>
      </c>
      <c r="J140" s="61" t="str">
        <f t="shared" si="2"/>
        <v>KRWC0F04 LCLS Curncy</v>
      </c>
      <c r="K140" s="61" t="str">
        <f t="shared" si="2"/>
        <v>KRWQ0F04 LCLS Curncy</v>
      </c>
      <c r="L140" s="61" t="str">
        <f t="shared" si="2"/>
        <v>KRWR0F04 LCLS Curncy</v>
      </c>
      <c r="M140" s="61" t="str">
        <f t="shared" si="2"/>
        <v>KRWD0F04 LCLS Curncy</v>
      </c>
      <c r="N140" s="61" t="str">
        <f t="shared" si="2"/>
        <v>KRWD0F04 LCLS Curncy</v>
      </c>
      <c r="O140" s="61" t="str">
        <f t="shared" si="2"/>
        <v xml:space="preserve"> LCLS Curncy</v>
      </c>
      <c r="Q140" s="61" t="str">
        <f>_xll.BDH(B140,$Q$2,$Q$1,$Q$1)</f>
        <v>#N/A Invalid Security</v>
      </c>
      <c r="R140" s="61" t="str">
        <f>_xll.BDH(C140,$Q$2,$Q$1,$Q$1)</f>
        <v>#N/A Invalid Security</v>
      </c>
      <c r="S140" s="61" t="str">
        <f>_xll.BDH(D140,$Q$2,$Q$1,$Q$1)</f>
        <v>#N/A Invalid Security</v>
      </c>
      <c r="T140" s="61" t="str">
        <f>_xll.BDH(E140,$Q$2,$Q$1,$Q$1)</f>
        <v>#N/A Invalid Security</v>
      </c>
      <c r="U140" s="61" t="str">
        <f>_xll.BDH(F140,$Q$2,$Q$1,$Q$1)</f>
        <v>#N/A Invalid Security</v>
      </c>
      <c r="V140" s="61" t="str">
        <f>_xll.BDH(G140,$Q$2,$Q$1,$Q$1)</f>
        <v>#N/A Invalid Security</v>
      </c>
      <c r="W140" s="61" t="str">
        <f>_xll.BDH(H140,$Q$2,$Q$1,$Q$1)</f>
        <v>#N/A Invalid Security</v>
      </c>
      <c r="X140" s="61" t="str">
        <f>_xll.BDH(I140,$Q$2,$Q$1,$Q$1)</f>
        <v>#N/A Invalid Security</v>
      </c>
      <c r="Y140" s="61" t="str">
        <f>_xll.BDH(J140,$Q$2,$Q$1,$Q$1)</f>
        <v>#N/A Invalid Security</v>
      </c>
      <c r="Z140" s="61" t="str">
        <f>_xll.BDH(K140,$Q$2,$Q$1,$Q$1)</f>
        <v>#N/A Invalid Security</v>
      </c>
      <c r="AA140" s="61" t="str">
        <f>_xll.BDH(L140,$Q$2,$Q$1,$Q$1)</f>
        <v>#N/A Invalid Security</v>
      </c>
      <c r="AB140" s="61" t="str">
        <f>_xll.BDH(M140,$Q$2,$Q$1,$Q$1)</f>
        <v>#N/A Invalid Security</v>
      </c>
      <c r="AC140" s="61" t="str">
        <f>_xll.BDH(N140,$Q$2,$Q$1,$Q$1)</f>
        <v>#N/A Invalid Security</v>
      </c>
      <c r="AD140" s="61" t="str">
        <f>_xll.BDH(P140,$Q$2,$Q$1,$Q$1)</f>
        <v>#N/A Mandatory parameter [SECURITY] cannot be empty</v>
      </c>
      <c r="AE140" s="61" t="str">
        <f>_xll.BDH(Q140,$Q$2,$Q$1,$Q$1)</f>
        <v>#N/A Invalid Security</v>
      </c>
      <c r="AF140" s="61" t="str">
        <f>_xll.BDH(R140,$Q$2,$Q$1,$Q$1)</f>
        <v>#N/A Invalid Security</v>
      </c>
    </row>
    <row r="141" spans="1:32" ht="16.5" x14ac:dyDescent="0.3">
      <c r="A141" s="63"/>
      <c r="B141" s="61" t="str">
        <f t="shared" si="1"/>
        <v>KRWA0F05 LCLS Curncy</v>
      </c>
      <c r="C141" s="61" t="str">
        <f t="shared" si="2"/>
        <v>KRWK0F05 LCLS Curncy</v>
      </c>
      <c r="D141" s="61" t="str">
        <f t="shared" si="2"/>
        <v>KRWL0F05 LCLS Curncy</v>
      </c>
      <c r="E141" s="61" t="str">
        <f t="shared" si="2"/>
        <v>KRWB0F05 LCLS Curncy</v>
      </c>
      <c r="F141" s="61" t="str">
        <f t="shared" si="2"/>
        <v>KRWM0F05 LCLS Curncy</v>
      </c>
      <c r="G141" s="61" t="str">
        <f t="shared" si="2"/>
        <v>KRWN0F05 LCLS Curncy</v>
      </c>
      <c r="H141" s="61" t="str">
        <f t="shared" si="2"/>
        <v>KRWO0F05 LCLS Curncy</v>
      </c>
      <c r="I141" s="61" t="str">
        <f t="shared" si="2"/>
        <v>KRWP0F05 LCLS Curncy</v>
      </c>
      <c r="J141" s="61" t="str">
        <f t="shared" si="2"/>
        <v>KRWC0F05 LCLS Curncy</v>
      </c>
      <c r="K141" s="61" t="str">
        <f t="shared" si="2"/>
        <v>KRWQ0F05 LCLS Curncy</v>
      </c>
      <c r="L141" s="61" t="str">
        <f t="shared" si="2"/>
        <v>KRWR0F05 LCLS Curncy</v>
      </c>
      <c r="M141" s="61" t="str">
        <f t="shared" si="2"/>
        <v>KRWD0F05 LCLS Curncy</v>
      </c>
      <c r="N141" s="61" t="str">
        <f t="shared" si="2"/>
        <v>KRWD0F05 LCLS Curncy</v>
      </c>
      <c r="O141" s="61" t="str">
        <f t="shared" si="2"/>
        <v xml:space="preserve"> LCLS Curncy</v>
      </c>
      <c r="Q141" s="61" t="str">
        <f>_xll.BDH(B141,$Q$2,$Q$1,$Q$1)</f>
        <v>#N/A Invalid Security</v>
      </c>
      <c r="R141" s="61" t="str">
        <f>_xll.BDH(C141,$Q$2,$Q$1,$Q$1)</f>
        <v>#N/A Invalid Security</v>
      </c>
      <c r="S141" s="61" t="str">
        <f>_xll.BDH(D141,$Q$2,$Q$1,$Q$1)</f>
        <v>#N/A Invalid Security</v>
      </c>
      <c r="T141" s="61" t="str">
        <f>_xll.BDH(E141,$Q$2,$Q$1,$Q$1)</f>
        <v>#N/A Invalid Security</v>
      </c>
      <c r="U141" s="61" t="str">
        <f>_xll.BDH(F141,$Q$2,$Q$1,$Q$1)</f>
        <v>#N/A Invalid Security</v>
      </c>
      <c r="V141" s="61" t="str">
        <f>_xll.BDH(G141,$Q$2,$Q$1,$Q$1)</f>
        <v>#N/A Invalid Security</v>
      </c>
      <c r="W141" s="61" t="str">
        <f>_xll.BDH(H141,$Q$2,$Q$1,$Q$1)</f>
        <v>#N/A Invalid Security</v>
      </c>
      <c r="X141" s="61" t="str">
        <f>_xll.BDH(I141,$Q$2,$Q$1,$Q$1)</f>
        <v>#N/A Invalid Security</v>
      </c>
      <c r="Y141" s="61" t="str">
        <f>_xll.BDH(J141,$Q$2,$Q$1,$Q$1)</f>
        <v>#N/A Invalid Security</v>
      </c>
      <c r="Z141" s="61" t="str">
        <f>_xll.BDH(K141,$Q$2,$Q$1,$Q$1)</f>
        <v>#N/A Invalid Security</v>
      </c>
      <c r="AA141" s="61" t="str">
        <f>_xll.BDH(L141,$Q$2,$Q$1,$Q$1)</f>
        <v>#N/A Invalid Security</v>
      </c>
      <c r="AB141" s="61" t="str">
        <f>_xll.BDH(M141,$Q$2,$Q$1,$Q$1)</f>
        <v>#N/A Invalid Security</v>
      </c>
      <c r="AC141" s="61" t="str">
        <f>_xll.BDH(N141,$Q$2,$Q$1,$Q$1)</f>
        <v>#N/A Invalid Security</v>
      </c>
      <c r="AD141" s="61" t="str">
        <f>_xll.BDH(P141,$Q$2,$Q$1,$Q$1)</f>
        <v>#N/A Mandatory parameter [SECURITY] cannot be empty</v>
      </c>
      <c r="AE141" s="61" t="str">
        <f>_xll.BDH(Q141,$Q$2,$Q$1,$Q$1)</f>
        <v>#N/A Invalid Security</v>
      </c>
      <c r="AF141" s="61" t="str">
        <f>_xll.BDH(R141,$Q$2,$Q$1,$Q$1)</f>
        <v>#N/A Invalid Security</v>
      </c>
    </row>
    <row r="142" spans="1:32" ht="16.5" x14ac:dyDescent="0.3">
      <c r="A142" s="63"/>
      <c r="B142" s="61" t="str">
        <f t="shared" si="1"/>
        <v>KRWA0F06 LCLS Curncy</v>
      </c>
      <c r="C142" s="61" t="str">
        <f t="shared" si="2"/>
        <v>KRWK0F06 LCLS Curncy</v>
      </c>
      <c r="D142" s="61" t="str">
        <f t="shared" si="2"/>
        <v>KRWL0F06 LCLS Curncy</v>
      </c>
      <c r="E142" s="61" t="str">
        <f t="shared" si="2"/>
        <v>KRWB0F06 LCLS Curncy</v>
      </c>
      <c r="F142" s="61" t="str">
        <f t="shared" si="2"/>
        <v>KRWM0F06 LCLS Curncy</v>
      </c>
      <c r="G142" s="61" t="str">
        <f t="shared" si="2"/>
        <v>KRWN0F06 LCLS Curncy</v>
      </c>
      <c r="H142" s="61" t="str">
        <f t="shared" si="2"/>
        <v>KRWO0F06 LCLS Curncy</v>
      </c>
      <c r="I142" s="61" t="str">
        <f t="shared" si="2"/>
        <v>KRWP0F06 LCLS Curncy</v>
      </c>
      <c r="J142" s="61" t="str">
        <f t="shared" si="2"/>
        <v>KRWC0F06 LCLS Curncy</v>
      </c>
      <c r="K142" s="61" t="str">
        <f t="shared" si="2"/>
        <v>KRWQ0F06 LCLS Curncy</v>
      </c>
      <c r="L142" s="61" t="str">
        <f t="shared" si="2"/>
        <v>KRWR0F06 LCLS Curncy</v>
      </c>
      <c r="M142" s="61" t="str">
        <f t="shared" si="2"/>
        <v>KRWD0F06 LCLS Curncy</v>
      </c>
      <c r="N142" s="61" t="str">
        <f t="shared" si="2"/>
        <v>KRWD0F06 LCLS Curncy</v>
      </c>
      <c r="O142" s="61" t="str">
        <f t="shared" si="2"/>
        <v xml:space="preserve"> LCLS Curncy</v>
      </c>
      <c r="Q142" s="61" t="str">
        <f>_xll.BDH(B142,$Q$2,$Q$1,$Q$1)</f>
        <v>#N/A Invalid Security</v>
      </c>
      <c r="R142" s="61" t="str">
        <f>_xll.BDH(C142,$Q$2,$Q$1,$Q$1)</f>
        <v>#N/A Invalid Security</v>
      </c>
      <c r="S142" s="61" t="str">
        <f>_xll.BDH(D142,$Q$2,$Q$1,$Q$1)</f>
        <v>#N/A Invalid Security</v>
      </c>
      <c r="T142" s="61" t="str">
        <f>_xll.BDH(E142,$Q$2,$Q$1,$Q$1)</f>
        <v>#N/A Invalid Security</v>
      </c>
      <c r="U142" s="61" t="str">
        <f>_xll.BDH(F142,$Q$2,$Q$1,$Q$1)</f>
        <v>#N/A Invalid Security</v>
      </c>
      <c r="V142" s="61" t="str">
        <f>_xll.BDH(G142,$Q$2,$Q$1,$Q$1)</f>
        <v>#N/A Invalid Security</v>
      </c>
      <c r="W142" s="61" t="str">
        <f>_xll.BDH(H142,$Q$2,$Q$1,$Q$1)</f>
        <v>#N/A Invalid Security</v>
      </c>
      <c r="X142" s="61" t="str">
        <f>_xll.BDH(I142,$Q$2,$Q$1,$Q$1)</f>
        <v>#N/A Invalid Security</v>
      </c>
      <c r="Y142" s="61" t="str">
        <f>_xll.BDH(J142,$Q$2,$Q$1,$Q$1)</f>
        <v>#N/A Invalid Security</v>
      </c>
      <c r="Z142" s="61" t="str">
        <f>_xll.BDH(K142,$Q$2,$Q$1,$Q$1)</f>
        <v>#N/A Invalid Security</v>
      </c>
      <c r="AA142" s="61" t="str">
        <f>_xll.BDH(L142,$Q$2,$Q$1,$Q$1)</f>
        <v>#N/A Invalid Security</v>
      </c>
      <c r="AB142" s="61" t="str">
        <f>_xll.BDH(M142,$Q$2,$Q$1,$Q$1)</f>
        <v>#N/A Invalid Security</v>
      </c>
      <c r="AC142" s="61" t="str">
        <f>_xll.BDH(N142,$Q$2,$Q$1,$Q$1)</f>
        <v>#N/A Invalid Security</v>
      </c>
      <c r="AD142" s="61" t="str">
        <f>_xll.BDH(P142,$Q$2,$Q$1,$Q$1)</f>
        <v>#N/A Mandatory parameter [SECURITY] cannot be empty</v>
      </c>
      <c r="AE142" s="61" t="str">
        <f>_xll.BDH(Q142,$Q$2,$Q$1,$Q$1)</f>
        <v>#N/A Invalid Security</v>
      </c>
      <c r="AF142" s="61" t="str">
        <f>_xll.BDH(R142,$Q$2,$Q$1,$Q$1)</f>
        <v>#N/A Invalid Security</v>
      </c>
    </row>
    <row r="143" spans="1:32" ht="16.5" x14ac:dyDescent="0.3">
      <c r="A143" s="63"/>
      <c r="B143" s="61" t="str">
        <f t="shared" si="1"/>
        <v>KRWA0F07 LCLS Curncy</v>
      </c>
      <c r="C143" s="61" t="str">
        <f t="shared" si="2"/>
        <v>KRWK0F07 LCLS Curncy</v>
      </c>
      <c r="D143" s="61" t="str">
        <f t="shared" si="2"/>
        <v>KRWL0F07 LCLS Curncy</v>
      </c>
      <c r="E143" s="61" t="str">
        <f t="shared" si="2"/>
        <v>KRWB0F07 LCLS Curncy</v>
      </c>
      <c r="F143" s="61" t="str">
        <f t="shared" si="2"/>
        <v>KRWM0F07 LCLS Curncy</v>
      </c>
      <c r="G143" s="61" t="str">
        <f t="shared" si="2"/>
        <v>KRWN0F07 LCLS Curncy</v>
      </c>
      <c r="H143" s="61" t="str">
        <f t="shared" si="2"/>
        <v>KRWO0F07 LCLS Curncy</v>
      </c>
      <c r="I143" s="61" t="str">
        <f t="shared" si="2"/>
        <v>KRWP0F07 LCLS Curncy</v>
      </c>
      <c r="J143" s="61" t="str">
        <f t="shared" si="2"/>
        <v>KRWC0F07 LCLS Curncy</v>
      </c>
      <c r="K143" s="61" t="str">
        <f t="shared" si="2"/>
        <v>KRWQ0F07 LCLS Curncy</v>
      </c>
      <c r="L143" s="61" t="str">
        <f t="shared" si="2"/>
        <v>KRWR0F07 LCLS Curncy</v>
      </c>
      <c r="M143" s="61" t="str">
        <f t="shared" si="2"/>
        <v>KRWD0F07 LCLS Curncy</v>
      </c>
      <c r="N143" s="61" t="str">
        <f t="shared" si="2"/>
        <v>KRWD0F07 LCLS Curncy</v>
      </c>
      <c r="O143" s="61" t="str">
        <f t="shared" si="2"/>
        <v xml:space="preserve"> LCLS Curncy</v>
      </c>
      <c r="Q143" s="61" t="str">
        <f>_xll.BDH(B143,$Q$2,$Q$1,$Q$1)</f>
        <v>#N/A Invalid Security</v>
      </c>
      <c r="R143" s="61" t="str">
        <f>_xll.BDH(C143,$Q$2,$Q$1,$Q$1)</f>
        <v>#N/A Invalid Security</v>
      </c>
      <c r="S143" s="61" t="str">
        <f>_xll.BDH(D143,$Q$2,$Q$1,$Q$1)</f>
        <v>#N/A Invalid Security</v>
      </c>
      <c r="T143" s="61" t="str">
        <f>_xll.BDH(E143,$Q$2,$Q$1,$Q$1)</f>
        <v>#N/A Invalid Security</v>
      </c>
      <c r="U143" s="61" t="str">
        <f>_xll.BDH(F143,$Q$2,$Q$1,$Q$1)</f>
        <v>#N/A Invalid Security</v>
      </c>
      <c r="V143" s="61" t="str">
        <f>_xll.BDH(G143,$Q$2,$Q$1,$Q$1)</f>
        <v>#N/A Invalid Security</v>
      </c>
      <c r="W143" s="61" t="str">
        <f>_xll.BDH(H143,$Q$2,$Q$1,$Q$1)</f>
        <v>#N/A Invalid Security</v>
      </c>
      <c r="X143" s="61" t="str">
        <f>_xll.BDH(I143,$Q$2,$Q$1,$Q$1)</f>
        <v>#N/A Invalid Security</v>
      </c>
      <c r="Y143" s="61" t="str">
        <f>_xll.BDH(J143,$Q$2,$Q$1,$Q$1)</f>
        <v>#N/A Invalid Security</v>
      </c>
      <c r="Z143" s="61" t="str">
        <f>_xll.BDH(K143,$Q$2,$Q$1,$Q$1)</f>
        <v>#N/A Invalid Security</v>
      </c>
      <c r="AA143" s="61" t="str">
        <f>_xll.BDH(L143,$Q$2,$Q$1,$Q$1)</f>
        <v>#N/A Invalid Security</v>
      </c>
      <c r="AB143" s="61" t="str">
        <f>_xll.BDH(M143,$Q$2,$Q$1,$Q$1)</f>
        <v>#N/A Invalid Security</v>
      </c>
      <c r="AC143" s="61" t="str">
        <f>_xll.BDH(N143,$Q$2,$Q$1,$Q$1)</f>
        <v>#N/A Invalid Security</v>
      </c>
      <c r="AD143" s="61" t="str">
        <f>_xll.BDH(P143,$Q$2,$Q$1,$Q$1)</f>
        <v>#N/A Mandatory parameter [SECURITY] cannot be empty</v>
      </c>
      <c r="AE143" s="61" t="str">
        <f>_xll.BDH(Q143,$Q$2,$Q$1,$Q$1)</f>
        <v>#N/A Invalid Security</v>
      </c>
      <c r="AF143" s="61" t="str">
        <f>_xll.BDH(R143,$Q$2,$Q$1,$Q$1)</f>
        <v>#N/A Invalid Security</v>
      </c>
    </row>
    <row r="144" spans="1:32" ht="16.5" x14ac:dyDescent="0.3">
      <c r="A144" s="63"/>
      <c r="B144" s="61" t="str">
        <f t="shared" si="1"/>
        <v>KRWA0F08 LCLS Curncy</v>
      </c>
      <c r="C144" s="61" t="str">
        <f t="shared" ref="C144:O159" si="3">C35&amp;" LCLS Curncy"</f>
        <v>KRWK0F08 LCLS Curncy</v>
      </c>
      <c r="D144" s="61" t="str">
        <f t="shared" si="3"/>
        <v>KRWL0F08 LCLS Curncy</v>
      </c>
      <c r="E144" s="61" t="str">
        <f t="shared" si="3"/>
        <v>KRWB0F08 LCLS Curncy</v>
      </c>
      <c r="F144" s="61" t="str">
        <f t="shared" si="3"/>
        <v>KRWM0F08 LCLS Curncy</v>
      </c>
      <c r="G144" s="61" t="str">
        <f t="shared" si="3"/>
        <v>KRWN0F08 LCLS Curncy</v>
      </c>
      <c r="H144" s="61" t="str">
        <f t="shared" si="3"/>
        <v>KRWO0F08 LCLS Curncy</v>
      </c>
      <c r="I144" s="61" t="str">
        <f t="shared" si="3"/>
        <v>KRWP0F08 LCLS Curncy</v>
      </c>
      <c r="J144" s="61" t="str">
        <f t="shared" si="3"/>
        <v>KRWC0F08 LCLS Curncy</v>
      </c>
      <c r="K144" s="61" t="str">
        <f t="shared" si="3"/>
        <v>KRWQ0F08 LCLS Curncy</v>
      </c>
      <c r="L144" s="61" t="str">
        <f t="shared" si="3"/>
        <v>KRWR0F08 LCLS Curncy</v>
      </c>
      <c r="M144" s="61" t="str">
        <f t="shared" si="3"/>
        <v>KRWD0F08 LCLS Curncy</v>
      </c>
      <c r="N144" s="61" t="str">
        <f t="shared" si="3"/>
        <v>KRWD0F08 LCLS Curncy</v>
      </c>
      <c r="O144" s="61" t="str">
        <f t="shared" si="3"/>
        <v xml:space="preserve"> LCLS Curncy</v>
      </c>
      <c r="Q144" s="61" t="str">
        <f>_xll.BDH(B144,$Q$2,$Q$1,$Q$1)</f>
        <v>#N/A Invalid Security</v>
      </c>
      <c r="R144" s="61" t="str">
        <f>_xll.BDH(C144,$Q$2,$Q$1,$Q$1)</f>
        <v>#N/A Invalid Security</v>
      </c>
      <c r="S144" s="61" t="str">
        <f>_xll.BDH(D144,$Q$2,$Q$1,$Q$1)</f>
        <v>#N/A Invalid Security</v>
      </c>
      <c r="T144" s="61" t="str">
        <f>_xll.BDH(E144,$Q$2,$Q$1,$Q$1)</f>
        <v>#N/A Invalid Security</v>
      </c>
      <c r="U144" s="61" t="str">
        <f>_xll.BDH(F144,$Q$2,$Q$1,$Q$1)</f>
        <v>#N/A Invalid Security</v>
      </c>
      <c r="V144" s="61" t="str">
        <f>_xll.BDH(G144,$Q$2,$Q$1,$Q$1)</f>
        <v>#N/A Invalid Security</v>
      </c>
      <c r="W144" s="61" t="str">
        <f>_xll.BDH(H144,$Q$2,$Q$1,$Q$1)</f>
        <v>#N/A Invalid Security</v>
      </c>
      <c r="X144" s="61" t="str">
        <f>_xll.BDH(I144,$Q$2,$Q$1,$Q$1)</f>
        <v>#N/A Invalid Security</v>
      </c>
      <c r="Y144" s="61" t="str">
        <f>_xll.BDH(J144,$Q$2,$Q$1,$Q$1)</f>
        <v>#N/A Invalid Security</v>
      </c>
      <c r="Z144" s="61" t="str">
        <f>_xll.BDH(K144,$Q$2,$Q$1,$Q$1)</f>
        <v>#N/A Invalid Security</v>
      </c>
      <c r="AA144" s="61" t="str">
        <f>_xll.BDH(L144,$Q$2,$Q$1,$Q$1)</f>
        <v>#N/A Invalid Security</v>
      </c>
      <c r="AB144" s="61" t="str">
        <f>_xll.BDH(M144,$Q$2,$Q$1,$Q$1)</f>
        <v>#N/A Invalid Security</v>
      </c>
      <c r="AC144" s="61" t="str">
        <f>_xll.BDH(N144,$Q$2,$Q$1,$Q$1)</f>
        <v>#N/A Invalid Security</v>
      </c>
      <c r="AD144" s="61" t="str">
        <f>_xll.BDH(P144,$Q$2,$Q$1,$Q$1)</f>
        <v>#N/A Mandatory parameter [SECURITY] cannot be empty</v>
      </c>
      <c r="AE144" s="61" t="str">
        <f>_xll.BDH(Q144,$Q$2,$Q$1,$Q$1)</f>
        <v>#N/A Invalid Security</v>
      </c>
      <c r="AF144" s="61" t="str">
        <f>_xll.BDH(R144,$Q$2,$Q$1,$Q$1)</f>
        <v>#N/A Invalid Security</v>
      </c>
    </row>
    <row r="145" spans="1:32" ht="16.5" x14ac:dyDescent="0.3">
      <c r="A145" s="63"/>
      <c r="B145" s="61" t="str">
        <f t="shared" si="1"/>
        <v>KRWA0F09 LCLS Curncy</v>
      </c>
      <c r="C145" s="61" t="str">
        <f t="shared" si="3"/>
        <v>KRWK0F09 LCLS Curncy</v>
      </c>
      <c r="D145" s="61" t="str">
        <f t="shared" si="3"/>
        <v>KRWL0F09 LCLS Curncy</v>
      </c>
      <c r="E145" s="61" t="str">
        <f t="shared" si="3"/>
        <v>KRWB0F09 LCLS Curncy</v>
      </c>
      <c r="F145" s="61" t="str">
        <f t="shared" si="3"/>
        <v>KRWM0F09 LCLS Curncy</v>
      </c>
      <c r="G145" s="61" t="str">
        <f t="shared" si="3"/>
        <v>KRWN0F09 LCLS Curncy</v>
      </c>
      <c r="H145" s="61" t="str">
        <f t="shared" si="3"/>
        <v>KRWO0F09 LCLS Curncy</v>
      </c>
      <c r="I145" s="61" t="str">
        <f t="shared" si="3"/>
        <v>KRWP0F09 LCLS Curncy</v>
      </c>
      <c r="J145" s="61" t="str">
        <f t="shared" si="3"/>
        <v>KRWC0F09 LCLS Curncy</v>
      </c>
      <c r="K145" s="61" t="str">
        <f t="shared" si="3"/>
        <v>KRWQ0F09 LCLS Curncy</v>
      </c>
      <c r="L145" s="61" t="str">
        <f t="shared" si="3"/>
        <v>KRWR0F09 LCLS Curncy</v>
      </c>
      <c r="M145" s="61" t="str">
        <f t="shared" si="3"/>
        <v>KRWD0F09 LCLS Curncy</v>
      </c>
      <c r="N145" s="61" t="str">
        <f t="shared" si="3"/>
        <v>KRWD0F09 LCLS Curncy</v>
      </c>
      <c r="O145" s="61" t="str">
        <f t="shared" si="3"/>
        <v xml:space="preserve"> LCLS Curncy</v>
      </c>
      <c r="Q145" s="61" t="str">
        <f>_xll.BDH(B145,$Q$2,$Q$1,$Q$1)</f>
        <v>#N/A Invalid Security</v>
      </c>
      <c r="R145" s="61" t="str">
        <f>_xll.BDH(C145,$Q$2,$Q$1,$Q$1)</f>
        <v>#N/A Invalid Security</v>
      </c>
      <c r="S145" s="61" t="str">
        <f>_xll.BDH(D145,$Q$2,$Q$1,$Q$1)</f>
        <v>#N/A Invalid Security</v>
      </c>
      <c r="T145" s="61" t="str">
        <f>_xll.BDH(E145,$Q$2,$Q$1,$Q$1)</f>
        <v>#N/A Invalid Security</v>
      </c>
      <c r="U145" s="61" t="str">
        <f>_xll.BDH(F145,$Q$2,$Q$1,$Q$1)</f>
        <v>#N/A Invalid Security</v>
      </c>
      <c r="V145" s="61" t="str">
        <f>_xll.BDH(G145,$Q$2,$Q$1,$Q$1)</f>
        <v>#N/A Invalid Security</v>
      </c>
      <c r="W145" s="61" t="str">
        <f>_xll.BDH(H145,$Q$2,$Q$1,$Q$1)</f>
        <v>#N/A Invalid Security</v>
      </c>
      <c r="X145" s="61" t="str">
        <f>_xll.BDH(I145,$Q$2,$Q$1,$Q$1)</f>
        <v>#N/A Invalid Security</v>
      </c>
      <c r="Y145" s="61" t="str">
        <f>_xll.BDH(J145,$Q$2,$Q$1,$Q$1)</f>
        <v>#N/A Invalid Security</v>
      </c>
      <c r="Z145" s="61" t="str">
        <f>_xll.BDH(K145,$Q$2,$Q$1,$Q$1)</f>
        <v>#N/A Invalid Security</v>
      </c>
      <c r="AA145" s="61" t="str">
        <f>_xll.BDH(L145,$Q$2,$Q$1,$Q$1)</f>
        <v>#N/A Invalid Security</v>
      </c>
      <c r="AB145" s="61" t="str">
        <f>_xll.BDH(M145,$Q$2,$Q$1,$Q$1)</f>
        <v>#N/A Invalid Security</v>
      </c>
      <c r="AC145" s="61" t="str">
        <f>_xll.BDH(N145,$Q$2,$Q$1,$Q$1)</f>
        <v>#N/A Invalid Security</v>
      </c>
      <c r="AD145" s="61" t="str">
        <f>_xll.BDH(P145,$Q$2,$Q$1,$Q$1)</f>
        <v>#N/A Mandatory parameter [SECURITY] cannot be empty</v>
      </c>
      <c r="AE145" s="61" t="str">
        <f>_xll.BDH(Q145,$Q$2,$Q$1,$Q$1)</f>
        <v>#N/A Invalid Security</v>
      </c>
      <c r="AF145" s="61" t="str">
        <f>_xll.BDH(R145,$Q$2,$Q$1,$Q$1)</f>
        <v>#N/A Invalid Security</v>
      </c>
    </row>
    <row r="146" spans="1:32" ht="16.5" x14ac:dyDescent="0.3">
      <c r="A146" s="63"/>
      <c r="B146" s="61" t="str">
        <f t="shared" si="1"/>
        <v>KRWA0F10 LCLS Curncy</v>
      </c>
      <c r="C146" s="61" t="str">
        <f t="shared" si="3"/>
        <v>KRWK0F10 LCLS Curncy</v>
      </c>
      <c r="D146" s="61" t="str">
        <f t="shared" si="3"/>
        <v>KRWL0F10 LCLS Curncy</v>
      </c>
      <c r="E146" s="61" t="str">
        <f t="shared" si="3"/>
        <v>KRWB0F10 LCLS Curncy</v>
      </c>
      <c r="F146" s="61" t="str">
        <f t="shared" si="3"/>
        <v>KRWM0F10 LCLS Curncy</v>
      </c>
      <c r="G146" s="61" t="str">
        <f t="shared" si="3"/>
        <v>KRWN0F10 LCLS Curncy</v>
      </c>
      <c r="H146" s="61" t="str">
        <f t="shared" si="3"/>
        <v>KRWO0F10 LCLS Curncy</v>
      </c>
      <c r="I146" s="61" t="str">
        <f t="shared" si="3"/>
        <v>KRWP0F10 LCLS Curncy</v>
      </c>
      <c r="J146" s="61" t="str">
        <f t="shared" si="3"/>
        <v>KRWC0F10 LCLS Curncy</v>
      </c>
      <c r="K146" s="61" t="str">
        <f t="shared" si="3"/>
        <v>KRWQ0F10 LCLS Curncy</v>
      </c>
      <c r="L146" s="61" t="str">
        <f t="shared" si="3"/>
        <v>KRWR0F10 LCLS Curncy</v>
      </c>
      <c r="M146" s="61" t="str">
        <f t="shared" si="3"/>
        <v>KRWD0F10 LCLS Curncy</v>
      </c>
      <c r="N146" s="61" t="str">
        <f t="shared" si="3"/>
        <v>KRWD0F10 LCLS Curncy</v>
      </c>
      <c r="O146" s="61" t="str">
        <f t="shared" si="3"/>
        <v xml:space="preserve"> LCLS Curncy</v>
      </c>
      <c r="Q146" s="61" t="str">
        <f>_xll.BDH(B146,$Q$2,$Q$1,$Q$1)</f>
        <v>#N/A Invalid Security</v>
      </c>
      <c r="R146" s="61" t="str">
        <f>_xll.BDH(C146,$Q$2,$Q$1,$Q$1)</f>
        <v>#N/A Invalid Security</v>
      </c>
      <c r="S146" s="61" t="str">
        <f>_xll.BDH(D146,$Q$2,$Q$1,$Q$1)</f>
        <v>#N/A Invalid Security</v>
      </c>
      <c r="T146" s="61" t="str">
        <f>_xll.BDH(E146,$Q$2,$Q$1,$Q$1)</f>
        <v>#N/A Invalid Security</v>
      </c>
      <c r="U146" s="61" t="str">
        <f>_xll.BDH(F146,$Q$2,$Q$1,$Q$1)</f>
        <v>#N/A Invalid Security</v>
      </c>
      <c r="V146" s="61" t="str">
        <f>_xll.BDH(G146,$Q$2,$Q$1,$Q$1)</f>
        <v>#N/A Invalid Security</v>
      </c>
      <c r="W146" s="61" t="str">
        <f>_xll.BDH(H146,$Q$2,$Q$1,$Q$1)</f>
        <v>#N/A Invalid Security</v>
      </c>
      <c r="X146" s="61" t="str">
        <f>_xll.BDH(I146,$Q$2,$Q$1,$Q$1)</f>
        <v>#N/A Invalid Security</v>
      </c>
      <c r="Y146" s="61" t="str">
        <f>_xll.BDH(J146,$Q$2,$Q$1,$Q$1)</f>
        <v>#N/A Invalid Security</v>
      </c>
      <c r="Z146" s="61" t="str">
        <f>_xll.BDH(K146,$Q$2,$Q$1,$Q$1)</f>
        <v>#N/A Invalid Security</v>
      </c>
      <c r="AA146" s="61" t="str">
        <f>_xll.BDH(L146,$Q$2,$Q$1,$Q$1)</f>
        <v>#N/A Invalid Security</v>
      </c>
      <c r="AB146" s="61" t="str">
        <f>_xll.BDH(M146,$Q$2,$Q$1,$Q$1)</f>
        <v>#N/A Invalid Security</v>
      </c>
      <c r="AC146" s="61" t="str">
        <f>_xll.BDH(N146,$Q$2,$Q$1,$Q$1)</f>
        <v>#N/A Invalid Security</v>
      </c>
      <c r="AD146" s="61" t="str">
        <f>_xll.BDH(P146,$Q$2,$Q$1,$Q$1)</f>
        <v>#N/A Mandatory parameter [SECURITY] cannot be empty</v>
      </c>
      <c r="AE146" s="61" t="str">
        <f>_xll.BDH(Q146,$Q$2,$Q$1,$Q$1)</f>
        <v>#N/A Invalid Security</v>
      </c>
      <c r="AF146" s="61" t="str">
        <f>_xll.BDH(R146,$Q$2,$Q$1,$Q$1)</f>
        <v>#N/A Invalid Security</v>
      </c>
    </row>
    <row r="147" spans="1:32" ht="16.5" x14ac:dyDescent="0.3">
      <c r="A147" s="63"/>
      <c r="B147" s="61" t="str">
        <f t="shared" si="1"/>
        <v>KRWA0F15 LCLS Curncy</v>
      </c>
      <c r="C147" s="61" t="str">
        <f t="shared" si="3"/>
        <v>KRWK0F15 LCLS Curncy</v>
      </c>
      <c r="D147" s="61" t="str">
        <f t="shared" si="3"/>
        <v>KRWL0F15 LCLS Curncy</v>
      </c>
      <c r="E147" s="61" t="str">
        <f t="shared" si="3"/>
        <v>KRWB0F15 LCLS Curncy</v>
      </c>
      <c r="F147" s="61" t="str">
        <f t="shared" si="3"/>
        <v>KRWM0F15 LCLS Curncy</v>
      </c>
      <c r="G147" s="61" t="str">
        <f t="shared" si="3"/>
        <v>KRWN0F15 LCLS Curncy</v>
      </c>
      <c r="H147" s="61" t="str">
        <f t="shared" si="3"/>
        <v>KRWO0F15 LCLS Curncy</v>
      </c>
      <c r="I147" s="61" t="str">
        <f t="shared" si="3"/>
        <v>KRWP0F15 LCLS Curncy</v>
      </c>
      <c r="J147" s="61" t="str">
        <f t="shared" si="3"/>
        <v>KRWC0F15 LCLS Curncy</v>
      </c>
      <c r="K147" s="61" t="str">
        <f t="shared" si="3"/>
        <v>KRWQ0F15 LCLS Curncy</v>
      </c>
      <c r="L147" s="61" t="str">
        <f t="shared" si="3"/>
        <v>KRWR0F15 LCLS Curncy</v>
      </c>
      <c r="M147" s="61" t="str">
        <f t="shared" si="3"/>
        <v>KRWD0F15 LCLS Curncy</v>
      </c>
      <c r="N147" s="61" t="str">
        <f t="shared" si="3"/>
        <v>KRWD0F15 LCLS Curncy</v>
      </c>
      <c r="O147" s="61" t="str">
        <f t="shared" si="3"/>
        <v xml:space="preserve"> LCLS Curncy</v>
      </c>
      <c r="Q147" s="61" t="str">
        <f>_xll.BDH(B147,$Q$2,$Q$1,$Q$1)</f>
        <v>#N/A Invalid Security</v>
      </c>
      <c r="R147" s="61" t="str">
        <f>_xll.BDH(C147,$Q$2,$Q$1,$Q$1)</f>
        <v>#N/A Invalid Security</v>
      </c>
      <c r="S147" s="61" t="str">
        <f>_xll.BDH(D147,$Q$2,$Q$1,$Q$1)</f>
        <v>#N/A Invalid Security</v>
      </c>
      <c r="T147" s="61" t="str">
        <f>_xll.BDH(E147,$Q$2,$Q$1,$Q$1)</f>
        <v>#N/A Invalid Security</v>
      </c>
      <c r="U147" s="61" t="str">
        <f>_xll.BDH(F147,$Q$2,$Q$1,$Q$1)</f>
        <v>#N/A Invalid Security</v>
      </c>
      <c r="V147" s="61" t="str">
        <f>_xll.BDH(G147,$Q$2,$Q$1,$Q$1)</f>
        <v>#N/A Invalid Security</v>
      </c>
      <c r="W147" s="61" t="str">
        <f>_xll.BDH(H147,$Q$2,$Q$1,$Q$1)</f>
        <v>#N/A Invalid Security</v>
      </c>
      <c r="X147" s="61" t="str">
        <f>_xll.BDH(I147,$Q$2,$Q$1,$Q$1)</f>
        <v>#N/A Invalid Security</v>
      </c>
      <c r="Y147" s="61" t="str">
        <f>_xll.BDH(J147,$Q$2,$Q$1,$Q$1)</f>
        <v>#N/A Invalid Security</v>
      </c>
      <c r="Z147" s="61" t="str">
        <f>_xll.BDH(K147,$Q$2,$Q$1,$Q$1)</f>
        <v>#N/A Invalid Security</v>
      </c>
      <c r="AA147" s="61" t="str">
        <f>_xll.BDH(L147,$Q$2,$Q$1,$Q$1)</f>
        <v>#N/A Invalid Security</v>
      </c>
      <c r="AB147" s="61" t="str">
        <f>_xll.BDH(M147,$Q$2,$Q$1,$Q$1)</f>
        <v>#N/A Invalid Security</v>
      </c>
      <c r="AC147" s="61" t="str">
        <f>_xll.BDH(N147,$Q$2,$Q$1,$Q$1)</f>
        <v>#N/A Invalid Security</v>
      </c>
      <c r="AD147" s="61" t="str">
        <f>_xll.BDH(P147,$Q$2,$Q$1,$Q$1)</f>
        <v>#N/A Mandatory parameter [SECURITY] cannot be empty</v>
      </c>
      <c r="AE147" s="61" t="str">
        <f>_xll.BDH(Q147,$Q$2,$Q$1,$Q$1)</f>
        <v>#N/A Invalid Security</v>
      </c>
      <c r="AF147" s="61" t="str">
        <f>_xll.BDH(R147,$Q$2,$Q$1,$Q$1)</f>
        <v>#N/A Invalid Security</v>
      </c>
    </row>
    <row r="148" spans="1:32" ht="16.5" x14ac:dyDescent="0.3">
      <c r="A148" s="63"/>
      <c r="B148" s="61" t="str">
        <f t="shared" si="1"/>
        <v>KRWA0F20 LCLS Curncy</v>
      </c>
      <c r="C148" s="61" t="str">
        <f t="shared" si="3"/>
        <v>KRWK0F20 LCLS Curncy</v>
      </c>
      <c r="D148" s="61" t="str">
        <f t="shared" si="3"/>
        <v>KRWL0F20 LCLS Curncy</v>
      </c>
      <c r="E148" s="61" t="str">
        <f t="shared" si="3"/>
        <v>KRWB0F20 LCLS Curncy</v>
      </c>
      <c r="F148" s="61" t="str">
        <f t="shared" si="3"/>
        <v>KRWM0F20 LCLS Curncy</v>
      </c>
      <c r="G148" s="61" t="str">
        <f t="shared" si="3"/>
        <v>KRWN0F20 LCLS Curncy</v>
      </c>
      <c r="H148" s="61" t="str">
        <f t="shared" si="3"/>
        <v>KRWO0F20 LCLS Curncy</v>
      </c>
      <c r="I148" s="61" t="str">
        <f t="shared" si="3"/>
        <v>KRWP0F20 LCLS Curncy</v>
      </c>
      <c r="J148" s="61" t="str">
        <f t="shared" si="3"/>
        <v>KRWC0F20 LCLS Curncy</v>
      </c>
      <c r="K148" s="61" t="str">
        <f t="shared" si="3"/>
        <v>KRWQ0F20 LCLS Curncy</v>
      </c>
      <c r="L148" s="61" t="str">
        <f t="shared" si="3"/>
        <v>KRWR0F20 LCLS Curncy</v>
      </c>
      <c r="M148" s="61" t="str">
        <f t="shared" si="3"/>
        <v>KRWD0F20 LCLS Curncy</v>
      </c>
      <c r="N148" s="61" t="str">
        <f t="shared" si="3"/>
        <v>KRWD0F20 LCLS Curncy</v>
      </c>
      <c r="O148" s="61" t="str">
        <f t="shared" si="3"/>
        <v xml:space="preserve"> LCLS Curncy</v>
      </c>
      <c r="Q148" s="61" t="str">
        <f>_xll.BDH(B148,$Q$2,$Q$1,$Q$1)</f>
        <v>#N/A Invalid Security</v>
      </c>
      <c r="R148" s="61" t="str">
        <f>_xll.BDH(C148,$Q$2,$Q$1,$Q$1)</f>
        <v>#N/A Invalid Security</v>
      </c>
      <c r="S148" s="61" t="str">
        <f>_xll.BDH(D148,$Q$2,$Q$1,$Q$1)</f>
        <v>#N/A Invalid Security</v>
      </c>
      <c r="T148" s="61" t="str">
        <f>_xll.BDH(E148,$Q$2,$Q$1,$Q$1)</f>
        <v>#N/A Invalid Security</v>
      </c>
      <c r="U148" s="61" t="str">
        <f>_xll.BDH(F148,$Q$2,$Q$1,$Q$1)</f>
        <v>#N/A Invalid Security</v>
      </c>
      <c r="V148" s="61" t="str">
        <f>_xll.BDH(G148,$Q$2,$Q$1,$Q$1)</f>
        <v>#N/A Invalid Security</v>
      </c>
      <c r="W148" s="61" t="str">
        <f>_xll.BDH(H148,$Q$2,$Q$1,$Q$1)</f>
        <v>#N/A Invalid Security</v>
      </c>
      <c r="X148" s="61" t="str">
        <f>_xll.BDH(I148,$Q$2,$Q$1,$Q$1)</f>
        <v>#N/A Invalid Security</v>
      </c>
      <c r="Y148" s="61" t="str">
        <f>_xll.BDH(J148,$Q$2,$Q$1,$Q$1)</f>
        <v>#N/A Invalid Security</v>
      </c>
      <c r="Z148" s="61" t="str">
        <f>_xll.BDH(K148,$Q$2,$Q$1,$Q$1)</f>
        <v>#N/A Invalid Security</v>
      </c>
      <c r="AA148" s="61" t="str">
        <f>_xll.BDH(L148,$Q$2,$Q$1,$Q$1)</f>
        <v>#N/A Invalid Security</v>
      </c>
      <c r="AB148" s="61" t="str">
        <f>_xll.BDH(M148,$Q$2,$Q$1,$Q$1)</f>
        <v>#N/A Invalid Security</v>
      </c>
      <c r="AC148" s="61" t="str">
        <f>_xll.BDH(N148,$Q$2,$Q$1,$Q$1)</f>
        <v>#N/A Invalid Security</v>
      </c>
      <c r="AD148" s="61" t="str">
        <f>_xll.BDH(P148,$Q$2,$Q$1,$Q$1)</f>
        <v>#N/A Mandatory parameter [SECURITY] cannot be empty</v>
      </c>
      <c r="AE148" s="61" t="str">
        <f>_xll.BDH(Q148,$Q$2,$Q$1,$Q$1)</f>
        <v>#N/A Invalid Security</v>
      </c>
      <c r="AF148" s="61" t="str">
        <f>_xll.BDH(R148,$Q$2,$Q$1,$Q$1)</f>
        <v>#N/A Invalid Security</v>
      </c>
    </row>
    <row r="149" spans="1:32" ht="16.5" x14ac:dyDescent="0.3">
      <c r="A149" s="63"/>
      <c r="B149" s="61" t="str">
        <f t="shared" si="1"/>
        <v>KRWA0101 LCLS Curncy</v>
      </c>
      <c r="C149" s="61" t="str">
        <f t="shared" si="3"/>
        <v>KRWK0101 LCLS Curncy</v>
      </c>
      <c r="D149" s="61" t="str">
        <f t="shared" si="3"/>
        <v>KRWL0101 LCLS Curncy</v>
      </c>
      <c r="E149" s="61" t="str">
        <f t="shared" si="3"/>
        <v>KRWB0101 LCLS Curncy</v>
      </c>
      <c r="F149" s="61" t="str">
        <f t="shared" si="3"/>
        <v>KRWM0101 LCLS Curncy</v>
      </c>
      <c r="G149" s="61" t="str">
        <f t="shared" si="3"/>
        <v>KRWN0101 LCLS Curncy</v>
      </c>
      <c r="H149" s="61" t="str">
        <f t="shared" si="3"/>
        <v>KRWO0101 LCLS Curncy</v>
      </c>
      <c r="I149" s="61" t="str">
        <f t="shared" si="3"/>
        <v>KRWP0101 LCLS Curncy</v>
      </c>
      <c r="J149" s="61" t="str">
        <f t="shared" si="3"/>
        <v>KRWC0101 LCLS Curncy</v>
      </c>
      <c r="K149" s="61" t="str">
        <f t="shared" si="3"/>
        <v>KRWQ0101 LCLS Curncy</v>
      </c>
      <c r="L149" s="61" t="str">
        <f t="shared" si="3"/>
        <v>KRWR0101 LCLS Curncy</v>
      </c>
      <c r="M149" s="61" t="str">
        <f t="shared" si="3"/>
        <v>KRWD0101 LCLS Curncy</v>
      </c>
      <c r="N149" s="61" t="str">
        <f t="shared" si="3"/>
        <v>KRWD0101 LCLS Curncy</v>
      </c>
      <c r="O149" s="61" t="str">
        <f t="shared" si="3"/>
        <v xml:space="preserve"> LCLS Curncy</v>
      </c>
      <c r="Q149" s="61" t="str">
        <f>_xll.BDH(B149,$Q$2,$Q$1,$Q$1)</f>
        <v>#N/A Invalid Security</v>
      </c>
      <c r="R149" s="61" t="str">
        <f>_xll.BDH(C149,$Q$2,$Q$1,$Q$1)</f>
        <v>#N/A Invalid Security</v>
      </c>
      <c r="S149" s="61" t="str">
        <f>_xll.BDH(D149,$Q$2,$Q$1,$Q$1)</f>
        <v>#N/A Invalid Security</v>
      </c>
      <c r="T149" s="61" t="str">
        <f>_xll.BDH(E149,$Q$2,$Q$1,$Q$1)</f>
        <v>#N/A Invalid Security</v>
      </c>
      <c r="U149" s="61" t="str">
        <f>_xll.BDH(F149,$Q$2,$Q$1,$Q$1)</f>
        <v>#N/A Invalid Security</v>
      </c>
      <c r="V149" s="61" t="str">
        <f>_xll.BDH(G149,$Q$2,$Q$1,$Q$1)</f>
        <v>#N/A Invalid Security</v>
      </c>
      <c r="W149" s="61" t="str">
        <f>_xll.BDH(H149,$Q$2,$Q$1,$Q$1)</f>
        <v>#N/A Invalid Security</v>
      </c>
      <c r="X149" s="61" t="str">
        <f>_xll.BDH(I149,$Q$2,$Q$1,$Q$1)</f>
        <v>#N/A Invalid Security</v>
      </c>
      <c r="Y149" s="61" t="str">
        <f>_xll.BDH(J149,$Q$2,$Q$1,$Q$1)</f>
        <v>#N/A Invalid Security</v>
      </c>
      <c r="Z149" s="61" t="str">
        <f>_xll.BDH(K149,$Q$2,$Q$1,$Q$1)</f>
        <v>#N/A Invalid Security</v>
      </c>
      <c r="AA149" s="61" t="str">
        <f>_xll.BDH(L149,$Q$2,$Q$1,$Q$1)</f>
        <v>#N/A Invalid Security</v>
      </c>
      <c r="AB149" s="61" t="str">
        <f>_xll.BDH(M149,$Q$2,$Q$1,$Q$1)</f>
        <v>#N/A Invalid Security</v>
      </c>
      <c r="AC149" s="61" t="str">
        <f>_xll.BDH(N149,$Q$2,$Q$1,$Q$1)</f>
        <v>#N/A Invalid Security</v>
      </c>
      <c r="AD149" s="61" t="str">
        <f>_xll.BDH(P149,$Q$2,$Q$1,$Q$1)</f>
        <v>#N/A Mandatory parameter [SECURITY] cannot be empty</v>
      </c>
      <c r="AE149" s="61" t="str">
        <f>_xll.BDH(Q149,$Q$2,$Q$1,$Q$1)</f>
        <v>#N/A Invalid Security</v>
      </c>
      <c r="AF149" s="61" t="str">
        <f>_xll.BDH(R149,$Q$2,$Q$1,$Q$1)</f>
        <v>#N/A Invalid Security</v>
      </c>
    </row>
    <row r="150" spans="1:32" ht="16.5" x14ac:dyDescent="0.3">
      <c r="A150" s="63"/>
      <c r="B150" s="61" t="str">
        <f t="shared" si="1"/>
        <v>KRWA0102 LCLS Curncy</v>
      </c>
      <c r="C150" s="61" t="str">
        <f t="shared" si="3"/>
        <v>KRWK0102 LCLS Curncy</v>
      </c>
      <c r="D150" s="61" t="str">
        <f t="shared" si="3"/>
        <v>KRWL0102 LCLS Curncy</v>
      </c>
      <c r="E150" s="61" t="str">
        <f t="shared" si="3"/>
        <v>KRWB0102 LCLS Curncy</v>
      </c>
      <c r="F150" s="61" t="str">
        <f t="shared" si="3"/>
        <v>KRWM0102 LCLS Curncy</v>
      </c>
      <c r="G150" s="61" t="str">
        <f t="shared" si="3"/>
        <v>KRWN0102 LCLS Curncy</v>
      </c>
      <c r="H150" s="61" t="str">
        <f t="shared" si="3"/>
        <v>KRWO0102 LCLS Curncy</v>
      </c>
      <c r="I150" s="61" t="str">
        <f t="shared" si="3"/>
        <v>KRWP0102 LCLS Curncy</v>
      </c>
      <c r="J150" s="61" t="str">
        <f t="shared" si="3"/>
        <v>KRWC0102 LCLS Curncy</v>
      </c>
      <c r="K150" s="61" t="str">
        <f t="shared" si="3"/>
        <v>KRWQ0102 LCLS Curncy</v>
      </c>
      <c r="L150" s="61" t="str">
        <f t="shared" si="3"/>
        <v>KRWR0102 LCLS Curncy</v>
      </c>
      <c r="M150" s="61" t="str">
        <f t="shared" si="3"/>
        <v>KRWD0102 LCLS Curncy</v>
      </c>
      <c r="N150" s="61" t="str">
        <f t="shared" si="3"/>
        <v>KRWD0102 LCLS Curncy</v>
      </c>
      <c r="O150" s="61" t="str">
        <f t="shared" si="3"/>
        <v xml:space="preserve"> LCLS Curncy</v>
      </c>
      <c r="Q150" s="61" t="str">
        <f>_xll.BDH(B150,$Q$2,$Q$1,$Q$1)</f>
        <v>#N/A Invalid Security</v>
      </c>
      <c r="R150" s="61" t="str">
        <f>_xll.BDH(C150,$Q$2,$Q$1,$Q$1)</f>
        <v>#N/A Invalid Security</v>
      </c>
      <c r="S150" s="61" t="str">
        <f>_xll.BDH(D150,$Q$2,$Q$1,$Q$1)</f>
        <v>#N/A Invalid Security</v>
      </c>
      <c r="T150" s="61" t="str">
        <f>_xll.BDH(E150,$Q$2,$Q$1,$Q$1)</f>
        <v>#N/A Invalid Security</v>
      </c>
      <c r="U150" s="61" t="str">
        <f>_xll.BDH(F150,$Q$2,$Q$1,$Q$1)</f>
        <v>#N/A Invalid Security</v>
      </c>
      <c r="V150" s="61" t="str">
        <f>_xll.BDH(G150,$Q$2,$Q$1,$Q$1)</f>
        <v>#N/A Invalid Security</v>
      </c>
      <c r="W150" s="61" t="str">
        <f>_xll.BDH(H150,$Q$2,$Q$1,$Q$1)</f>
        <v>#N/A Invalid Security</v>
      </c>
      <c r="X150" s="61" t="str">
        <f>_xll.BDH(I150,$Q$2,$Q$1,$Q$1)</f>
        <v>#N/A Invalid Security</v>
      </c>
      <c r="Y150" s="61" t="str">
        <f>_xll.BDH(J150,$Q$2,$Q$1,$Q$1)</f>
        <v>#N/A Invalid Security</v>
      </c>
      <c r="Z150" s="61" t="str">
        <f>_xll.BDH(K150,$Q$2,$Q$1,$Q$1)</f>
        <v>#N/A Invalid Security</v>
      </c>
      <c r="AA150" s="61" t="str">
        <f>_xll.BDH(L150,$Q$2,$Q$1,$Q$1)</f>
        <v>#N/A Invalid Security</v>
      </c>
      <c r="AB150" s="61" t="str">
        <f>_xll.BDH(M150,$Q$2,$Q$1,$Q$1)</f>
        <v>#N/A Invalid Security</v>
      </c>
      <c r="AC150" s="61" t="str">
        <f>_xll.BDH(N150,$Q$2,$Q$1,$Q$1)</f>
        <v>#N/A Invalid Security</v>
      </c>
      <c r="AD150" s="61" t="str">
        <f>_xll.BDH(P150,$Q$2,$Q$1,$Q$1)</f>
        <v>#N/A Mandatory parameter [SECURITY] cannot be empty</v>
      </c>
      <c r="AE150" s="61" t="str">
        <f>_xll.BDH(Q150,$Q$2,$Q$1,$Q$1)</f>
        <v>#N/A Invalid Security</v>
      </c>
      <c r="AF150" s="61" t="str">
        <f>_xll.BDH(R150,$Q$2,$Q$1,$Q$1)</f>
        <v>#N/A Invalid Security</v>
      </c>
    </row>
    <row r="151" spans="1:32" ht="16.5" x14ac:dyDescent="0.3">
      <c r="A151" s="63"/>
      <c r="B151" s="61" t="str">
        <f t="shared" si="1"/>
        <v>KRWA0103 LCLS Curncy</v>
      </c>
      <c r="C151" s="61" t="str">
        <f t="shared" si="3"/>
        <v>KRWK0103 LCLS Curncy</v>
      </c>
      <c r="D151" s="61" t="str">
        <f t="shared" si="3"/>
        <v>KRWL0103 LCLS Curncy</v>
      </c>
      <c r="E151" s="61" t="str">
        <f t="shared" si="3"/>
        <v>KRWB0103 LCLS Curncy</v>
      </c>
      <c r="F151" s="61" t="str">
        <f t="shared" si="3"/>
        <v>KRWM0103 LCLS Curncy</v>
      </c>
      <c r="G151" s="61" t="str">
        <f t="shared" si="3"/>
        <v>KRWN0103 LCLS Curncy</v>
      </c>
      <c r="H151" s="61" t="str">
        <f t="shared" si="3"/>
        <v>KRWO0103 LCLS Curncy</v>
      </c>
      <c r="I151" s="61" t="str">
        <f t="shared" si="3"/>
        <v>KRWP0103 LCLS Curncy</v>
      </c>
      <c r="J151" s="61" t="str">
        <f t="shared" si="3"/>
        <v>KRWC0103 LCLS Curncy</v>
      </c>
      <c r="K151" s="61" t="str">
        <f t="shared" si="3"/>
        <v>KRWQ0103 LCLS Curncy</v>
      </c>
      <c r="L151" s="61" t="str">
        <f t="shared" si="3"/>
        <v>KRWR0103 LCLS Curncy</v>
      </c>
      <c r="M151" s="61" t="str">
        <f t="shared" si="3"/>
        <v>KRWD0103 LCLS Curncy</v>
      </c>
      <c r="N151" s="61" t="str">
        <f t="shared" si="3"/>
        <v>KRWD0103 LCLS Curncy</v>
      </c>
      <c r="O151" s="61" t="str">
        <f t="shared" si="3"/>
        <v xml:space="preserve"> LCLS Curncy</v>
      </c>
      <c r="Q151" s="61" t="str">
        <f>_xll.BDH(B151,$Q$2,$Q$1,$Q$1)</f>
        <v>#N/A Invalid Security</v>
      </c>
      <c r="R151" s="61" t="str">
        <f>_xll.BDH(C151,$Q$2,$Q$1,$Q$1)</f>
        <v>#N/A Invalid Security</v>
      </c>
      <c r="S151" s="61" t="str">
        <f>_xll.BDH(D151,$Q$2,$Q$1,$Q$1)</f>
        <v>#N/A Invalid Security</v>
      </c>
      <c r="T151" s="61" t="str">
        <f>_xll.BDH(E151,$Q$2,$Q$1,$Q$1)</f>
        <v>#N/A Invalid Security</v>
      </c>
      <c r="U151" s="61" t="str">
        <f>_xll.BDH(F151,$Q$2,$Q$1,$Q$1)</f>
        <v>#N/A Invalid Security</v>
      </c>
      <c r="V151" s="61" t="str">
        <f>_xll.BDH(G151,$Q$2,$Q$1,$Q$1)</f>
        <v>#N/A Invalid Security</v>
      </c>
      <c r="W151" s="61" t="str">
        <f>_xll.BDH(H151,$Q$2,$Q$1,$Q$1)</f>
        <v>#N/A Invalid Security</v>
      </c>
      <c r="X151" s="61" t="str">
        <f>_xll.BDH(I151,$Q$2,$Q$1,$Q$1)</f>
        <v>#N/A Invalid Security</v>
      </c>
      <c r="Y151" s="61" t="str">
        <f>_xll.BDH(J151,$Q$2,$Q$1,$Q$1)</f>
        <v>#N/A Invalid Security</v>
      </c>
      <c r="Z151" s="61" t="str">
        <f>_xll.BDH(K151,$Q$2,$Q$1,$Q$1)</f>
        <v>#N/A Invalid Security</v>
      </c>
      <c r="AA151" s="61" t="str">
        <f>_xll.BDH(L151,$Q$2,$Q$1,$Q$1)</f>
        <v>#N/A Invalid Security</v>
      </c>
      <c r="AB151" s="61" t="str">
        <f>_xll.BDH(M151,$Q$2,$Q$1,$Q$1)</f>
        <v>#N/A Invalid Security</v>
      </c>
      <c r="AC151" s="61" t="str">
        <f>_xll.BDH(N151,$Q$2,$Q$1,$Q$1)</f>
        <v>#N/A Invalid Security</v>
      </c>
      <c r="AD151" s="61" t="str">
        <f>_xll.BDH(P151,$Q$2,$Q$1,$Q$1)</f>
        <v>#N/A Mandatory parameter [SECURITY] cannot be empty</v>
      </c>
      <c r="AE151" s="61" t="str">
        <f>_xll.BDH(Q151,$Q$2,$Q$1,$Q$1)</f>
        <v>#N/A Invalid Security</v>
      </c>
      <c r="AF151" s="61" t="str">
        <f>_xll.BDH(R151,$Q$2,$Q$1,$Q$1)</f>
        <v>#N/A Invalid Security</v>
      </c>
    </row>
    <row r="152" spans="1:32" ht="16.5" x14ac:dyDescent="0.3">
      <c r="A152" s="63"/>
      <c r="B152" s="61" t="str">
        <f t="shared" si="1"/>
        <v>KRWA0104 LCLS Curncy</v>
      </c>
      <c r="C152" s="61" t="str">
        <f t="shared" si="3"/>
        <v>KRWK0104 LCLS Curncy</v>
      </c>
      <c r="D152" s="61" t="str">
        <f t="shared" si="3"/>
        <v>KRWL0104 LCLS Curncy</v>
      </c>
      <c r="E152" s="61" t="str">
        <f t="shared" si="3"/>
        <v>KRWB0104 LCLS Curncy</v>
      </c>
      <c r="F152" s="61" t="str">
        <f t="shared" si="3"/>
        <v>KRWM0104 LCLS Curncy</v>
      </c>
      <c r="G152" s="61" t="str">
        <f t="shared" si="3"/>
        <v>KRWN0104 LCLS Curncy</v>
      </c>
      <c r="H152" s="61" t="str">
        <f t="shared" si="3"/>
        <v>KRWO0104 LCLS Curncy</v>
      </c>
      <c r="I152" s="61" t="str">
        <f t="shared" si="3"/>
        <v>KRWP0104 LCLS Curncy</v>
      </c>
      <c r="J152" s="61" t="str">
        <f t="shared" si="3"/>
        <v>KRWC0104 LCLS Curncy</v>
      </c>
      <c r="K152" s="61" t="str">
        <f t="shared" si="3"/>
        <v>KRWQ0104 LCLS Curncy</v>
      </c>
      <c r="L152" s="61" t="str">
        <f t="shared" si="3"/>
        <v>KRWR0104 LCLS Curncy</v>
      </c>
      <c r="M152" s="61" t="str">
        <f t="shared" si="3"/>
        <v>KRWD0104 LCLS Curncy</v>
      </c>
      <c r="N152" s="61" t="str">
        <f t="shared" si="3"/>
        <v>KRWD0104 LCLS Curncy</v>
      </c>
      <c r="O152" s="61" t="str">
        <f t="shared" si="3"/>
        <v xml:space="preserve"> LCLS Curncy</v>
      </c>
      <c r="Q152" s="61" t="str">
        <f>_xll.BDH(B152,$Q$2,$Q$1,$Q$1)</f>
        <v>#N/A Invalid Security</v>
      </c>
      <c r="R152" s="61" t="str">
        <f>_xll.BDH(C152,$Q$2,$Q$1,$Q$1)</f>
        <v>#N/A Invalid Security</v>
      </c>
      <c r="S152" s="61" t="str">
        <f>_xll.BDH(D152,$Q$2,$Q$1,$Q$1)</f>
        <v>#N/A Invalid Security</v>
      </c>
      <c r="T152" s="61" t="str">
        <f>_xll.BDH(E152,$Q$2,$Q$1,$Q$1)</f>
        <v>#N/A Invalid Security</v>
      </c>
      <c r="U152" s="61" t="str">
        <f>_xll.BDH(F152,$Q$2,$Q$1,$Q$1)</f>
        <v>#N/A Invalid Security</v>
      </c>
      <c r="V152" s="61" t="str">
        <f>_xll.BDH(G152,$Q$2,$Q$1,$Q$1)</f>
        <v>#N/A Invalid Security</v>
      </c>
      <c r="W152" s="61" t="str">
        <f>_xll.BDH(H152,$Q$2,$Q$1,$Q$1)</f>
        <v>#N/A Invalid Security</v>
      </c>
      <c r="X152" s="61" t="str">
        <f>_xll.BDH(I152,$Q$2,$Q$1,$Q$1)</f>
        <v>#N/A Invalid Security</v>
      </c>
      <c r="Y152" s="61" t="str">
        <f>_xll.BDH(J152,$Q$2,$Q$1,$Q$1)</f>
        <v>#N/A Invalid Security</v>
      </c>
      <c r="Z152" s="61" t="str">
        <f>_xll.BDH(K152,$Q$2,$Q$1,$Q$1)</f>
        <v>#N/A Invalid Security</v>
      </c>
      <c r="AA152" s="61" t="str">
        <f>_xll.BDH(L152,$Q$2,$Q$1,$Q$1)</f>
        <v>#N/A Invalid Security</v>
      </c>
      <c r="AB152" s="61" t="str">
        <f>_xll.BDH(M152,$Q$2,$Q$1,$Q$1)</f>
        <v>#N/A Invalid Security</v>
      </c>
      <c r="AC152" s="61" t="str">
        <f>_xll.BDH(N152,$Q$2,$Q$1,$Q$1)</f>
        <v>#N/A Invalid Security</v>
      </c>
      <c r="AD152" s="61" t="str">
        <f>_xll.BDH(P152,$Q$2,$Q$1,$Q$1)</f>
        <v>#N/A Mandatory parameter [SECURITY] cannot be empty</v>
      </c>
      <c r="AE152" s="61" t="str">
        <f>_xll.BDH(Q152,$Q$2,$Q$1,$Q$1)</f>
        <v>#N/A Invalid Security</v>
      </c>
      <c r="AF152" s="61" t="str">
        <f>_xll.BDH(R152,$Q$2,$Q$1,$Q$1)</f>
        <v>#N/A Invalid Security</v>
      </c>
    </row>
    <row r="153" spans="1:32" ht="16.5" x14ac:dyDescent="0.3">
      <c r="A153" s="63"/>
      <c r="B153" s="61" t="str">
        <f t="shared" si="1"/>
        <v>KRWA0105 LCLS Curncy</v>
      </c>
      <c r="C153" s="61" t="str">
        <f t="shared" si="3"/>
        <v>KRWK0105 LCLS Curncy</v>
      </c>
      <c r="D153" s="61" t="str">
        <f t="shared" si="3"/>
        <v>KRWL0105 LCLS Curncy</v>
      </c>
      <c r="E153" s="61" t="str">
        <f t="shared" si="3"/>
        <v>KRWB0105 LCLS Curncy</v>
      </c>
      <c r="F153" s="61" t="str">
        <f t="shared" si="3"/>
        <v>KRWM0105 LCLS Curncy</v>
      </c>
      <c r="G153" s="61" t="str">
        <f t="shared" si="3"/>
        <v>KRWN0105 LCLS Curncy</v>
      </c>
      <c r="H153" s="61" t="str">
        <f t="shared" si="3"/>
        <v>KRWO0105 LCLS Curncy</v>
      </c>
      <c r="I153" s="61" t="str">
        <f t="shared" si="3"/>
        <v>KRWP0105 LCLS Curncy</v>
      </c>
      <c r="J153" s="61" t="str">
        <f t="shared" si="3"/>
        <v>KRWC0105 LCLS Curncy</v>
      </c>
      <c r="K153" s="61" t="str">
        <f t="shared" si="3"/>
        <v>KRWQ0105 LCLS Curncy</v>
      </c>
      <c r="L153" s="61" t="str">
        <f t="shared" si="3"/>
        <v>KRWR0105 LCLS Curncy</v>
      </c>
      <c r="M153" s="61" t="str">
        <f t="shared" si="3"/>
        <v>KRWD0105 LCLS Curncy</v>
      </c>
      <c r="N153" s="61" t="str">
        <f t="shared" si="3"/>
        <v>KRWD0105 LCLS Curncy</v>
      </c>
      <c r="O153" s="61" t="str">
        <f t="shared" si="3"/>
        <v xml:space="preserve"> LCLS Curncy</v>
      </c>
      <c r="Q153" s="61" t="str">
        <f>_xll.BDH(B153,$Q$2,$Q$1,$Q$1)</f>
        <v>#N/A Invalid Security</v>
      </c>
      <c r="R153" s="61" t="str">
        <f>_xll.BDH(C153,$Q$2,$Q$1,$Q$1)</f>
        <v>#N/A Invalid Security</v>
      </c>
      <c r="S153" s="61" t="str">
        <f>_xll.BDH(D153,$Q$2,$Q$1,$Q$1)</f>
        <v>#N/A Invalid Security</v>
      </c>
      <c r="T153" s="61" t="str">
        <f>_xll.BDH(E153,$Q$2,$Q$1,$Q$1)</f>
        <v>#N/A Invalid Security</v>
      </c>
      <c r="U153" s="61" t="str">
        <f>_xll.BDH(F153,$Q$2,$Q$1,$Q$1)</f>
        <v>#N/A Invalid Security</v>
      </c>
      <c r="V153" s="61" t="str">
        <f>_xll.BDH(G153,$Q$2,$Q$1,$Q$1)</f>
        <v>#N/A Invalid Security</v>
      </c>
      <c r="W153" s="61" t="str">
        <f>_xll.BDH(H153,$Q$2,$Q$1,$Q$1)</f>
        <v>#N/A Invalid Security</v>
      </c>
      <c r="X153" s="61" t="str">
        <f>_xll.BDH(I153,$Q$2,$Q$1,$Q$1)</f>
        <v>#N/A Invalid Security</v>
      </c>
      <c r="Y153" s="61" t="str">
        <f>_xll.BDH(J153,$Q$2,$Q$1,$Q$1)</f>
        <v>#N/A Invalid Security</v>
      </c>
      <c r="Z153" s="61" t="str">
        <f>_xll.BDH(K153,$Q$2,$Q$1,$Q$1)</f>
        <v>#N/A Invalid Security</v>
      </c>
      <c r="AA153" s="61" t="str">
        <f>_xll.BDH(L153,$Q$2,$Q$1,$Q$1)</f>
        <v>#N/A Invalid Security</v>
      </c>
      <c r="AB153" s="61" t="str">
        <f>_xll.BDH(M153,$Q$2,$Q$1,$Q$1)</f>
        <v>#N/A Invalid Security</v>
      </c>
      <c r="AC153" s="61" t="str">
        <f>_xll.BDH(N153,$Q$2,$Q$1,$Q$1)</f>
        <v>#N/A Invalid Security</v>
      </c>
      <c r="AD153" s="61" t="str">
        <f>_xll.BDH(P153,$Q$2,$Q$1,$Q$1)</f>
        <v>#N/A Mandatory parameter [SECURITY] cannot be empty</v>
      </c>
      <c r="AE153" s="61" t="str">
        <f>_xll.BDH(Q153,$Q$2,$Q$1,$Q$1)</f>
        <v>#N/A Invalid Security</v>
      </c>
      <c r="AF153" s="61" t="str">
        <f>_xll.BDH(R153,$Q$2,$Q$1,$Q$1)</f>
        <v>#N/A Invalid Security</v>
      </c>
    </row>
    <row r="154" spans="1:32" ht="16.5" x14ac:dyDescent="0.3">
      <c r="A154" s="63"/>
      <c r="B154" s="61" t="str">
        <f t="shared" si="1"/>
        <v>KRWA0106 LCLS Curncy</v>
      </c>
      <c r="C154" s="61" t="str">
        <f t="shared" si="3"/>
        <v>KRWK0106 LCLS Curncy</v>
      </c>
      <c r="D154" s="61" t="str">
        <f t="shared" si="3"/>
        <v>KRWL0106 LCLS Curncy</v>
      </c>
      <c r="E154" s="61" t="str">
        <f t="shared" si="3"/>
        <v>KRWB0106 LCLS Curncy</v>
      </c>
      <c r="F154" s="61" t="str">
        <f t="shared" si="3"/>
        <v>KRWM0106 LCLS Curncy</v>
      </c>
      <c r="G154" s="61" t="str">
        <f t="shared" si="3"/>
        <v>KRWN0106 LCLS Curncy</v>
      </c>
      <c r="H154" s="61" t="str">
        <f t="shared" si="3"/>
        <v>KRWO0106 LCLS Curncy</v>
      </c>
      <c r="I154" s="61" t="str">
        <f t="shared" si="3"/>
        <v>KRWP0106 LCLS Curncy</v>
      </c>
      <c r="J154" s="61" t="str">
        <f t="shared" si="3"/>
        <v>KRWC0106 LCLS Curncy</v>
      </c>
      <c r="K154" s="61" t="str">
        <f t="shared" si="3"/>
        <v>KRWQ0106 LCLS Curncy</v>
      </c>
      <c r="L154" s="61" t="str">
        <f t="shared" si="3"/>
        <v>KRWR0106 LCLS Curncy</v>
      </c>
      <c r="M154" s="61" t="str">
        <f t="shared" si="3"/>
        <v>KRWD0106 LCLS Curncy</v>
      </c>
      <c r="N154" s="61" t="str">
        <f t="shared" si="3"/>
        <v>KRWD0106 LCLS Curncy</v>
      </c>
      <c r="O154" s="61" t="str">
        <f t="shared" si="3"/>
        <v xml:space="preserve"> LCLS Curncy</v>
      </c>
      <c r="Q154" s="61" t="str">
        <f>_xll.BDH(B154,$Q$2,$Q$1,$Q$1)</f>
        <v>#N/A Invalid Security</v>
      </c>
      <c r="R154" s="61" t="str">
        <f>_xll.BDH(C154,$Q$2,$Q$1,$Q$1)</f>
        <v>#N/A Invalid Security</v>
      </c>
      <c r="S154" s="61" t="str">
        <f>_xll.BDH(D154,$Q$2,$Q$1,$Q$1)</f>
        <v>#N/A Invalid Security</v>
      </c>
      <c r="T154" s="61" t="str">
        <f>_xll.BDH(E154,$Q$2,$Q$1,$Q$1)</f>
        <v>#N/A Invalid Security</v>
      </c>
      <c r="U154" s="61" t="str">
        <f>_xll.BDH(F154,$Q$2,$Q$1,$Q$1)</f>
        <v>#N/A Invalid Security</v>
      </c>
      <c r="V154" s="61" t="str">
        <f>_xll.BDH(G154,$Q$2,$Q$1,$Q$1)</f>
        <v>#N/A Invalid Security</v>
      </c>
      <c r="W154" s="61" t="str">
        <f>_xll.BDH(H154,$Q$2,$Q$1,$Q$1)</f>
        <v>#N/A Invalid Security</v>
      </c>
      <c r="X154" s="61" t="str">
        <f>_xll.BDH(I154,$Q$2,$Q$1,$Q$1)</f>
        <v>#N/A Invalid Security</v>
      </c>
      <c r="Y154" s="61" t="str">
        <f>_xll.BDH(J154,$Q$2,$Q$1,$Q$1)</f>
        <v>#N/A Invalid Security</v>
      </c>
      <c r="Z154" s="61" t="str">
        <f>_xll.BDH(K154,$Q$2,$Q$1,$Q$1)</f>
        <v>#N/A Invalid Security</v>
      </c>
      <c r="AA154" s="61" t="str">
        <f>_xll.BDH(L154,$Q$2,$Q$1,$Q$1)</f>
        <v>#N/A Invalid Security</v>
      </c>
      <c r="AB154" s="61" t="str">
        <f>_xll.BDH(M154,$Q$2,$Q$1,$Q$1)</f>
        <v>#N/A Invalid Security</v>
      </c>
      <c r="AC154" s="61" t="str">
        <f>_xll.BDH(N154,$Q$2,$Q$1,$Q$1)</f>
        <v>#N/A Invalid Security</v>
      </c>
      <c r="AD154" s="61" t="str">
        <f>_xll.BDH(P154,$Q$2,$Q$1,$Q$1)</f>
        <v>#N/A Mandatory parameter [SECURITY] cannot be empty</v>
      </c>
      <c r="AE154" s="61" t="str">
        <f>_xll.BDH(Q154,$Q$2,$Q$1,$Q$1)</f>
        <v>#N/A Invalid Security</v>
      </c>
      <c r="AF154" s="61" t="str">
        <f>_xll.BDH(R154,$Q$2,$Q$1,$Q$1)</f>
        <v>#N/A Invalid Security</v>
      </c>
    </row>
    <row r="155" spans="1:32" ht="16.5" x14ac:dyDescent="0.3">
      <c r="A155" s="63"/>
      <c r="B155" s="61" t="str">
        <f t="shared" si="1"/>
        <v>KRWA0107 LCLS Curncy</v>
      </c>
      <c r="C155" s="61" t="str">
        <f t="shared" si="3"/>
        <v>KRWK0107 LCLS Curncy</v>
      </c>
      <c r="D155" s="61" t="str">
        <f t="shared" si="3"/>
        <v>KRWL0107 LCLS Curncy</v>
      </c>
      <c r="E155" s="61" t="str">
        <f t="shared" si="3"/>
        <v>KRWB0107 LCLS Curncy</v>
      </c>
      <c r="F155" s="61" t="str">
        <f t="shared" si="3"/>
        <v>KRWM0107 LCLS Curncy</v>
      </c>
      <c r="G155" s="61" t="str">
        <f t="shared" si="3"/>
        <v>KRWN0107 LCLS Curncy</v>
      </c>
      <c r="H155" s="61" t="str">
        <f t="shared" si="3"/>
        <v>KRWO0107 LCLS Curncy</v>
      </c>
      <c r="I155" s="61" t="str">
        <f t="shared" si="3"/>
        <v>KRWP0107 LCLS Curncy</v>
      </c>
      <c r="J155" s="61" t="str">
        <f t="shared" si="3"/>
        <v>KRWC0107 LCLS Curncy</v>
      </c>
      <c r="K155" s="61" t="str">
        <f t="shared" si="3"/>
        <v>KRWQ0107 LCLS Curncy</v>
      </c>
      <c r="L155" s="61" t="str">
        <f t="shared" si="3"/>
        <v>KRWR0107 LCLS Curncy</v>
      </c>
      <c r="M155" s="61" t="str">
        <f t="shared" si="3"/>
        <v>KRWD0107 LCLS Curncy</v>
      </c>
      <c r="N155" s="61" t="str">
        <f t="shared" si="3"/>
        <v>KRWD0107 LCLS Curncy</v>
      </c>
      <c r="O155" s="61" t="str">
        <f t="shared" si="3"/>
        <v xml:space="preserve"> LCLS Curncy</v>
      </c>
      <c r="Q155" s="61" t="str">
        <f>_xll.BDH(B155,$Q$2,$Q$1,$Q$1)</f>
        <v>#N/A Invalid Security</v>
      </c>
      <c r="R155" s="61" t="str">
        <f>_xll.BDH(C155,$Q$2,$Q$1,$Q$1)</f>
        <v>#N/A Invalid Security</v>
      </c>
      <c r="S155" s="61" t="str">
        <f>_xll.BDH(D155,$Q$2,$Q$1,$Q$1)</f>
        <v>#N/A Invalid Security</v>
      </c>
      <c r="T155" s="61" t="str">
        <f>_xll.BDH(E155,$Q$2,$Q$1,$Q$1)</f>
        <v>#N/A Invalid Security</v>
      </c>
      <c r="U155" s="61" t="str">
        <f>_xll.BDH(F155,$Q$2,$Q$1,$Q$1)</f>
        <v>#N/A Invalid Security</v>
      </c>
      <c r="V155" s="61" t="str">
        <f>_xll.BDH(G155,$Q$2,$Q$1,$Q$1)</f>
        <v>#N/A Invalid Security</v>
      </c>
      <c r="W155" s="61" t="str">
        <f>_xll.BDH(H155,$Q$2,$Q$1,$Q$1)</f>
        <v>#N/A Invalid Security</v>
      </c>
      <c r="X155" s="61" t="str">
        <f>_xll.BDH(I155,$Q$2,$Q$1,$Q$1)</f>
        <v>#N/A Invalid Security</v>
      </c>
      <c r="Y155" s="61" t="str">
        <f>_xll.BDH(J155,$Q$2,$Q$1,$Q$1)</f>
        <v>#N/A Invalid Security</v>
      </c>
      <c r="Z155" s="61" t="str">
        <f>_xll.BDH(K155,$Q$2,$Q$1,$Q$1)</f>
        <v>#N/A Invalid Security</v>
      </c>
      <c r="AA155" s="61" t="str">
        <f>_xll.BDH(L155,$Q$2,$Q$1,$Q$1)</f>
        <v>#N/A Invalid Security</v>
      </c>
      <c r="AB155" s="61" t="str">
        <f>_xll.BDH(M155,$Q$2,$Q$1,$Q$1)</f>
        <v>#N/A Invalid Security</v>
      </c>
      <c r="AC155" s="61" t="str">
        <f>_xll.BDH(N155,$Q$2,$Q$1,$Q$1)</f>
        <v>#N/A Invalid Security</v>
      </c>
      <c r="AD155" s="61" t="str">
        <f>_xll.BDH(P155,$Q$2,$Q$1,$Q$1)</f>
        <v>#N/A Mandatory parameter [SECURITY] cannot be empty</v>
      </c>
      <c r="AE155" s="61" t="str">
        <f>_xll.BDH(Q155,$Q$2,$Q$1,$Q$1)</f>
        <v>#N/A Invalid Security</v>
      </c>
      <c r="AF155" s="61" t="str">
        <f>_xll.BDH(R155,$Q$2,$Q$1,$Q$1)</f>
        <v>#N/A Invalid Security</v>
      </c>
    </row>
    <row r="156" spans="1:32" ht="16.5" x14ac:dyDescent="0.3">
      <c r="A156" s="63"/>
      <c r="B156" s="61" t="str">
        <f t="shared" si="1"/>
        <v>KRWA0108 LCLS Curncy</v>
      </c>
      <c r="C156" s="61" t="str">
        <f t="shared" si="3"/>
        <v>KRWK0108 LCLS Curncy</v>
      </c>
      <c r="D156" s="61" t="str">
        <f t="shared" si="3"/>
        <v>KRWL0108 LCLS Curncy</v>
      </c>
      <c r="E156" s="61" t="str">
        <f t="shared" si="3"/>
        <v>KRWB0108 LCLS Curncy</v>
      </c>
      <c r="F156" s="61" t="str">
        <f t="shared" si="3"/>
        <v>KRWM0108 LCLS Curncy</v>
      </c>
      <c r="G156" s="61" t="str">
        <f t="shared" si="3"/>
        <v>KRWN0108 LCLS Curncy</v>
      </c>
      <c r="H156" s="61" t="str">
        <f t="shared" si="3"/>
        <v>KRWO0108 LCLS Curncy</v>
      </c>
      <c r="I156" s="61" t="str">
        <f t="shared" si="3"/>
        <v>KRWP0108 LCLS Curncy</v>
      </c>
      <c r="J156" s="61" t="str">
        <f t="shared" si="3"/>
        <v>KRWC0108 LCLS Curncy</v>
      </c>
      <c r="K156" s="61" t="str">
        <f t="shared" si="3"/>
        <v>KRWQ0108 LCLS Curncy</v>
      </c>
      <c r="L156" s="61" t="str">
        <f t="shared" si="3"/>
        <v>KRWR0108 LCLS Curncy</v>
      </c>
      <c r="M156" s="61" t="str">
        <f t="shared" si="3"/>
        <v>KRWD0108 LCLS Curncy</v>
      </c>
      <c r="N156" s="61" t="str">
        <f t="shared" si="3"/>
        <v>KRWD0108 LCLS Curncy</v>
      </c>
      <c r="O156" s="61" t="str">
        <f t="shared" si="3"/>
        <v xml:space="preserve"> LCLS Curncy</v>
      </c>
      <c r="Q156" s="61" t="str">
        <f>_xll.BDH(B156,$Q$2,$Q$1,$Q$1)</f>
        <v>#N/A Invalid Security</v>
      </c>
      <c r="R156" s="61" t="str">
        <f>_xll.BDH(C156,$Q$2,$Q$1,$Q$1)</f>
        <v>#N/A Invalid Security</v>
      </c>
      <c r="S156" s="61" t="str">
        <f>_xll.BDH(D156,$Q$2,$Q$1,$Q$1)</f>
        <v>#N/A Invalid Security</v>
      </c>
      <c r="T156" s="61" t="str">
        <f>_xll.BDH(E156,$Q$2,$Q$1,$Q$1)</f>
        <v>#N/A Invalid Security</v>
      </c>
      <c r="U156" s="61" t="str">
        <f>_xll.BDH(F156,$Q$2,$Q$1,$Q$1)</f>
        <v>#N/A Invalid Security</v>
      </c>
      <c r="V156" s="61" t="str">
        <f>_xll.BDH(G156,$Q$2,$Q$1,$Q$1)</f>
        <v>#N/A Invalid Security</v>
      </c>
      <c r="W156" s="61" t="str">
        <f>_xll.BDH(H156,$Q$2,$Q$1,$Q$1)</f>
        <v>#N/A Invalid Security</v>
      </c>
      <c r="X156" s="61" t="str">
        <f>_xll.BDH(I156,$Q$2,$Q$1,$Q$1)</f>
        <v>#N/A Invalid Security</v>
      </c>
      <c r="Y156" s="61" t="str">
        <f>_xll.BDH(J156,$Q$2,$Q$1,$Q$1)</f>
        <v>#N/A Invalid Security</v>
      </c>
      <c r="Z156" s="61" t="str">
        <f>_xll.BDH(K156,$Q$2,$Q$1,$Q$1)</f>
        <v>#N/A Invalid Security</v>
      </c>
      <c r="AA156" s="61" t="str">
        <f>_xll.BDH(L156,$Q$2,$Q$1,$Q$1)</f>
        <v>#N/A Invalid Security</v>
      </c>
      <c r="AB156" s="61" t="str">
        <f>_xll.BDH(M156,$Q$2,$Q$1,$Q$1)</f>
        <v>#N/A Invalid Security</v>
      </c>
      <c r="AC156" s="61" t="str">
        <f>_xll.BDH(N156,$Q$2,$Q$1,$Q$1)</f>
        <v>#N/A Invalid Security</v>
      </c>
      <c r="AD156" s="61" t="str">
        <f>_xll.BDH(P156,$Q$2,$Q$1,$Q$1)</f>
        <v>#N/A Mandatory parameter [SECURITY] cannot be empty</v>
      </c>
      <c r="AE156" s="61" t="str">
        <f>_xll.BDH(Q156,$Q$2,$Q$1,$Q$1)</f>
        <v>#N/A Invalid Security</v>
      </c>
      <c r="AF156" s="61" t="str">
        <f>_xll.BDH(R156,$Q$2,$Q$1,$Q$1)</f>
        <v>#N/A Invalid Security</v>
      </c>
    </row>
    <row r="157" spans="1:32" ht="16.5" x14ac:dyDescent="0.3">
      <c r="A157" s="63"/>
      <c r="B157" s="61" t="str">
        <f t="shared" si="1"/>
        <v>KRWA0109 LCLS Curncy</v>
      </c>
      <c r="C157" s="61" t="str">
        <f t="shared" si="3"/>
        <v>KRWK0109 LCLS Curncy</v>
      </c>
      <c r="D157" s="61" t="str">
        <f t="shared" si="3"/>
        <v>KRWL0109 LCLS Curncy</v>
      </c>
      <c r="E157" s="61" t="str">
        <f t="shared" si="3"/>
        <v>KRWB0109 LCLS Curncy</v>
      </c>
      <c r="F157" s="61" t="str">
        <f t="shared" si="3"/>
        <v>KRWM0109 LCLS Curncy</v>
      </c>
      <c r="G157" s="61" t="str">
        <f t="shared" si="3"/>
        <v>KRWN0109 LCLS Curncy</v>
      </c>
      <c r="H157" s="61" t="str">
        <f t="shared" si="3"/>
        <v>KRWO0109 LCLS Curncy</v>
      </c>
      <c r="I157" s="61" t="str">
        <f t="shared" si="3"/>
        <v>KRWP0109 LCLS Curncy</v>
      </c>
      <c r="J157" s="61" t="str">
        <f t="shared" si="3"/>
        <v>KRWC0109 LCLS Curncy</v>
      </c>
      <c r="K157" s="61" t="str">
        <f t="shared" si="3"/>
        <v>KRWQ0109 LCLS Curncy</v>
      </c>
      <c r="L157" s="61" t="str">
        <f t="shared" si="3"/>
        <v>KRWR0109 LCLS Curncy</v>
      </c>
      <c r="M157" s="61" t="str">
        <f t="shared" si="3"/>
        <v>KRWD0109 LCLS Curncy</v>
      </c>
      <c r="N157" s="61" t="str">
        <f t="shared" si="3"/>
        <v>KRWD0109 LCLS Curncy</v>
      </c>
      <c r="O157" s="61" t="str">
        <f t="shared" si="3"/>
        <v xml:space="preserve"> LCLS Curncy</v>
      </c>
      <c r="Q157" s="61" t="str">
        <f>_xll.BDH(B157,$Q$2,$Q$1,$Q$1)</f>
        <v>#N/A Invalid Security</v>
      </c>
      <c r="R157" s="61" t="str">
        <f>_xll.BDH(C157,$Q$2,$Q$1,$Q$1)</f>
        <v>#N/A Invalid Security</v>
      </c>
      <c r="S157" s="61" t="str">
        <f>_xll.BDH(D157,$Q$2,$Q$1,$Q$1)</f>
        <v>#N/A Invalid Security</v>
      </c>
      <c r="T157" s="61" t="str">
        <f>_xll.BDH(E157,$Q$2,$Q$1,$Q$1)</f>
        <v>#N/A Invalid Security</v>
      </c>
      <c r="U157" s="61" t="str">
        <f>_xll.BDH(F157,$Q$2,$Q$1,$Q$1)</f>
        <v>#N/A Invalid Security</v>
      </c>
      <c r="V157" s="61" t="str">
        <f>_xll.BDH(G157,$Q$2,$Q$1,$Q$1)</f>
        <v>#N/A Invalid Security</v>
      </c>
      <c r="W157" s="61" t="str">
        <f>_xll.BDH(H157,$Q$2,$Q$1,$Q$1)</f>
        <v>#N/A Invalid Security</v>
      </c>
      <c r="X157" s="61" t="str">
        <f>_xll.BDH(I157,$Q$2,$Q$1,$Q$1)</f>
        <v>#N/A Invalid Security</v>
      </c>
      <c r="Y157" s="61" t="str">
        <f>_xll.BDH(J157,$Q$2,$Q$1,$Q$1)</f>
        <v>#N/A Invalid Security</v>
      </c>
      <c r="Z157" s="61" t="str">
        <f>_xll.BDH(K157,$Q$2,$Q$1,$Q$1)</f>
        <v>#N/A Invalid Security</v>
      </c>
      <c r="AA157" s="61" t="str">
        <f>_xll.BDH(L157,$Q$2,$Q$1,$Q$1)</f>
        <v>#N/A Invalid Security</v>
      </c>
      <c r="AB157" s="61" t="str">
        <f>_xll.BDH(M157,$Q$2,$Q$1,$Q$1)</f>
        <v>#N/A Invalid Security</v>
      </c>
      <c r="AC157" s="61" t="str">
        <f>_xll.BDH(N157,$Q$2,$Q$1,$Q$1)</f>
        <v>#N/A Invalid Security</v>
      </c>
      <c r="AD157" s="61" t="str">
        <f>_xll.BDH(P157,$Q$2,$Q$1,$Q$1)</f>
        <v>#N/A Mandatory parameter [SECURITY] cannot be empty</v>
      </c>
      <c r="AE157" s="61" t="str">
        <f>_xll.BDH(Q157,$Q$2,$Q$1,$Q$1)</f>
        <v>#N/A Invalid Security</v>
      </c>
      <c r="AF157" s="61" t="str">
        <f>_xll.BDH(R157,$Q$2,$Q$1,$Q$1)</f>
        <v>#N/A Invalid Security</v>
      </c>
    </row>
    <row r="158" spans="1:32" ht="16.5" x14ac:dyDescent="0.3">
      <c r="A158" s="63"/>
      <c r="B158" s="61" t="str">
        <f t="shared" si="1"/>
        <v>KRWA0110 LCLS Curncy</v>
      </c>
      <c r="C158" s="61" t="str">
        <f t="shared" si="3"/>
        <v>KRWK0110 LCLS Curncy</v>
      </c>
      <c r="D158" s="61" t="str">
        <f t="shared" si="3"/>
        <v>KRWL0110 LCLS Curncy</v>
      </c>
      <c r="E158" s="61" t="str">
        <f t="shared" si="3"/>
        <v>KRWB0110 LCLS Curncy</v>
      </c>
      <c r="F158" s="61" t="str">
        <f t="shared" si="3"/>
        <v>KRWM0110 LCLS Curncy</v>
      </c>
      <c r="G158" s="61" t="str">
        <f t="shared" si="3"/>
        <v>KRWN0110 LCLS Curncy</v>
      </c>
      <c r="H158" s="61" t="str">
        <f t="shared" si="3"/>
        <v>KRWO0110 LCLS Curncy</v>
      </c>
      <c r="I158" s="61" t="str">
        <f t="shared" si="3"/>
        <v>KRWP0110 LCLS Curncy</v>
      </c>
      <c r="J158" s="61" t="str">
        <f t="shared" si="3"/>
        <v>KRWC0110 LCLS Curncy</v>
      </c>
      <c r="K158" s="61" t="str">
        <f t="shared" si="3"/>
        <v>KRWQ0110 LCLS Curncy</v>
      </c>
      <c r="L158" s="61" t="str">
        <f t="shared" si="3"/>
        <v>KRWR0110 LCLS Curncy</v>
      </c>
      <c r="M158" s="61" t="str">
        <f t="shared" si="3"/>
        <v>KRWD0110 LCLS Curncy</v>
      </c>
      <c r="N158" s="61" t="str">
        <f t="shared" si="3"/>
        <v>KRWD0110 LCLS Curncy</v>
      </c>
      <c r="O158" s="61" t="str">
        <f t="shared" si="3"/>
        <v xml:space="preserve"> LCLS Curncy</v>
      </c>
      <c r="Q158" s="61" t="str">
        <f>_xll.BDH(B158,$Q$2,$Q$1,$Q$1)</f>
        <v>#N/A Invalid Security</v>
      </c>
      <c r="R158" s="61" t="str">
        <f>_xll.BDH(C158,$Q$2,$Q$1,$Q$1)</f>
        <v>#N/A Invalid Security</v>
      </c>
      <c r="S158" s="61" t="str">
        <f>_xll.BDH(D158,$Q$2,$Q$1,$Q$1)</f>
        <v>#N/A Invalid Security</v>
      </c>
      <c r="T158" s="61" t="str">
        <f>_xll.BDH(E158,$Q$2,$Q$1,$Q$1)</f>
        <v>#N/A Invalid Security</v>
      </c>
      <c r="U158" s="61" t="str">
        <f>_xll.BDH(F158,$Q$2,$Q$1,$Q$1)</f>
        <v>#N/A Invalid Security</v>
      </c>
      <c r="V158" s="61" t="str">
        <f>_xll.BDH(G158,$Q$2,$Q$1,$Q$1)</f>
        <v>#N/A Invalid Security</v>
      </c>
      <c r="W158" s="61" t="str">
        <f>_xll.BDH(H158,$Q$2,$Q$1,$Q$1)</f>
        <v>#N/A Invalid Security</v>
      </c>
      <c r="X158" s="61" t="str">
        <f>_xll.BDH(I158,$Q$2,$Q$1,$Q$1)</f>
        <v>#N/A Invalid Security</v>
      </c>
      <c r="Y158" s="61" t="str">
        <f>_xll.BDH(J158,$Q$2,$Q$1,$Q$1)</f>
        <v>#N/A Invalid Security</v>
      </c>
      <c r="Z158" s="61" t="str">
        <f>_xll.BDH(K158,$Q$2,$Q$1,$Q$1)</f>
        <v>#N/A Invalid Security</v>
      </c>
      <c r="AA158" s="61" t="str">
        <f>_xll.BDH(L158,$Q$2,$Q$1,$Q$1)</f>
        <v>#N/A Invalid Security</v>
      </c>
      <c r="AB158" s="61" t="str">
        <f>_xll.BDH(M158,$Q$2,$Q$1,$Q$1)</f>
        <v>#N/A Invalid Security</v>
      </c>
      <c r="AC158" s="61" t="str">
        <f>_xll.BDH(N158,$Q$2,$Q$1,$Q$1)</f>
        <v>#N/A Invalid Security</v>
      </c>
      <c r="AD158" s="61" t="str">
        <f>_xll.BDH(P158,$Q$2,$Q$1,$Q$1)</f>
        <v>#N/A Mandatory parameter [SECURITY] cannot be empty</v>
      </c>
      <c r="AE158" s="61" t="str">
        <f>_xll.BDH(Q158,$Q$2,$Q$1,$Q$1)</f>
        <v>#N/A Invalid Security</v>
      </c>
      <c r="AF158" s="61" t="str">
        <f>_xll.BDH(R158,$Q$2,$Q$1,$Q$1)</f>
        <v>#N/A Invalid Security</v>
      </c>
    </row>
    <row r="159" spans="1:32" ht="16.5" x14ac:dyDescent="0.3">
      <c r="A159" s="63"/>
      <c r="B159" s="61" t="str">
        <f t="shared" si="1"/>
        <v>KRWA0115 LCLS Curncy</v>
      </c>
      <c r="C159" s="61" t="str">
        <f t="shared" si="3"/>
        <v>KRWK0115 LCLS Curncy</v>
      </c>
      <c r="D159" s="61" t="str">
        <f t="shared" si="3"/>
        <v>KRWL0115 LCLS Curncy</v>
      </c>
      <c r="E159" s="61" t="str">
        <f t="shared" si="3"/>
        <v>KRWB0115 LCLS Curncy</v>
      </c>
      <c r="F159" s="61" t="str">
        <f t="shared" si="3"/>
        <v>KRWM0115 LCLS Curncy</v>
      </c>
      <c r="G159" s="61" t="str">
        <f t="shared" si="3"/>
        <v>KRWN0115 LCLS Curncy</v>
      </c>
      <c r="H159" s="61" t="str">
        <f t="shared" si="3"/>
        <v>KRWO0115 LCLS Curncy</v>
      </c>
      <c r="I159" s="61" t="str">
        <f t="shared" si="3"/>
        <v>KRWP0115 LCLS Curncy</v>
      </c>
      <c r="J159" s="61" t="str">
        <f t="shared" si="3"/>
        <v>KRWC0115 LCLS Curncy</v>
      </c>
      <c r="K159" s="61" t="str">
        <f t="shared" si="3"/>
        <v>KRWQ0115 LCLS Curncy</v>
      </c>
      <c r="L159" s="61" t="str">
        <f t="shared" si="3"/>
        <v>KRWR0115 LCLS Curncy</v>
      </c>
      <c r="M159" s="61" t="str">
        <f t="shared" si="3"/>
        <v>KRWD0115 LCLS Curncy</v>
      </c>
      <c r="N159" s="61" t="str">
        <f t="shared" si="3"/>
        <v>KRWD0115 LCLS Curncy</v>
      </c>
      <c r="O159" s="61" t="str">
        <f t="shared" si="3"/>
        <v xml:space="preserve"> LCLS Curncy</v>
      </c>
      <c r="Q159" s="61" t="str">
        <f>_xll.BDH(B159,$Q$2,$Q$1,$Q$1)</f>
        <v>#N/A Invalid Security</v>
      </c>
      <c r="R159" s="61" t="str">
        <f>_xll.BDH(C159,$Q$2,$Q$1,$Q$1)</f>
        <v>#N/A Invalid Security</v>
      </c>
      <c r="S159" s="61" t="str">
        <f>_xll.BDH(D159,$Q$2,$Q$1,$Q$1)</f>
        <v>#N/A Invalid Security</v>
      </c>
      <c r="T159" s="61" t="str">
        <f>_xll.BDH(E159,$Q$2,$Q$1,$Q$1)</f>
        <v>#N/A Invalid Security</v>
      </c>
      <c r="U159" s="61" t="str">
        <f>_xll.BDH(F159,$Q$2,$Q$1,$Q$1)</f>
        <v>#N/A Invalid Security</v>
      </c>
      <c r="V159" s="61" t="str">
        <f>_xll.BDH(G159,$Q$2,$Q$1,$Q$1)</f>
        <v>#N/A Invalid Security</v>
      </c>
      <c r="W159" s="61" t="str">
        <f>_xll.BDH(H159,$Q$2,$Q$1,$Q$1)</f>
        <v>#N/A Invalid Security</v>
      </c>
      <c r="X159" s="61" t="str">
        <f>_xll.BDH(I159,$Q$2,$Q$1,$Q$1)</f>
        <v>#N/A Invalid Security</v>
      </c>
      <c r="Y159" s="61" t="str">
        <f>_xll.BDH(J159,$Q$2,$Q$1,$Q$1)</f>
        <v>#N/A Invalid Security</v>
      </c>
      <c r="Z159" s="61" t="str">
        <f>_xll.BDH(K159,$Q$2,$Q$1,$Q$1)</f>
        <v>#N/A Invalid Security</v>
      </c>
      <c r="AA159" s="61" t="str">
        <f>_xll.BDH(L159,$Q$2,$Q$1,$Q$1)</f>
        <v>#N/A Invalid Security</v>
      </c>
      <c r="AB159" s="61" t="str">
        <f>_xll.BDH(M159,$Q$2,$Q$1,$Q$1)</f>
        <v>#N/A Invalid Security</v>
      </c>
      <c r="AC159" s="61" t="str">
        <f>_xll.BDH(N159,$Q$2,$Q$1,$Q$1)</f>
        <v>#N/A Invalid Security</v>
      </c>
      <c r="AD159" s="61" t="str">
        <f>_xll.BDH(P159,$Q$2,$Q$1,$Q$1)</f>
        <v>#N/A Mandatory parameter [SECURITY] cannot be empty</v>
      </c>
      <c r="AE159" s="61" t="str">
        <f>_xll.BDH(Q159,$Q$2,$Q$1,$Q$1)</f>
        <v>#N/A Invalid Security</v>
      </c>
      <c r="AF159" s="61" t="str">
        <f>_xll.BDH(R159,$Q$2,$Q$1,$Q$1)</f>
        <v>#N/A Invalid Security</v>
      </c>
    </row>
    <row r="160" spans="1:32" ht="16.5" x14ac:dyDescent="0.3">
      <c r="A160" s="63"/>
      <c r="B160" s="61" t="str">
        <f t="shared" si="1"/>
        <v>KRWA0120 LCLS Curncy</v>
      </c>
      <c r="C160" s="61" t="str">
        <f t="shared" ref="C160:O175" si="4">C51&amp;" LCLS Curncy"</f>
        <v>KRWK0120 LCLS Curncy</v>
      </c>
      <c r="D160" s="61" t="str">
        <f t="shared" si="4"/>
        <v>KRWL0120 LCLS Curncy</v>
      </c>
      <c r="E160" s="61" t="str">
        <f t="shared" si="4"/>
        <v>KRWB0120 LCLS Curncy</v>
      </c>
      <c r="F160" s="61" t="str">
        <f t="shared" si="4"/>
        <v>KRWM0120 LCLS Curncy</v>
      </c>
      <c r="G160" s="61" t="str">
        <f t="shared" si="4"/>
        <v>KRWN0120 LCLS Curncy</v>
      </c>
      <c r="H160" s="61" t="str">
        <f t="shared" si="4"/>
        <v>KRWO0120 LCLS Curncy</v>
      </c>
      <c r="I160" s="61" t="str">
        <f t="shared" si="4"/>
        <v>KRWP0120 LCLS Curncy</v>
      </c>
      <c r="J160" s="61" t="str">
        <f t="shared" si="4"/>
        <v>KRWC0120 LCLS Curncy</v>
      </c>
      <c r="K160" s="61" t="str">
        <f t="shared" si="4"/>
        <v>KRWQ0120 LCLS Curncy</v>
      </c>
      <c r="L160" s="61" t="str">
        <f t="shared" si="4"/>
        <v>KRWR0120 LCLS Curncy</v>
      </c>
      <c r="M160" s="61" t="str">
        <f t="shared" si="4"/>
        <v>KRWD0120 LCLS Curncy</v>
      </c>
      <c r="N160" s="61" t="str">
        <f t="shared" si="4"/>
        <v>KRWD0120 LCLS Curncy</v>
      </c>
      <c r="O160" s="61" t="str">
        <f t="shared" si="4"/>
        <v xml:space="preserve"> LCLS Curncy</v>
      </c>
      <c r="Q160" s="61" t="str">
        <f>_xll.BDH(B160,$Q$2,$Q$1,$Q$1)</f>
        <v>#N/A Invalid Security</v>
      </c>
      <c r="R160" s="61" t="str">
        <f>_xll.BDH(C160,$Q$2,$Q$1,$Q$1)</f>
        <v>#N/A Invalid Security</v>
      </c>
      <c r="S160" s="61" t="str">
        <f>_xll.BDH(D160,$Q$2,$Q$1,$Q$1)</f>
        <v>#N/A Invalid Security</v>
      </c>
      <c r="T160" s="61" t="str">
        <f>_xll.BDH(E160,$Q$2,$Q$1,$Q$1)</f>
        <v>#N/A Invalid Security</v>
      </c>
      <c r="U160" s="61" t="str">
        <f>_xll.BDH(F160,$Q$2,$Q$1,$Q$1)</f>
        <v>#N/A Invalid Security</v>
      </c>
      <c r="V160" s="61" t="str">
        <f>_xll.BDH(G160,$Q$2,$Q$1,$Q$1)</f>
        <v>#N/A Invalid Security</v>
      </c>
      <c r="W160" s="61" t="str">
        <f>_xll.BDH(H160,$Q$2,$Q$1,$Q$1)</f>
        <v>#N/A Invalid Security</v>
      </c>
      <c r="X160" s="61" t="str">
        <f>_xll.BDH(I160,$Q$2,$Q$1,$Q$1)</f>
        <v>#N/A Invalid Security</v>
      </c>
      <c r="Y160" s="61" t="str">
        <f>_xll.BDH(J160,$Q$2,$Q$1,$Q$1)</f>
        <v>#N/A Invalid Security</v>
      </c>
      <c r="Z160" s="61" t="str">
        <f>_xll.BDH(K160,$Q$2,$Q$1,$Q$1)</f>
        <v>#N/A Invalid Security</v>
      </c>
      <c r="AA160" s="61" t="str">
        <f>_xll.BDH(L160,$Q$2,$Q$1,$Q$1)</f>
        <v>#N/A Invalid Security</v>
      </c>
      <c r="AB160" s="61" t="str">
        <f>_xll.BDH(M160,$Q$2,$Q$1,$Q$1)</f>
        <v>#N/A Invalid Security</v>
      </c>
      <c r="AC160" s="61" t="str">
        <f>_xll.BDH(N160,$Q$2,$Q$1,$Q$1)</f>
        <v>#N/A Invalid Security</v>
      </c>
      <c r="AD160" s="61" t="str">
        <f>_xll.BDH(P160,$Q$2,$Q$1,$Q$1)</f>
        <v>#N/A Mandatory parameter [SECURITY] cannot be empty</v>
      </c>
      <c r="AE160" s="61" t="str">
        <f>_xll.BDH(Q160,$Q$2,$Q$1,$Q$1)</f>
        <v>#N/A Invalid Security</v>
      </c>
      <c r="AF160" s="61" t="str">
        <f>_xll.BDH(R160,$Q$2,$Q$1,$Q$1)</f>
        <v>#N/A Invalid Security</v>
      </c>
    </row>
    <row r="161" spans="1:32" ht="16.5" x14ac:dyDescent="0.3">
      <c r="A161" s="63"/>
      <c r="B161" s="61" t="str">
        <f t="shared" si="1"/>
        <v>KRWA0201 LCLS Curncy</v>
      </c>
      <c r="C161" s="61" t="str">
        <f t="shared" si="4"/>
        <v>KRWK0201 LCLS Curncy</v>
      </c>
      <c r="D161" s="61" t="str">
        <f t="shared" si="4"/>
        <v>KRWL0201 LCLS Curncy</v>
      </c>
      <c r="E161" s="61" t="str">
        <f t="shared" si="4"/>
        <v>KRWB0201 LCLS Curncy</v>
      </c>
      <c r="F161" s="61" t="str">
        <f t="shared" si="4"/>
        <v>KRWM0201 LCLS Curncy</v>
      </c>
      <c r="G161" s="61" t="str">
        <f t="shared" si="4"/>
        <v>KRWN0201 LCLS Curncy</v>
      </c>
      <c r="H161" s="61" t="str">
        <f t="shared" si="4"/>
        <v>KRWO0201 LCLS Curncy</v>
      </c>
      <c r="I161" s="61" t="str">
        <f t="shared" si="4"/>
        <v>KRWP0201 LCLS Curncy</v>
      </c>
      <c r="J161" s="61" t="str">
        <f t="shared" si="4"/>
        <v>KRWC0201 LCLS Curncy</v>
      </c>
      <c r="K161" s="61" t="str">
        <f t="shared" si="4"/>
        <v>KRWQ0201 LCLS Curncy</v>
      </c>
      <c r="L161" s="61" t="str">
        <f t="shared" si="4"/>
        <v>KRWR0201 LCLS Curncy</v>
      </c>
      <c r="M161" s="61" t="str">
        <f t="shared" si="4"/>
        <v>KRWD0201 LCLS Curncy</v>
      </c>
      <c r="N161" s="61" t="str">
        <f t="shared" si="4"/>
        <v>KRWD0201 LCLS Curncy</v>
      </c>
      <c r="O161" s="61" t="str">
        <f t="shared" si="4"/>
        <v xml:space="preserve"> LCLS Curncy</v>
      </c>
      <c r="Q161" s="61" t="str">
        <f>_xll.BDH(B161,$Q$2,$Q$1,$Q$1)</f>
        <v>#N/A Invalid Security</v>
      </c>
      <c r="R161" s="61" t="str">
        <f>_xll.BDH(C161,$Q$2,$Q$1,$Q$1)</f>
        <v>#N/A Invalid Security</v>
      </c>
      <c r="S161" s="61" t="str">
        <f>_xll.BDH(D161,$Q$2,$Q$1,$Q$1)</f>
        <v>#N/A Invalid Security</v>
      </c>
      <c r="T161" s="61" t="str">
        <f>_xll.BDH(E161,$Q$2,$Q$1,$Q$1)</f>
        <v>#N/A Invalid Security</v>
      </c>
      <c r="U161" s="61" t="str">
        <f>_xll.BDH(F161,$Q$2,$Q$1,$Q$1)</f>
        <v>#N/A Invalid Security</v>
      </c>
      <c r="V161" s="61" t="str">
        <f>_xll.BDH(G161,$Q$2,$Q$1,$Q$1)</f>
        <v>#N/A Invalid Security</v>
      </c>
      <c r="W161" s="61" t="str">
        <f>_xll.BDH(H161,$Q$2,$Q$1,$Q$1)</f>
        <v>#N/A Invalid Security</v>
      </c>
      <c r="X161" s="61" t="str">
        <f>_xll.BDH(I161,$Q$2,$Q$1,$Q$1)</f>
        <v>#N/A Invalid Security</v>
      </c>
      <c r="Y161" s="61" t="str">
        <f>_xll.BDH(J161,$Q$2,$Q$1,$Q$1)</f>
        <v>#N/A Invalid Security</v>
      </c>
      <c r="Z161" s="61" t="str">
        <f>_xll.BDH(K161,$Q$2,$Q$1,$Q$1)</f>
        <v>#N/A Invalid Security</v>
      </c>
      <c r="AA161" s="61" t="str">
        <f>_xll.BDH(L161,$Q$2,$Q$1,$Q$1)</f>
        <v>#N/A Invalid Security</v>
      </c>
      <c r="AB161" s="61" t="str">
        <f>_xll.BDH(M161,$Q$2,$Q$1,$Q$1)</f>
        <v>#N/A Invalid Security</v>
      </c>
      <c r="AC161" s="61" t="str">
        <f>_xll.BDH(N161,$Q$2,$Q$1,$Q$1)</f>
        <v>#N/A Invalid Security</v>
      </c>
      <c r="AD161" s="61" t="str">
        <f>_xll.BDH(P161,$Q$2,$Q$1,$Q$1)</f>
        <v>#N/A Mandatory parameter [SECURITY] cannot be empty</v>
      </c>
      <c r="AE161" s="61" t="str">
        <f>_xll.BDH(Q161,$Q$2,$Q$1,$Q$1)</f>
        <v>#N/A Invalid Security</v>
      </c>
      <c r="AF161" s="61" t="str">
        <f>_xll.BDH(R161,$Q$2,$Q$1,$Q$1)</f>
        <v>#N/A Invalid Security</v>
      </c>
    </row>
    <row r="162" spans="1:32" ht="16.5" x14ac:dyDescent="0.3">
      <c r="A162" s="63"/>
      <c r="B162" s="61" t="str">
        <f t="shared" si="1"/>
        <v>KRWA0202 LCLS Curncy</v>
      </c>
      <c r="C162" s="61" t="str">
        <f t="shared" si="4"/>
        <v>KRWK0202 LCLS Curncy</v>
      </c>
      <c r="D162" s="61" t="str">
        <f t="shared" si="4"/>
        <v>KRWL0202 LCLS Curncy</v>
      </c>
      <c r="E162" s="61" t="str">
        <f t="shared" si="4"/>
        <v>KRWB0202 LCLS Curncy</v>
      </c>
      <c r="F162" s="61" t="str">
        <f t="shared" si="4"/>
        <v>KRWM0202 LCLS Curncy</v>
      </c>
      <c r="G162" s="61" t="str">
        <f t="shared" si="4"/>
        <v>KRWN0202 LCLS Curncy</v>
      </c>
      <c r="H162" s="61" t="str">
        <f t="shared" si="4"/>
        <v>KRWO0202 LCLS Curncy</v>
      </c>
      <c r="I162" s="61" t="str">
        <f t="shared" si="4"/>
        <v>KRWP0202 LCLS Curncy</v>
      </c>
      <c r="J162" s="61" t="str">
        <f t="shared" si="4"/>
        <v>KRWC0202 LCLS Curncy</v>
      </c>
      <c r="K162" s="61" t="str">
        <f t="shared" si="4"/>
        <v>KRWQ0202 LCLS Curncy</v>
      </c>
      <c r="L162" s="61" t="str">
        <f t="shared" si="4"/>
        <v>KRWR0202 LCLS Curncy</v>
      </c>
      <c r="M162" s="61" t="str">
        <f t="shared" si="4"/>
        <v>KRWD0202 LCLS Curncy</v>
      </c>
      <c r="N162" s="61" t="str">
        <f t="shared" si="4"/>
        <v>KRWD0202 LCLS Curncy</v>
      </c>
      <c r="O162" s="61" t="str">
        <f t="shared" si="4"/>
        <v xml:space="preserve"> LCLS Curncy</v>
      </c>
      <c r="Q162" s="61" t="str">
        <f>_xll.BDH(B162,$Q$2,$Q$1,$Q$1)</f>
        <v>#N/A Invalid Security</v>
      </c>
      <c r="R162" s="61" t="str">
        <f>_xll.BDH(C162,$Q$2,$Q$1,$Q$1)</f>
        <v>#N/A Invalid Security</v>
      </c>
      <c r="S162" s="61" t="str">
        <f>_xll.BDH(D162,$Q$2,$Q$1,$Q$1)</f>
        <v>#N/A Invalid Security</v>
      </c>
      <c r="T162" s="61" t="str">
        <f>_xll.BDH(E162,$Q$2,$Q$1,$Q$1)</f>
        <v>#N/A Invalid Security</v>
      </c>
      <c r="U162" s="61" t="str">
        <f>_xll.BDH(F162,$Q$2,$Q$1,$Q$1)</f>
        <v>#N/A Invalid Security</v>
      </c>
      <c r="V162" s="61" t="str">
        <f>_xll.BDH(G162,$Q$2,$Q$1,$Q$1)</f>
        <v>#N/A Invalid Security</v>
      </c>
      <c r="W162" s="61" t="str">
        <f>_xll.BDH(H162,$Q$2,$Q$1,$Q$1)</f>
        <v>#N/A Invalid Security</v>
      </c>
      <c r="X162" s="61" t="str">
        <f>_xll.BDH(I162,$Q$2,$Q$1,$Q$1)</f>
        <v>#N/A Invalid Security</v>
      </c>
      <c r="Y162" s="61" t="str">
        <f>_xll.BDH(J162,$Q$2,$Q$1,$Q$1)</f>
        <v>#N/A Invalid Security</v>
      </c>
      <c r="Z162" s="61" t="str">
        <f>_xll.BDH(K162,$Q$2,$Q$1,$Q$1)</f>
        <v>#N/A Invalid Security</v>
      </c>
      <c r="AA162" s="61" t="str">
        <f>_xll.BDH(L162,$Q$2,$Q$1,$Q$1)</f>
        <v>#N/A Invalid Security</v>
      </c>
      <c r="AB162" s="61" t="str">
        <f>_xll.BDH(M162,$Q$2,$Q$1,$Q$1)</f>
        <v>#N/A Invalid Security</v>
      </c>
      <c r="AC162" s="61" t="str">
        <f>_xll.BDH(N162,$Q$2,$Q$1,$Q$1)</f>
        <v>#N/A Invalid Security</v>
      </c>
      <c r="AD162" s="61" t="str">
        <f>_xll.BDH(P162,$Q$2,$Q$1,$Q$1)</f>
        <v>#N/A Mandatory parameter [SECURITY] cannot be empty</v>
      </c>
      <c r="AE162" s="61" t="str">
        <f>_xll.BDH(Q162,$Q$2,$Q$1,$Q$1)</f>
        <v>#N/A Invalid Security</v>
      </c>
      <c r="AF162" s="61" t="str">
        <f>_xll.BDH(R162,$Q$2,$Q$1,$Q$1)</f>
        <v>#N/A Invalid Security</v>
      </c>
    </row>
    <row r="163" spans="1:32" ht="16.5" x14ac:dyDescent="0.3">
      <c r="A163" s="63"/>
      <c r="B163" s="61" t="str">
        <f t="shared" si="1"/>
        <v>KRWA0203 LCLS Curncy</v>
      </c>
      <c r="C163" s="61" t="str">
        <f t="shared" si="4"/>
        <v>KRWK0203 LCLS Curncy</v>
      </c>
      <c r="D163" s="61" t="str">
        <f t="shared" si="4"/>
        <v>KRWL0203 LCLS Curncy</v>
      </c>
      <c r="E163" s="61" t="str">
        <f t="shared" si="4"/>
        <v>KRWB0203 LCLS Curncy</v>
      </c>
      <c r="F163" s="61" t="str">
        <f t="shared" si="4"/>
        <v>KRWM0203 LCLS Curncy</v>
      </c>
      <c r="G163" s="61" t="str">
        <f t="shared" si="4"/>
        <v>KRWN0203 LCLS Curncy</v>
      </c>
      <c r="H163" s="61" t="str">
        <f t="shared" si="4"/>
        <v>KRWO0203 LCLS Curncy</v>
      </c>
      <c r="I163" s="61" t="str">
        <f t="shared" si="4"/>
        <v>KRWP0203 LCLS Curncy</v>
      </c>
      <c r="J163" s="61" t="str">
        <f t="shared" si="4"/>
        <v>KRWC0203 LCLS Curncy</v>
      </c>
      <c r="K163" s="61" t="str">
        <f t="shared" si="4"/>
        <v>KRWQ0203 LCLS Curncy</v>
      </c>
      <c r="L163" s="61" t="str">
        <f t="shared" si="4"/>
        <v>KRWR0203 LCLS Curncy</v>
      </c>
      <c r="M163" s="61" t="str">
        <f t="shared" si="4"/>
        <v>KRWD0203 LCLS Curncy</v>
      </c>
      <c r="N163" s="61" t="str">
        <f t="shared" si="4"/>
        <v>KRWD0203 LCLS Curncy</v>
      </c>
      <c r="O163" s="61" t="str">
        <f t="shared" si="4"/>
        <v xml:space="preserve"> LCLS Curncy</v>
      </c>
      <c r="Q163" s="61" t="str">
        <f>_xll.BDH(B163,$Q$2,$Q$1,$Q$1)</f>
        <v>#N/A Invalid Security</v>
      </c>
      <c r="R163" s="61" t="str">
        <f>_xll.BDH(C163,$Q$2,$Q$1,$Q$1)</f>
        <v>#N/A Invalid Security</v>
      </c>
      <c r="S163" s="61" t="str">
        <f>_xll.BDH(D163,$Q$2,$Q$1,$Q$1)</f>
        <v>#N/A Invalid Security</v>
      </c>
      <c r="T163" s="61" t="str">
        <f>_xll.BDH(E163,$Q$2,$Q$1,$Q$1)</f>
        <v>#N/A Invalid Security</v>
      </c>
      <c r="U163" s="61" t="str">
        <f>_xll.BDH(F163,$Q$2,$Q$1,$Q$1)</f>
        <v>#N/A Invalid Security</v>
      </c>
      <c r="V163" s="61" t="str">
        <f>_xll.BDH(G163,$Q$2,$Q$1,$Q$1)</f>
        <v>#N/A Invalid Security</v>
      </c>
      <c r="W163" s="61" t="str">
        <f>_xll.BDH(H163,$Q$2,$Q$1,$Q$1)</f>
        <v>#N/A Invalid Security</v>
      </c>
      <c r="X163" s="61" t="str">
        <f>_xll.BDH(I163,$Q$2,$Q$1,$Q$1)</f>
        <v>#N/A Invalid Security</v>
      </c>
      <c r="Y163" s="61" t="str">
        <f>_xll.BDH(J163,$Q$2,$Q$1,$Q$1)</f>
        <v>#N/A Invalid Security</v>
      </c>
      <c r="Z163" s="61" t="str">
        <f>_xll.BDH(K163,$Q$2,$Q$1,$Q$1)</f>
        <v>#N/A Invalid Security</v>
      </c>
      <c r="AA163" s="61" t="str">
        <f>_xll.BDH(L163,$Q$2,$Q$1,$Q$1)</f>
        <v>#N/A Invalid Security</v>
      </c>
      <c r="AB163" s="61" t="str">
        <f>_xll.BDH(M163,$Q$2,$Q$1,$Q$1)</f>
        <v>#N/A Invalid Security</v>
      </c>
      <c r="AC163" s="61" t="str">
        <f>_xll.BDH(N163,$Q$2,$Q$1,$Q$1)</f>
        <v>#N/A Invalid Security</v>
      </c>
      <c r="AD163" s="61" t="str">
        <f>_xll.BDH(P163,$Q$2,$Q$1,$Q$1)</f>
        <v>#N/A Mandatory parameter [SECURITY] cannot be empty</v>
      </c>
      <c r="AE163" s="61" t="str">
        <f>_xll.BDH(Q163,$Q$2,$Q$1,$Q$1)</f>
        <v>#N/A Invalid Security</v>
      </c>
      <c r="AF163" s="61" t="str">
        <f>_xll.BDH(R163,$Q$2,$Q$1,$Q$1)</f>
        <v>#N/A Invalid Security</v>
      </c>
    </row>
    <row r="164" spans="1:32" ht="16.5" x14ac:dyDescent="0.3">
      <c r="A164" s="63"/>
      <c r="B164" s="61" t="str">
        <f t="shared" si="1"/>
        <v>KRWA0204 LCLS Curncy</v>
      </c>
      <c r="C164" s="61" t="str">
        <f t="shared" si="4"/>
        <v>KRWK0204 LCLS Curncy</v>
      </c>
      <c r="D164" s="61" t="str">
        <f t="shared" si="4"/>
        <v>KRWL0204 LCLS Curncy</v>
      </c>
      <c r="E164" s="61" t="str">
        <f t="shared" si="4"/>
        <v>KRWB0204 LCLS Curncy</v>
      </c>
      <c r="F164" s="61" t="str">
        <f t="shared" si="4"/>
        <v>KRWM0204 LCLS Curncy</v>
      </c>
      <c r="G164" s="61" t="str">
        <f t="shared" si="4"/>
        <v>KRWN0204 LCLS Curncy</v>
      </c>
      <c r="H164" s="61" t="str">
        <f t="shared" si="4"/>
        <v>KRWO0204 LCLS Curncy</v>
      </c>
      <c r="I164" s="61" t="str">
        <f t="shared" si="4"/>
        <v>KRWP0204 LCLS Curncy</v>
      </c>
      <c r="J164" s="61" t="str">
        <f t="shared" si="4"/>
        <v>KRWC0204 LCLS Curncy</v>
      </c>
      <c r="K164" s="61" t="str">
        <f t="shared" si="4"/>
        <v>KRWQ0204 LCLS Curncy</v>
      </c>
      <c r="L164" s="61" t="str">
        <f t="shared" si="4"/>
        <v>KRWR0204 LCLS Curncy</v>
      </c>
      <c r="M164" s="61" t="str">
        <f t="shared" si="4"/>
        <v>KRWD0204 LCLS Curncy</v>
      </c>
      <c r="N164" s="61" t="str">
        <f t="shared" si="4"/>
        <v>KRWD0204 LCLS Curncy</v>
      </c>
      <c r="O164" s="61" t="str">
        <f t="shared" si="4"/>
        <v xml:space="preserve"> LCLS Curncy</v>
      </c>
      <c r="Q164" s="61" t="str">
        <f>_xll.BDH(B164,$Q$2,$Q$1,$Q$1)</f>
        <v>#N/A Invalid Security</v>
      </c>
      <c r="R164" s="61" t="str">
        <f>_xll.BDH(C164,$Q$2,$Q$1,$Q$1)</f>
        <v>#N/A Invalid Security</v>
      </c>
      <c r="S164" s="61" t="str">
        <f>_xll.BDH(D164,$Q$2,$Q$1,$Q$1)</f>
        <v>#N/A Invalid Security</v>
      </c>
      <c r="T164" s="61" t="str">
        <f>_xll.BDH(E164,$Q$2,$Q$1,$Q$1)</f>
        <v>#N/A Invalid Security</v>
      </c>
      <c r="U164" s="61" t="str">
        <f>_xll.BDH(F164,$Q$2,$Q$1,$Q$1)</f>
        <v>#N/A Invalid Security</v>
      </c>
      <c r="V164" s="61" t="str">
        <f>_xll.BDH(G164,$Q$2,$Q$1,$Q$1)</f>
        <v>#N/A Invalid Security</v>
      </c>
      <c r="W164" s="61" t="str">
        <f>_xll.BDH(H164,$Q$2,$Q$1,$Q$1)</f>
        <v>#N/A Invalid Security</v>
      </c>
      <c r="X164" s="61" t="str">
        <f>_xll.BDH(I164,$Q$2,$Q$1,$Q$1)</f>
        <v>#N/A Invalid Security</v>
      </c>
      <c r="Y164" s="61" t="str">
        <f>_xll.BDH(J164,$Q$2,$Q$1,$Q$1)</f>
        <v>#N/A Invalid Security</v>
      </c>
      <c r="Z164" s="61" t="str">
        <f>_xll.BDH(K164,$Q$2,$Q$1,$Q$1)</f>
        <v>#N/A Invalid Security</v>
      </c>
      <c r="AA164" s="61" t="str">
        <f>_xll.BDH(L164,$Q$2,$Q$1,$Q$1)</f>
        <v>#N/A Invalid Security</v>
      </c>
      <c r="AB164" s="61" t="str">
        <f>_xll.BDH(M164,$Q$2,$Q$1,$Q$1)</f>
        <v>#N/A Invalid Security</v>
      </c>
      <c r="AC164" s="61" t="str">
        <f>_xll.BDH(N164,$Q$2,$Q$1,$Q$1)</f>
        <v>#N/A Invalid Security</v>
      </c>
      <c r="AD164" s="61" t="str">
        <f>_xll.BDH(P164,$Q$2,$Q$1,$Q$1)</f>
        <v>#N/A Mandatory parameter [SECURITY] cannot be empty</v>
      </c>
      <c r="AE164" s="61" t="str">
        <f>_xll.BDH(Q164,$Q$2,$Q$1,$Q$1)</f>
        <v>#N/A Invalid Security</v>
      </c>
      <c r="AF164" s="61" t="str">
        <f>_xll.BDH(R164,$Q$2,$Q$1,$Q$1)</f>
        <v>#N/A Invalid Security</v>
      </c>
    </row>
    <row r="165" spans="1:32" ht="16.5" x14ac:dyDescent="0.3">
      <c r="A165" s="63"/>
      <c r="B165" s="61" t="str">
        <f t="shared" si="1"/>
        <v>KRWA0205 LCLS Curncy</v>
      </c>
      <c r="C165" s="61" t="str">
        <f t="shared" si="4"/>
        <v>KRWK0205 LCLS Curncy</v>
      </c>
      <c r="D165" s="61" t="str">
        <f t="shared" si="4"/>
        <v>KRWL0205 LCLS Curncy</v>
      </c>
      <c r="E165" s="61" t="str">
        <f t="shared" si="4"/>
        <v>KRWB0205 LCLS Curncy</v>
      </c>
      <c r="F165" s="61" t="str">
        <f t="shared" si="4"/>
        <v>KRWM0205 LCLS Curncy</v>
      </c>
      <c r="G165" s="61" t="str">
        <f t="shared" si="4"/>
        <v>KRWN0205 LCLS Curncy</v>
      </c>
      <c r="H165" s="61" t="str">
        <f t="shared" si="4"/>
        <v>KRWO0205 LCLS Curncy</v>
      </c>
      <c r="I165" s="61" t="str">
        <f t="shared" si="4"/>
        <v>KRWP0205 LCLS Curncy</v>
      </c>
      <c r="J165" s="61" t="str">
        <f t="shared" si="4"/>
        <v>KRWC0205 LCLS Curncy</v>
      </c>
      <c r="K165" s="61" t="str">
        <f t="shared" si="4"/>
        <v>KRWQ0205 LCLS Curncy</v>
      </c>
      <c r="L165" s="61" t="str">
        <f t="shared" si="4"/>
        <v>KRWR0205 LCLS Curncy</v>
      </c>
      <c r="M165" s="61" t="str">
        <f t="shared" si="4"/>
        <v>KRWD0205 LCLS Curncy</v>
      </c>
      <c r="N165" s="61" t="str">
        <f t="shared" si="4"/>
        <v>KRWD0205 LCLS Curncy</v>
      </c>
      <c r="O165" s="61" t="str">
        <f t="shared" si="4"/>
        <v xml:space="preserve"> LCLS Curncy</v>
      </c>
      <c r="Q165" s="61" t="str">
        <f>_xll.BDH(B165,$Q$2,$Q$1,$Q$1)</f>
        <v>#N/A Invalid Security</v>
      </c>
      <c r="R165" s="61" t="str">
        <f>_xll.BDH(C165,$Q$2,$Q$1,$Q$1)</f>
        <v>#N/A Invalid Security</v>
      </c>
      <c r="S165" s="61" t="str">
        <f>_xll.BDH(D165,$Q$2,$Q$1,$Q$1)</f>
        <v>#N/A Invalid Security</v>
      </c>
      <c r="T165" s="61" t="str">
        <f>_xll.BDH(E165,$Q$2,$Q$1,$Q$1)</f>
        <v>#N/A Invalid Security</v>
      </c>
      <c r="U165" s="61" t="str">
        <f>_xll.BDH(F165,$Q$2,$Q$1,$Q$1)</f>
        <v>#N/A Invalid Security</v>
      </c>
      <c r="V165" s="61" t="str">
        <f>_xll.BDH(G165,$Q$2,$Q$1,$Q$1)</f>
        <v>#N/A Invalid Security</v>
      </c>
      <c r="W165" s="61" t="str">
        <f>_xll.BDH(H165,$Q$2,$Q$1,$Q$1)</f>
        <v>#N/A Invalid Security</v>
      </c>
      <c r="X165" s="61" t="str">
        <f>_xll.BDH(I165,$Q$2,$Q$1,$Q$1)</f>
        <v>#N/A Invalid Security</v>
      </c>
      <c r="Y165" s="61" t="str">
        <f>_xll.BDH(J165,$Q$2,$Q$1,$Q$1)</f>
        <v>#N/A Invalid Security</v>
      </c>
      <c r="Z165" s="61" t="str">
        <f>_xll.BDH(K165,$Q$2,$Q$1,$Q$1)</f>
        <v>#N/A Invalid Security</v>
      </c>
      <c r="AA165" s="61" t="str">
        <f>_xll.BDH(L165,$Q$2,$Q$1,$Q$1)</f>
        <v>#N/A Invalid Security</v>
      </c>
      <c r="AB165" s="61" t="str">
        <f>_xll.BDH(M165,$Q$2,$Q$1,$Q$1)</f>
        <v>#N/A Invalid Security</v>
      </c>
      <c r="AC165" s="61" t="str">
        <f>_xll.BDH(N165,$Q$2,$Q$1,$Q$1)</f>
        <v>#N/A Invalid Security</v>
      </c>
      <c r="AD165" s="61" t="str">
        <f>_xll.BDH(P165,$Q$2,$Q$1,$Q$1)</f>
        <v>#N/A Mandatory parameter [SECURITY] cannot be empty</v>
      </c>
      <c r="AE165" s="61" t="str">
        <f>_xll.BDH(Q165,$Q$2,$Q$1,$Q$1)</f>
        <v>#N/A Invalid Security</v>
      </c>
      <c r="AF165" s="61" t="str">
        <f>_xll.BDH(R165,$Q$2,$Q$1,$Q$1)</f>
        <v>#N/A Invalid Security</v>
      </c>
    </row>
    <row r="166" spans="1:32" ht="16.5" x14ac:dyDescent="0.3">
      <c r="A166" s="63"/>
      <c r="B166" s="61" t="str">
        <f t="shared" si="1"/>
        <v>KRWA0206 LCLS Curncy</v>
      </c>
      <c r="C166" s="61" t="str">
        <f t="shared" si="4"/>
        <v>KRWK0206 LCLS Curncy</v>
      </c>
      <c r="D166" s="61" t="str">
        <f t="shared" si="4"/>
        <v>KRWL0206 LCLS Curncy</v>
      </c>
      <c r="E166" s="61" t="str">
        <f t="shared" si="4"/>
        <v>KRWB0206 LCLS Curncy</v>
      </c>
      <c r="F166" s="61" t="str">
        <f t="shared" si="4"/>
        <v>KRWM0206 LCLS Curncy</v>
      </c>
      <c r="G166" s="61" t="str">
        <f t="shared" si="4"/>
        <v>KRWN0206 LCLS Curncy</v>
      </c>
      <c r="H166" s="61" t="str">
        <f t="shared" si="4"/>
        <v>KRWO0206 LCLS Curncy</v>
      </c>
      <c r="I166" s="61" t="str">
        <f t="shared" si="4"/>
        <v>KRWP0206 LCLS Curncy</v>
      </c>
      <c r="J166" s="61" t="str">
        <f t="shared" si="4"/>
        <v>KRWC0206 LCLS Curncy</v>
      </c>
      <c r="K166" s="61" t="str">
        <f t="shared" si="4"/>
        <v>KRWQ0206 LCLS Curncy</v>
      </c>
      <c r="L166" s="61" t="str">
        <f t="shared" si="4"/>
        <v>KRWR0206 LCLS Curncy</v>
      </c>
      <c r="M166" s="61" t="str">
        <f t="shared" si="4"/>
        <v>KRWD0206 LCLS Curncy</v>
      </c>
      <c r="N166" s="61" t="str">
        <f t="shared" si="4"/>
        <v>KRWD0206 LCLS Curncy</v>
      </c>
      <c r="O166" s="61" t="str">
        <f t="shared" si="4"/>
        <v xml:space="preserve"> LCLS Curncy</v>
      </c>
      <c r="Q166" s="61" t="str">
        <f>_xll.BDH(B166,$Q$2,$Q$1,$Q$1)</f>
        <v>#N/A Invalid Security</v>
      </c>
      <c r="R166" s="61" t="str">
        <f>_xll.BDH(C166,$Q$2,$Q$1,$Q$1)</f>
        <v>#N/A Invalid Security</v>
      </c>
      <c r="S166" s="61" t="str">
        <f>_xll.BDH(D166,$Q$2,$Q$1,$Q$1)</f>
        <v>#N/A Invalid Security</v>
      </c>
      <c r="T166" s="61" t="str">
        <f>_xll.BDH(E166,$Q$2,$Q$1,$Q$1)</f>
        <v>#N/A Invalid Security</v>
      </c>
      <c r="U166" s="61" t="str">
        <f>_xll.BDH(F166,$Q$2,$Q$1,$Q$1)</f>
        <v>#N/A Invalid Security</v>
      </c>
      <c r="V166" s="61" t="str">
        <f>_xll.BDH(G166,$Q$2,$Q$1,$Q$1)</f>
        <v>#N/A Invalid Security</v>
      </c>
      <c r="W166" s="61" t="str">
        <f>_xll.BDH(H166,$Q$2,$Q$1,$Q$1)</f>
        <v>#N/A Invalid Security</v>
      </c>
      <c r="X166" s="61" t="str">
        <f>_xll.BDH(I166,$Q$2,$Q$1,$Q$1)</f>
        <v>#N/A Invalid Security</v>
      </c>
      <c r="Y166" s="61" t="str">
        <f>_xll.BDH(J166,$Q$2,$Q$1,$Q$1)</f>
        <v>#N/A Invalid Security</v>
      </c>
      <c r="Z166" s="61" t="str">
        <f>_xll.BDH(K166,$Q$2,$Q$1,$Q$1)</f>
        <v>#N/A Invalid Security</v>
      </c>
      <c r="AA166" s="61" t="str">
        <f>_xll.BDH(L166,$Q$2,$Q$1,$Q$1)</f>
        <v>#N/A Invalid Security</v>
      </c>
      <c r="AB166" s="61" t="str">
        <f>_xll.BDH(M166,$Q$2,$Q$1,$Q$1)</f>
        <v>#N/A Invalid Security</v>
      </c>
      <c r="AC166" s="61" t="str">
        <f>_xll.BDH(N166,$Q$2,$Q$1,$Q$1)</f>
        <v>#N/A Invalid Security</v>
      </c>
      <c r="AD166" s="61" t="str">
        <f>_xll.BDH(P166,$Q$2,$Q$1,$Q$1)</f>
        <v>#N/A Mandatory parameter [SECURITY] cannot be empty</v>
      </c>
      <c r="AE166" s="61" t="str">
        <f>_xll.BDH(Q166,$Q$2,$Q$1,$Q$1)</f>
        <v>#N/A Invalid Security</v>
      </c>
      <c r="AF166" s="61" t="str">
        <f>_xll.BDH(R166,$Q$2,$Q$1,$Q$1)</f>
        <v>#N/A Invalid Security</v>
      </c>
    </row>
    <row r="167" spans="1:32" ht="16.5" x14ac:dyDescent="0.3">
      <c r="A167" s="63"/>
      <c r="B167" s="61" t="str">
        <f t="shared" si="1"/>
        <v>KRWA0207 LCLS Curncy</v>
      </c>
      <c r="C167" s="61" t="str">
        <f t="shared" si="4"/>
        <v>KRWK0207 LCLS Curncy</v>
      </c>
      <c r="D167" s="61" t="str">
        <f t="shared" si="4"/>
        <v>KRWL0207 LCLS Curncy</v>
      </c>
      <c r="E167" s="61" t="str">
        <f t="shared" si="4"/>
        <v>KRWB0207 LCLS Curncy</v>
      </c>
      <c r="F167" s="61" t="str">
        <f t="shared" si="4"/>
        <v>KRWM0207 LCLS Curncy</v>
      </c>
      <c r="G167" s="61" t="str">
        <f t="shared" si="4"/>
        <v>KRWN0207 LCLS Curncy</v>
      </c>
      <c r="H167" s="61" t="str">
        <f t="shared" si="4"/>
        <v>KRWO0207 LCLS Curncy</v>
      </c>
      <c r="I167" s="61" t="str">
        <f t="shared" si="4"/>
        <v>KRWP0207 LCLS Curncy</v>
      </c>
      <c r="J167" s="61" t="str">
        <f t="shared" si="4"/>
        <v>KRWC0207 LCLS Curncy</v>
      </c>
      <c r="K167" s="61" t="str">
        <f t="shared" si="4"/>
        <v>KRWQ0207 LCLS Curncy</v>
      </c>
      <c r="L167" s="61" t="str">
        <f t="shared" si="4"/>
        <v>KRWR0207 LCLS Curncy</v>
      </c>
      <c r="M167" s="61" t="str">
        <f t="shared" si="4"/>
        <v>KRWD0207 LCLS Curncy</v>
      </c>
      <c r="N167" s="61" t="str">
        <f t="shared" si="4"/>
        <v>KRWD0207 LCLS Curncy</v>
      </c>
      <c r="O167" s="61" t="str">
        <f t="shared" si="4"/>
        <v xml:space="preserve"> LCLS Curncy</v>
      </c>
      <c r="Q167" s="61" t="str">
        <f>_xll.BDH(B167,$Q$2,$Q$1,$Q$1)</f>
        <v>#N/A Invalid Security</v>
      </c>
      <c r="R167" s="61" t="str">
        <f>_xll.BDH(C167,$Q$2,$Q$1,$Q$1)</f>
        <v>#N/A Invalid Security</v>
      </c>
      <c r="S167" s="61" t="str">
        <f>_xll.BDH(D167,$Q$2,$Q$1,$Q$1)</f>
        <v>#N/A Invalid Security</v>
      </c>
      <c r="T167" s="61" t="str">
        <f>_xll.BDH(E167,$Q$2,$Q$1,$Q$1)</f>
        <v>#N/A Invalid Security</v>
      </c>
      <c r="U167" s="61" t="str">
        <f>_xll.BDH(F167,$Q$2,$Q$1,$Q$1)</f>
        <v>#N/A Invalid Security</v>
      </c>
      <c r="V167" s="61" t="str">
        <f>_xll.BDH(G167,$Q$2,$Q$1,$Q$1)</f>
        <v>#N/A Invalid Security</v>
      </c>
      <c r="W167" s="61" t="str">
        <f>_xll.BDH(H167,$Q$2,$Q$1,$Q$1)</f>
        <v>#N/A Invalid Security</v>
      </c>
      <c r="X167" s="61" t="str">
        <f>_xll.BDH(I167,$Q$2,$Q$1,$Q$1)</f>
        <v>#N/A Invalid Security</v>
      </c>
      <c r="Y167" s="61" t="str">
        <f>_xll.BDH(J167,$Q$2,$Q$1,$Q$1)</f>
        <v>#N/A Invalid Security</v>
      </c>
      <c r="Z167" s="61" t="str">
        <f>_xll.BDH(K167,$Q$2,$Q$1,$Q$1)</f>
        <v>#N/A Invalid Security</v>
      </c>
      <c r="AA167" s="61" t="str">
        <f>_xll.BDH(L167,$Q$2,$Q$1,$Q$1)</f>
        <v>#N/A Invalid Security</v>
      </c>
      <c r="AB167" s="61" t="str">
        <f>_xll.BDH(M167,$Q$2,$Q$1,$Q$1)</f>
        <v>#N/A Invalid Security</v>
      </c>
      <c r="AC167" s="61" t="str">
        <f>_xll.BDH(N167,$Q$2,$Q$1,$Q$1)</f>
        <v>#N/A Invalid Security</v>
      </c>
      <c r="AD167" s="61" t="str">
        <f>_xll.BDH(P167,$Q$2,$Q$1,$Q$1)</f>
        <v>#N/A Mandatory parameter [SECURITY] cannot be empty</v>
      </c>
      <c r="AE167" s="61" t="str">
        <f>_xll.BDH(Q167,$Q$2,$Q$1,$Q$1)</f>
        <v>#N/A Invalid Security</v>
      </c>
      <c r="AF167" s="61" t="str">
        <f>_xll.BDH(R167,$Q$2,$Q$1,$Q$1)</f>
        <v>#N/A Invalid Security</v>
      </c>
    </row>
    <row r="168" spans="1:32" ht="16.5" x14ac:dyDescent="0.3">
      <c r="A168" s="63"/>
      <c r="B168" s="61" t="str">
        <f t="shared" si="1"/>
        <v>KRWA0208 LCLS Curncy</v>
      </c>
      <c r="C168" s="61" t="str">
        <f t="shared" si="4"/>
        <v>KRWK0208 LCLS Curncy</v>
      </c>
      <c r="D168" s="61" t="str">
        <f t="shared" si="4"/>
        <v>KRWL0208 LCLS Curncy</v>
      </c>
      <c r="E168" s="61" t="str">
        <f t="shared" si="4"/>
        <v>KRWB0208 LCLS Curncy</v>
      </c>
      <c r="F168" s="61" t="str">
        <f t="shared" si="4"/>
        <v>KRWM0208 LCLS Curncy</v>
      </c>
      <c r="G168" s="61" t="str">
        <f t="shared" si="4"/>
        <v>KRWN0208 LCLS Curncy</v>
      </c>
      <c r="H168" s="61" t="str">
        <f t="shared" si="4"/>
        <v>KRWO0208 LCLS Curncy</v>
      </c>
      <c r="I168" s="61" t="str">
        <f t="shared" si="4"/>
        <v>KRWP0208 LCLS Curncy</v>
      </c>
      <c r="J168" s="61" t="str">
        <f t="shared" si="4"/>
        <v>KRWC0208 LCLS Curncy</v>
      </c>
      <c r="K168" s="61" t="str">
        <f t="shared" si="4"/>
        <v>KRWQ0208 LCLS Curncy</v>
      </c>
      <c r="L168" s="61" t="str">
        <f t="shared" si="4"/>
        <v>KRWR0208 LCLS Curncy</v>
      </c>
      <c r="M168" s="61" t="str">
        <f t="shared" si="4"/>
        <v>KRWD0208 LCLS Curncy</v>
      </c>
      <c r="N168" s="61" t="str">
        <f t="shared" si="4"/>
        <v>KRWD0208 LCLS Curncy</v>
      </c>
      <c r="O168" s="61" t="str">
        <f t="shared" si="4"/>
        <v xml:space="preserve"> LCLS Curncy</v>
      </c>
      <c r="Q168" s="61" t="str">
        <f>_xll.BDH(B168,$Q$2,$Q$1,$Q$1)</f>
        <v>#N/A Invalid Security</v>
      </c>
      <c r="R168" s="61" t="str">
        <f>_xll.BDH(C168,$Q$2,$Q$1,$Q$1)</f>
        <v>#N/A Invalid Security</v>
      </c>
      <c r="S168" s="61" t="str">
        <f>_xll.BDH(D168,$Q$2,$Q$1,$Q$1)</f>
        <v>#N/A Invalid Security</v>
      </c>
      <c r="T168" s="61" t="str">
        <f>_xll.BDH(E168,$Q$2,$Q$1,$Q$1)</f>
        <v>#N/A Invalid Security</v>
      </c>
      <c r="U168" s="61" t="str">
        <f>_xll.BDH(F168,$Q$2,$Q$1,$Q$1)</f>
        <v>#N/A Invalid Security</v>
      </c>
      <c r="V168" s="61" t="str">
        <f>_xll.BDH(G168,$Q$2,$Q$1,$Q$1)</f>
        <v>#N/A Invalid Security</v>
      </c>
      <c r="W168" s="61" t="str">
        <f>_xll.BDH(H168,$Q$2,$Q$1,$Q$1)</f>
        <v>#N/A Invalid Security</v>
      </c>
      <c r="X168" s="61" t="str">
        <f>_xll.BDH(I168,$Q$2,$Q$1,$Q$1)</f>
        <v>#N/A Invalid Security</v>
      </c>
      <c r="Y168" s="61" t="str">
        <f>_xll.BDH(J168,$Q$2,$Q$1,$Q$1)</f>
        <v>#N/A Invalid Security</v>
      </c>
      <c r="Z168" s="61" t="str">
        <f>_xll.BDH(K168,$Q$2,$Q$1,$Q$1)</f>
        <v>#N/A Invalid Security</v>
      </c>
      <c r="AA168" s="61" t="str">
        <f>_xll.BDH(L168,$Q$2,$Q$1,$Q$1)</f>
        <v>#N/A Invalid Security</v>
      </c>
      <c r="AB168" s="61" t="str">
        <f>_xll.BDH(M168,$Q$2,$Q$1,$Q$1)</f>
        <v>#N/A Invalid Security</v>
      </c>
      <c r="AC168" s="61" t="str">
        <f>_xll.BDH(N168,$Q$2,$Q$1,$Q$1)</f>
        <v>#N/A Invalid Security</v>
      </c>
      <c r="AD168" s="61" t="str">
        <f>_xll.BDH(P168,$Q$2,$Q$1,$Q$1)</f>
        <v>#N/A Mandatory parameter [SECURITY] cannot be empty</v>
      </c>
      <c r="AE168" s="61" t="str">
        <f>_xll.BDH(Q168,$Q$2,$Q$1,$Q$1)</f>
        <v>#N/A Invalid Security</v>
      </c>
      <c r="AF168" s="61" t="str">
        <f>_xll.BDH(R168,$Q$2,$Q$1,$Q$1)</f>
        <v>#N/A Invalid Security</v>
      </c>
    </row>
    <row r="169" spans="1:32" ht="16.5" x14ac:dyDescent="0.3">
      <c r="A169" s="63"/>
      <c r="B169" s="61" t="str">
        <f t="shared" si="1"/>
        <v>KRWA0209 LCLS Curncy</v>
      </c>
      <c r="C169" s="61" t="str">
        <f t="shared" si="4"/>
        <v>KRWK0209 LCLS Curncy</v>
      </c>
      <c r="D169" s="61" t="str">
        <f t="shared" si="4"/>
        <v>KRWL0209 LCLS Curncy</v>
      </c>
      <c r="E169" s="61" t="str">
        <f t="shared" si="4"/>
        <v>KRWB0209 LCLS Curncy</v>
      </c>
      <c r="F169" s="61" t="str">
        <f t="shared" si="4"/>
        <v>KRWM0209 LCLS Curncy</v>
      </c>
      <c r="G169" s="61" t="str">
        <f t="shared" si="4"/>
        <v>KRWN0209 LCLS Curncy</v>
      </c>
      <c r="H169" s="61" t="str">
        <f t="shared" si="4"/>
        <v>KRWO0209 LCLS Curncy</v>
      </c>
      <c r="I169" s="61" t="str">
        <f t="shared" si="4"/>
        <v>KRWP0209 LCLS Curncy</v>
      </c>
      <c r="J169" s="61" t="str">
        <f t="shared" si="4"/>
        <v>KRWC0209 LCLS Curncy</v>
      </c>
      <c r="K169" s="61" t="str">
        <f t="shared" si="4"/>
        <v>KRWQ0209 LCLS Curncy</v>
      </c>
      <c r="L169" s="61" t="str">
        <f t="shared" si="4"/>
        <v>KRWR0209 LCLS Curncy</v>
      </c>
      <c r="M169" s="61" t="str">
        <f t="shared" si="4"/>
        <v>KRWD0209 LCLS Curncy</v>
      </c>
      <c r="N169" s="61" t="str">
        <f t="shared" si="4"/>
        <v>KRWD0209 LCLS Curncy</v>
      </c>
      <c r="O169" s="61" t="str">
        <f t="shared" si="4"/>
        <v xml:space="preserve"> LCLS Curncy</v>
      </c>
      <c r="Q169" s="61" t="str">
        <f>_xll.BDH(B169,$Q$2,$Q$1,$Q$1)</f>
        <v>#N/A Invalid Security</v>
      </c>
      <c r="R169" s="61" t="str">
        <f>_xll.BDH(C169,$Q$2,$Q$1,$Q$1)</f>
        <v>#N/A Invalid Security</v>
      </c>
      <c r="S169" s="61" t="str">
        <f>_xll.BDH(D169,$Q$2,$Q$1,$Q$1)</f>
        <v>#N/A Invalid Security</v>
      </c>
      <c r="T169" s="61" t="str">
        <f>_xll.BDH(E169,$Q$2,$Q$1,$Q$1)</f>
        <v>#N/A Invalid Security</v>
      </c>
      <c r="U169" s="61" t="str">
        <f>_xll.BDH(F169,$Q$2,$Q$1,$Q$1)</f>
        <v>#N/A Invalid Security</v>
      </c>
      <c r="V169" s="61" t="str">
        <f>_xll.BDH(G169,$Q$2,$Q$1,$Q$1)</f>
        <v>#N/A Invalid Security</v>
      </c>
      <c r="W169" s="61" t="str">
        <f>_xll.BDH(H169,$Q$2,$Q$1,$Q$1)</f>
        <v>#N/A Invalid Security</v>
      </c>
      <c r="X169" s="61" t="str">
        <f>_xll.BDH(I169,$Q$2,$Q$1,$Q$1)</f>
        <v>#N/A Invalid Security</v>
      </c>
      <c r="Y169" s="61" t="str">
        <f>_xll.BDH(J169,$Q$2,$Q$1,$Q$1)</f>
        <v>#N/A Invalid Security</v>
      </c>
      <c r="Z169" s="61" t="str">
        <f>_xll.BDH(K169,$Q$2,$Q$1,$Q$1)</f>
        <v>#N/A Invalid Security</v>
      </c>
      <c r="AA169" s="61" t="str">
        <f>_xll.BDH(L169,$Q$2,$Q$1,$Q$1)</f>
        <v>#N/A Invalid Security</v>
      </c>
      <c r="AB169" s="61" t="str">
        <f>_xll.BDH(M169,$Q$2,$Q$1,$Q$1)</f>
        <v>#N/A Invalid Security</v>
      </c>
      <c r="AC169" s="61" t="str">
        <f>_xll.BDH(N169,$Q$2,$Q$1,$Q$1)</f>
        <v>#N/A Invalid Security</v>
      </c>
      <c r="AD169" s="61" t="str">
        <f>_xll.BDH(P169,$Q$2,$Q$1,$Q$1)</f>
        <v>#N/A Mandatory parameter [SECURITY] cannot be empty</v>
      </c>
      <c r="AE169" s="61" t="str">
        <f>_xll.BDH(Q169,$Q$2,$Q$1,$Q$1)</f>
        <v>#N/A Invalid Security</v>
      </c>
      <c r="AF169" s="61" t="str">
        <f>_xll.BDH(R169,$Q$2,$Q$1,$Q$1)</f>
        <v>#N/A Invalid Security</v>
      </c>
    </row>
    <row r="170" spans="1:32" ht="16.5" x14ac:dyDescent="0.3">
      <c r="A170" s="63"/>
      <c r="B170" s="61" t="str">
        <f t="shared" si="1"/>
        <v>KRWA0210 LCLS Curncy</v>
      </c>
      <c r="C170" s="61" t="str">
        <f t="shared" si="4"/>
        <v>KRWK0210 LCLS Curncy</v>
      </c>
      <c r="D170" s="61" t="str">
        <f t="shared" si="4"/>
        <v>KRWL0210 LCLS Curncy</v>
      </c>
      <c r="E170" s="61" t="str">
        <f t="shared" si="4"/>
        <v>KRWB0210 LCLS Curncy</v>
      </c>
      <c r="F170" s="61" t="str">
        <f t="shared" si="4"/>
        <v>KRWM0210 LCLS Curncy</v>
      </c>
      <c r="G170" s="61" t="str">
        <f t="shared" si="4"/>
        <v>KRWN0210 LCLS Curncy</v>
      </c>
      <c r="H170" s="61" t="str">
        <f t="shared" si="4"/>
        <v>KRWO0210 LCLS Curncy</v>
      </c>
      <c r="I170" s="61" t="str">
        <f t="shared" si="4"/>
        <v>KRWP0210 LCLS Curncy</v>
      </c>
      <c r="J170" s="61" t="str">
        <f t="shared" si="4"/>
        <v>KRWC0210 LCLS Curncy</v>
      </c>
      <c r="K170" s="61" t="str">
        <f t="shared" si="4"/>
        <v>KRWQ0210 LCLS Curncy</v>
      </c>
      <c r="L170" s="61" t="str">
        <f t="shared" si="4"/>
        <v>KRWR0210 LCLS Curncy</v>
      </c>
      <c r="M170" s="61" t="str">
        <f t="shared" si="4"/>
        <v>KRWD0210 LCLS Curncy</v>
      </c>
      <c r="N170" s="61" t="str">
        <f t="shared" si="4"/>
        <v>KRWD0210 LCLS Curncy</v>
      </c>
      <c r="O170" s="61" t="str">
        <f t="shared" si="4"/>
        <v xml:space="preserve"> LCLS Curncy</v>
      </c>
      <c r="Q170" s="61" t="str">
        <f>_xll.BDH(B170,$Q$2,$Q$1,$Q$1)</f>
        <v>#N/A Invalid Security</v>
      </c>
      <c r="R170" s="61" t="str">
        <f>_xll.BDH(C170,$Q$2,$Q$1,$Q$1)</f>
        <v>#N/A Invalid Security</v>
      </c>
      <c r="S170" s="61" t="str">
        <f>_xll.BDH(D170,$Q$2,$Q$1,$Q$1)</f>
        <v>#N/A Invalid Security</v>
      </c>
      <c r="T170" s="61" t="str">
        <f>_xll.BDH(E170,$Q$2,$Q$1,$Q$1)</f>
        <v>#N/A Invalid Security</v>
      </c>
      <c r="U170" s="61" t="str">
        <f>_xll.BDH(F170,$Q$2,$Q$1,$Q$1)</f>
        <v>#N/A Invalid Security</v>
      </c>
      <c r="V170" s="61" t="str">
        <f>_xll.BDH(G170,$Q$2,$Q$1,$Q$1)</f>
        <v>#N/A Invalid Security</v>
      </c>
      <c r="W170" s="61" t="str">
        <f>_xll.BDH(H170,$Q$2,$Q$1,$Q$1)</f>
        <v>#N/A Invalid Security</v>
      </c>
      <c r="X170" s="61" t="str">
        <f>_xll.BDH(I170,$Q$2,$Q$1,$Q$1)</f>
        <v>#N/A Invalid Security</v>
      </c>
      <c r="Y170" s="61" t="str">
        <f>_xll.BDH(J170,$Q$2,$Q$1,$Q$1)</f>
        <v>#N/A Invalid Security</v>
      </c>
      <c r="Z170" s="61" t="str">
        <f>_xll.BDH(K170,$Q$2,$Q$1,$Q$1)</f>
        <v>#N/A Invalid Security</v>
      </c>
      <c r="AA170" s="61" t="str">
        <f>_xll.BDH(L170,$Q$2,$Q$1,$Q$1)</f>
        <v>#N/A Invalid Security</v>
      </c>
      <c r="AB170" s="61" t="str">
        <f>_xll.BDH(M170,$Q$2,$Q$1,$Q$1)</f>
        <v>#N/A Invalid Security</v>
      </c>
      <c r="AC170" s="61" t="str">
        <f>_xll.BDH(N170,$Q$2,$Q$1,$Q$1)</f>
        <v>#N/A Invalid Security</v>
      </c>
      <c r="AD170" s="61" t="str">
        <f>_xll.BDH(P170,$Q$2,$Q$1,$Q$1)</f>
        <v>#N/A Mandatory parameter [SECURITY] cannot be empty</v>
      </c>
      <c r="AE170" s="61" t="str">
        <f>_xll.BDH(Q170,$Q$2,$Q$1,$Q$1)</f>
        <v>#N/A Invalid Security</v>
      </c>
      <c r="AF170" s="61" t="str">
        <f>_xll.BDH(R170,$Q$2,$Q$1,$Q$1)</f>
        <v>#N/A Invalid Security</v>
      </c>
    </row>
    <row r="171" spans="1:32" ht="16.5" x14ac:dyDescent="0.3">
      <c r="A171" s="63"/>
      <c r="B171" s="61" t="str">
        <f t="shared" si="1"/>
        <v>KRWA0215 LCLS Curncy</v>
      </c>
      <c r="C171" s="61" t="str">
        <f t="shared" si="4"/>
        <v>KRWK0215 LCLS Curncy</v>
      </c>
      <c r="D171" s="61" t="str">
        <f t="shared" si="4"/>
        <v>KRWL0215 LCLS Curncy</v>
      </c>
      <c r="E171" s="61" t="str">
        <f t="shared" si="4"/>
        <v>KRWB0215 LCLS Curncy</v>
      </c>
      <c r="F171" s="61" t="str">
        <f t="shared" si="4"/>
        <v>KRWM0215 LCLS Curncy</v>
      </c>
      <c r="G171" s="61" t="str">
        <f t="shared" si="4"/>
        <v>KRWN0215 LCLS Curncy</v>
      </c>
      <c r="H171" s="61" t="str">
        <f t="shared" si="4"/>
        <v>KRWO0215 LCLS Curncy</v>
      </c>
      <c r="I171" s="61" t="str">
        <f t="shared" si="4"/>
        <v>KRWP0215 LCLS Curncy</v>
      </c>
      <c r="J171" s="61" t="str">
        <f t="shared" si="4"/>
        <v>KRWC0215 LCLS Curncy</v>
      </c>
      <c r="K171" s="61" t="str">
        <f t="shared" si="4"/>
        <v>KRWQ0215 LCLS Curncy</v>
      </c>
      <c r="L171" s="61" t="str">
        <f t="shared" si="4"/>
        <v>KRWR0215 LCLS Curncy</v>
      </c>
      <c r="M171" s="61" t="str">
        <f t="shared" si="4"/>
        <v>KRWD0215 LCLS Curncy</v>
      </c>
      <c r="N171" s="61" t="str">
        <f t="shared" si="4"/>
        <v>KRWD0215 LCLS Curncy</v>
      </c>
      <c r="O171" s="61" t="str">
        <f t="shared" si="4"/>
        <v xml:space="preserve"> LCLS Curncy</v>
      </c>
      <c r="Q171" s="61" t="str">
        <f>_xll.BDH(B171,$Q$2,$Q$1,$Q$1)</f>
        <v>#N/A Invalid Security</v>
      </c>
      <c r="R171" s="61" t="str">
        <f>_xll.BDH(C171,$Q$2,$Q$1,$Q$1)</f>
        <v>#N/A Invalid Security</v>
      </c>
      <c r="S171" s="61" t="str">
        <f>_xll.BDH(D171,$Q$2,$Q$1,$Q$1)</f>
        <v>#N/A Invalid Security</v>
      </c>
      <c r="T171" s="61" t="str">
        <f>_xll.BDH(E171,$Q$2,$Q$1,$Q$1)</f>
        <v>#N/A Invalid Security</v>
      </c>
      <c r="U171" s="61" t="str">
        <f>_xll.BDH(F171,$Q$2,$Q$1,$Q$1)</f>
        <v>#N/A Invalid Security</v>
      </c>
      <c r="V171" s="61" t="str">
        <f>_xll.BDH(G171,$Q$2,$Q$1,$Q$1)</f>
        <v>#N/A Invalid Security</v>
      </c>
      <c r="W171" s="61" t="str">
        <f>_xll.BDH(H171,$Q$2,$Q$1,$Q$1)</f>
        <v>#N/A Invalid Security</v>
      </c>
      <c r="X171" s="61" t="str">
        <f>_xll.BDH(I171,$Q$2,$Q$1,$Q$1)</f>
        <v>#N/A Invalid Security</v>
      </c>
      <c r="Y171" s="61" t="str">
        <f>_xll.BDH(J171,$Q$2,$Q$1,$Q$1)</f>
        <v>#N/A Invalid Security</v>
      </c>
      <c r="Z171" s="61" t="str">
        <f>_xll.BDH(K171,$Q$2,$Q$1,$Q$1)</f>
        <v>#N/A Invalid Security</v>
      </c>
      <c r="AA171" s="61" t="str">
        <f>_xll.BDH(L171,$Q$2,$Q$1,$Q$1)</f>
        <v>#N/A Invalid Security</v>
      </c>
      <c r="AB171" s="61" t="str">
        <f>_xll.BDH(M171,$Q$2,$Q$1,$Q$1)</f>
        <v>#N/A Invalid Security</v>
      </c>
      <c r="AC171" s="61" t="str">
        <f>_xll.BDH(N171,$Q$2,$Q$1,$Q$1)</f>
        <v>#N/A Invalid Security</v>
      </c>
      <c r="AD171" s="61" t="str">
        <f>_xll.BDH(P171,$Q$2,$Q$1,$Q$1)</f>
        <v>#N/A Mandatory parameter [SECURITY] cannot be empty</v>
      </c>
      <c r="AE171" s="61" t="str">
        <f>_xll.BDH(Q171,$Q$2,$Q$1,$Q$1)</f>
        <v>#N/A Invalid Security</v>
      </c>
      <c r="AF171" s="61" t="str">
        <f>_xll.BDH(R171,$Q$2,$Q$1,$Q$1)</f>
        <v>#N/A Invalid Security</v>
      </c>
    </row>
    <row r="172" spans="1:32" ht="16.5" x14ac:dyDescent="0.3">
      <c r="A172" s="63"/>
      <c r="B172" s="61" t="str">
        <f t="shared" si="1"/>
        <v>KRWA0220 LCLS Curncy</v>
      </c>
      <c r="C172" s="61" t="str">
        <f t="shared" si="4"/>
        <v>KRWK0220 LCLS Curncy</v>
      </c>
      <c r="D172" s="61" t="str">
        <f t="shared" si="4"/>
        <v>KRWL0220 LCLS Curncy</v>
      </c>
      <c r="E172" s="61" t="str">
        <f t="shared" si="4"/>
        <v>KRWB0220 LCLS Curncy</v>
      </c>
      <c r="F172" s="61" t="str">
        <f t="shared" si="4"/>
        <v>KRWM0220 LCLS Curncy</v>
      </c>
      <c r="G172" s="61" t="str">
        <f t="shared" si="4"/>
        <v>KRWN0220 LCLS Curncy</v>
      </c>
      <c r="H172" s="61" t="str">
        <f t="shared" si="4"/>
        <v>KRWO0220 LCLS Curncy</v>
      </c>
      <c r="I172" s="61" t="str">
        <f t="shared" si="4"/>
        <v>KRWP0220 LCLS Curncy</v>
      </c>
      <c r="J172" s="61" t="str">
        <f t="shared" si="4"/>
        <v>KRWC0220 LCLS Curncy</v>
      </c>
      <c r="K172" s="61" t="str">
        <f t="shared" si="4"/>
        <v>KRWQ0220 LCLS Curncy</v>
      </c>
      <c r="L172" s="61" t="str">
        <f t="shared" si="4"/>
        <v>KRWR0220 LCLS Curncy</v>
      </c>
      <c r="M172" s="61" t="str">
        <f t="shared" si="4"/>
        <v>KRWD0220 LCLS Curncy</v>
      </c>
      <c r="N172" s="61" t="str">
        <f t="shared" si="4"/>
        <v>KRWD0220 LCLS Curncy</v>
      </c>
      <c r="O172" s="61" t="str">
        <f t="shared" si="4"/>
        <v xml:space="preserve"> LCLS Curncy</v>
      </c>
      <c r="Q172" s="61" t="str">
        <f>_xll.BDH(B172,$Q$2,$Q$1,$Q$1)</f>
        <v>#N/A Invalid Security</v>
      </c>
      <c r="R172" s="61" t="str">
        <f>_xll.BDH(C172,$Q$2,$Q$1,$Q$1)</f>
        <v>#N/A Invalid Security</v>
      </c>
      <c r="S172" s="61" t="str">
        <f>_xll.BDH(D172,$Q$2,$Q$1,$Q$1)</f>
        <v>#N/A Invalid Security</v>
      </c>
      <c r="T172" s="61" t="str">
        <f>_xll.BDH(E172,$Q$2,$Q$1,$Q$1)</f>
        <v>#N/A Invalid Security</v>
      </c>
      <c r="U172" s="61" t="str">
        <f>_xll.BDH(F172,$Q$2,$Q$1,$Q$1)</f>
        <v>#N/A Invalid Security</v>
      </c>
      <c r="V172" s="61" t="str">
        <f>_xll.BDH(G172,$Q$2,$Q$1,$Q$1)</f>
        <v>#N/A Invalid Security</v>
      </c>
      <c r="W172" s="61" t="str">
        <f>_xll.BDH(H172,$Q$2,$Q$1,$Q$1)</f>
        <v>#N/A Invalid Security</v>
      </c>
      <c r="X172" s="61" t="str">
        <f>_xll.BDH(I172,$Q$2,$Q$1,$Q$1)</f>
        <v>#N/A Invalid Security</v>
      </c>
      <c r="Y172" s="61" t="str">
        <f>_xll.BDH(J172,$Q$2,$Q$1,$Q$1)</f>
        <v>#N/A Invalid Security</v>
      </c>
      <c r="Z172" s="61" t="str">
        <f>_xll.BDH(K172,$Q$2,$Q$1,$Q$1)</f>
        <v>#N/A Invalid Security</v>
      </c>
      <c r="AA172" s="61" t="str">
        <f>_xll.BDH(L172,$Q$2,$Q$1,$Q$1)</f>
        <v>#N/A Invalid Security</v>
      </c>
      <c r="AB172" s="61" t="str">
        <f>_xll.BDH(M172,$Q$2,$Q$1,$Q$1)</f>
        <v>#N/A Invalid Security</v>
      </c>
      <c r="AC172" s="61" t="str">
        <f>_xll.BDH(N172,$Q$2,$Q$1,$Q$1)</f>
        <v>#N/A Invalid Security</v>
      </c>
      <c r="AD172" s="61" t="str">
        <f>_xll.BDH(P172,$Q$2,$Q$1,$Q$1)</f>
        <v>#N/A Mandatory parameter [SECURITY] cannot be empty</v>
      </c>
      <c r="AE172" s="61" t="str">
        <f>_xll.BDH(Q172,$Q$2,$Q$1,$Q$1)</f>
        <v>#N/A Invalid Security</v>
      </c>
      <c r="AF172" s="61" t="str">
        <f>_xll.BDH(R172,$Q$2,$Q$1,$Q$1)</f>
        <v>#N/A Invalid Security</v>
      </c>
    </row>
    <row r="173" spans="1:32" ht="16.5" x14ac:dyDescent="0.3">
      <c r="A173" s="63"/>
      <c r="B173" s="61" t="str">
        <f t="shared" si="1"/>
        <v>KRWA0501 LCLS Curncy</v>
      </c>
      <c r="C173" s="61" t="str">
        <f t="shared" si="4"/>
        <v>KRWK0501 LCLS Curncy</v>
      </c>
      <c r="D173" s="61" t="str">
        <f t="shared" si="4"/>
        <v>KRWL0501 LCLS Curncy</v>
      </c>
      <c r="E173" s="61" t="str">
        <f t="shared" si="4"/>
        <v>KRWB0501 LCLS Curncy</v>
      </c>
      <c r="F173" s="61" t="str">
        <f t="shared" si="4"/>
        <v>KRWM0501 LCLS Curncy</v>
      </c>
      <c r="G173" s="61" t="str">
        <f t="shared" si="4"/>
        <v>KRWN0501 LCLS Curncy</v>
      </c>
      <c r="H173" s="61" t="str">
        <f t="shared" si="4"/>
        <v>KRWO0501 LCLS Curncy</v>
      </c>
      <c r="I173" s="61" t="str">
        <f t="shared" si="4"/>
        <v>KRWP0501 LCLS Curncy</v>
      </c>
      <c r="J173" s="61" t="str">
        <f t="shared" si="4"/>
        <v>KRWC0501 LCLS Curncy</v>
      </c>
      <c r="K173" s="61" t="str">
        <f t="shared" si="4"/>
        <v>KRWQ0501 LCLS Curncy</v>
      </c>
      <c r="L173" s="61" t="str">
        <f t="shared" si="4"/>
        <v>KRWR0501 LCLS Curncy</v>
      </c>
      <c r="M173" s="61" t="str">
        <f t="shared" si="4"/>
        <v>KRWD0501 LCLS Curncy</v>
      </c>
      <c r="N173" s="61" t="str">
        <f t="shared" si="4"/>
        <v>KRWD0501 LCLS Curncy</v>
      </c>
      <c r="O173" s="61" t="str">
        <f t="shared" si="4"/>
        <v xml:space="preserve"> LCLS Curncy</v>
      </c>
      <c r="Q173" s="61" t="str">
        <f>_xll.BDH(B173,$Q$2,$Q$1,$Q$1)</f>
        <v>#N/A Invalid Security</v>
      </c>
      <c r="R173" s="61" t="str">
        <f>_xll.BDH(C173,$Q$2,$Q$1,$Q$1)</f>
        <v>#N/A Invalid Security</v>
      </c>
      <c r="S173" s="61" t="str">
        <f>_xll.BDH(D173,$Q$2,$Q$1,$Q$1)</f>
        <v>#N/A Invalid Security</v>
      </c>
      <c r="T173" s="61" t="str">
        <f>_xll.BDH(E173,$Q$2,$Q$1,$Q$1)</f>
        <v>#N/A Invalid Security</v>
      </c>
      <c r="U173" s="61" t="str">
        <f>_xll.BDH(F173,$Q$2,$Q$1,$Q$1)</f>
        <v>#N/A Invalid Security</v>
      </c>
      <c r="V173" s="61" t="str">
        <f>_xll.BDH(G173,$Q$2,$Q$1,$Q$1)</f>
        <v>#N/A Invalid Security</v>
      </c>
      <c r="W173" s="61" t="str">
        <f>_xll.BDH(H173,$Q$2,$Q$1,$Q$1)</f>
        <v>#N/A Invalid Security</v>
      </c>
      <c r="X173" s="61" t="str">
        <f>_xll.BDH(I173,$Q$2,$Q$1,$Q$1)</f>
        <v>#N/A Invalid Security</v>
      </c>
      <c r="Y173" s="61" t="str">
        <f>_xll.BDH(J173,$Q$2,$Q$1,$Q$1)</f>
        <v>#N/A Invalid Security</v>
      </c>
      <c r="Z173" s="61" t="str">
        <f>_xll.BDH(K173,$Q$2,$Q$1,$Q$1)</f>
        <v>#N/A Invalid Security</v>
      </c>
      <c r="AA173" s="61" t="str">
        <f>_xll.BDH(L173,$Q$2,$Q$1,$Q$1)</f>
        <v>#N/A Invalid Security</v>
      </c>
      <c r="AB173" s="61" t="str">
        <f>_xll.BDH(M173,$Q$2,$Q$1,$Q$1)</f>
        <v>#N/A Invalid Security</v>
      </c>
      <c r="AC173" s="61" t="str">
        <f>_xll.BDH(N173,$Q$2,$Q$1,$Q$1)</f>
        <v>#N/A Invalid Security</v>
      </c>
      <c r="AD173" s="61" t="str">
        <f>_xll.BDH(P173,$Q$2,$Q$1,$Q$1)</f>
        <v>#N/A Mandatory parameter [SECURITY] cannot be empty</v>
      </c>
      <c r="AE173" s="61" t="str">
        <f>_xll.BDH(Q173,$Q$2,$Q$1,$Q$1)</f>
        <v>#N/A Invalid Security</v>
      </c>
      <c r="AF173" s="61" t="str">
        <f>_xll.BDH(R173,$Q$2,$Q$1,$Q$1)</f>
        <v>#N/A Invalid Security</v>
      </c>
    </row>
    <row r="174" spans="1:32" ht="16.5" x14ac:dyDescent="0.3">
      <c r="A174" s="63"/>
      <c r="B174" s="61" t="str">
        <f t="shared" si="1"/>
        <v>KRWA0502 LCLS Curncy</v>
      </c>
      <c r="C174" s="61" t="str">
        <f t="shared" si="4"/>
        <v>KRWK0502 LCLS Curncy</v>
      </c>
      <c r="D174" s="61" t="str">
        <f t="shared" si="4"/>
        <v>KRWL0502 LCLS Curncy</v>
      </c>
      <c r="E174" s="61" t="str">
        <f t="shared" si="4"/>
        <v>KRWB0502 LCLS Curncy</v>
      </c>
      <c r="F174" s="61" t="str">
        <f t="shared" si="4"/>
        <v>KRWM0502 LCLS Curncy</v>
      </c>
      <c r="G174" s="61" t="str">
        <f t="shared" si="4"/>
        <v>KRWN0502 LCLS Curncy</v>
      </c>
      <c r="H174" s="61" t="str">
        <f t="shared" si="4"/>
        <v>KRWO0502 LCLS Curncy</v>
      </c>
      <c r="I174" s="61" t="str">
        <f t="shared" si="4"/>
        <v>KRWP0502 LCLS Curncy</v>
      </c>
      <c r="J174" s="61" t="str">
        <f t="shared" si="4"/>
        <v>KRWC0502 LCLS Curncy</v>
      </c>
      <c r="K174" s="61" t="str">
        <f t="shared" si="4"/>
        <v>KRWQ0502 LCLS Curncy</v>
      </c>
      <c r="L174" s="61" t="str">
        <f t="shared" si="4"/>
        <v>KRWR0502 LCLS Curncy</v>
      </c>
      <c r="M174" s="61" t="str">
        <f t="shared" si="4"/>
        <v>KRWD0502 LCLS Curncy</v>
      </c>
      <c r="N174" s="61" t="str">
        <f t="shared" si="4"/>
        <v>KRWD0502 LCLS Curncy</v>
      </c>
      <c r="O174" s="61" t="str">
        <f t="shared" si="4"/>
        <v xml:space="preserve"> LCLS Curncy</v>
      </c>
      <c r="Q174" s="61" t="str">
        <f>_xll.BDH(B174,$Q$2,$Q$1,$Q$1)</f>
        <v>#N/A Invalid Security</v>
      </c>
      <c r="R174" s="61" t="str">
        <f>_xll.BDH(C174,$Q$2,$Q$1,$Q$1)</f>
        <v>#N/A Invalid Security</v>
      </c>
      <c r="S174" s="61" t="str">
        <f>_xll.BDH(D174,$Q$2,$Q$1,$Q$1)</f>
        <v>#N/A Invalid Security</v>
      </c>
      <c r="T174" s="61" t="str">
        <f>_xll.BDH(E174,$Q$2,$Q$1,$Q$1)</f>
        <v>#N/A Invalid Security</v>
      </c>
      <c r="U174" s="61" t="str">
        <f>_xll.BDH(F174,$Q$2,$Q$1,$Q$1)</f>
        <v>#N/A Invalid Security</v>
      </c>
      <c r="V174" s="61" t="str">
        <f>_xll.BDH(G174,$Q$2,$Q$1,$Q$1)</f>
        <v>#N/A Invalid Security</v>
      </c>
      <c r="W174" s="61" t="str">
        <f>_xll.BDH(H174,$Q$2,$Q$1,$Q$1)</f>
        <v>#N/A Invalid Security</v>
      </c>
      <c r="X174" s="61" t="str">
        <f>_xll.BDH(I174,$Q$2,$Q$1,$Q$1)</f>
        <v>#N/A Invalid Security</v>
      </c>
      <c r="Y174" s="61" t="str">
        <f>_xll.BDH(J174,$Q$2,$Q$1,$Q$1)</f>
        <v>#N/A Invalid Security</v>
      </c>
      <c r="Z174" s="61" t="str">
        <f>_xll.BDH(K174,$Q$2,$Q$1,$Q$1)</f>
        <v>#N/A Invalid Security</v>
      </c>
      <c r="AA174" s="61" t="str">
        <f>_xll.BDH(L174,$Q$2,$Q$1,$Q$1)</f>
        <v>#N/A Invalid Security</v>
      </c>
      <c r="AB174" s="61" t="str">
        <f>_xll.BDH(M174,$Q$2,$Q$1,$Q$1)</f>
        <v>#N/A Invalid Security</v>
      </c>
      <c r="AC174" s="61" t="str">
        <f>_xll.BDH(N174,$Q$2,$Q$1,$Q$1)</f>
        <v>#N/A Invalid Security</v>
      </c>
      <c r="AD174" s="61" t="str">
        <f>_xll.BDH(P174,$Q$2,$Q$1,$Q$1)</f>
        <v>#N/A Mandatory parameter [SECURITY] cannot be empty</v>
      </c>
      <c r="AE174" s="61" t="str">
        <f>_xll.BDH(Q174,$Q$2,$Q$1,$Q$1)</f>
        <v>#N/A Invalid Security</v>
      </c>
      <c r="AF174" s="61" t="str">
        <f>_xll.BDH(R174,$Q$2,$Q$1,$Q$1)</f>
        <v>#N/A Invalid Security</v>
      </c>
    </row>
    <row r="175" spans="1:32" ht="16.5" x14ac:dyDescent="0.3">
      <c r="A175" s="63"/>
      <c r="B175" s="61" t="str">
        <f t="shared" si="1"/>
        <v>KRWA0503 LCLS Curncy</v>
      </c>
      <c r="C175" s="61" t="str">
        <f t="shared" si="4"/>
        <v>KRWK0503 LCLS Curncy</v>
      </c>
      <c r="D175" s="61" t="str">
        <f t="shared" si="4"/>
        <v>KRWL0503 LCLS Curncy</v>
      </c>
      <c r="E175" s="61" t="str">
        <f t="shared" si="4"/>
        <v>KRWB0503 LCLS Curncy</v>
      </c>
      <c r="F175" s="61" t="str">
        <f t="shared" si="4"/>
        <v>KRWM0503 LCLS Curncy</v>
      </c>
      <c r="G175" s="61" t="str">
        <f t="shared" si="4"/>
        <v>KRWN0503 LCLS Curncy</v>
      </c>
      <c r="H175" s="61" t="str">
        <f t="shared" si="4"/>
        <v>KRWO0503 LCLS Curncy</v>
      </c>
      <c r="I175" s="61" t="str">
        <f t="shared" si="4"/>
        <v>KRWP0503 LCLS Curncy</v>
      </c>
      <c r="J175" s="61" t="str">
        <f t="shared" si="4"/>
        <v>KRWC0503 LCLS Curncy</v>
      </c>
      <c r="K175" s="61" t="str">
        <f t="shared" si="4"/>
        <v>KRWQ0503 LCLS Curncy</v>
      </c>
      <c r="L175" s="61" t="str">
        <f t="shared" si="4"/>
        <v>KRWR0503 LCLS Curncy</v>
      </c>
      <c r="M175" s="61" t="str">
        <f t="shared" si="4"/>
        <v>KRWD0503 LCLS Curncy</v>
      </c>
      <c r="N175" s="61" t="str">
        <f t="shared" si="4"/>
        <v>KRWD0503 LCLS Curncy</v>
      </c>
      <c r="O175" s="61" t="str">
        <f t="shared" si="4"/>
        <v xml:space="preserve"> LCLS Curncy</v>
      </c>
      <c r="Q175" s="61" t="str">
        <f>_xll.BDH(B175,$Q$2,$Q$1,$Q$1)</f>
        <v>#N/A Invalid Security</v>
      </c>
      <c r="R175" s="61" t="str">
        <f>_xll.BDH(C175,$Q$2,$Q$1,$Q$1)</f>
        <v>#N/A Invalid Security</v>
      </c>
      <c r="S175" s="61" t="str">
        <f>_xll.BDH(D175,$Q$2,$Q$1,$Q$1)</f>
        <v>#N/A Invalid Security</v>
      </c>
      <c r="T175" s="61" t="str">
        <f>_xll.BDH(E175,$Q$2,$Q$1,$Q$1)</f>
        <v>#N/A Invalid Security</v>
      </c>
      <c r="U175" s="61" t="str">
        <f>_xll.BDH(F175,$Q$2,$Q$1,$Q$1)</f>
        <v>#N/A Invalid Security</v>
      </c>
      <c r="V175" s="61" t="str">
        <f>_xll.BDH(G175,$Q$2,$Q$1,$Q$1)</f>
        <v>#N/A Invalid Security</v>
      </c>
      <c r="W175" s="61" t="str">
        <f>_xll.BDH(H175,$Q$2,$Q$1,$Q$1)</f>
        <v>#N/A Invalid Security</v>
      </c>
      <c r="X175" s="61" t="str">
        <f>_xll.BDH(I175,$Q$2,$Q$1,$Q$1)</f>
        <v>#N/A Invalid Security</v>
      </c>
      <c r="Y175" s="61" t="str">
        <f>_xll.BDH(J175,$Q$2,$Q$1,$Q$1)</f>
        <v>#N/A Invalid Security</v>
      </c>
      <c r="Z175" s="61" t="str">
        <f>_xll.BDH(K175,$Q$2,$Q$1,$Q$1)</f>
        <v>#N/A Invalid Security</v>
      </c>
      <c r="AA175" s="61" t="str">
        <f>_xll.BDH(L175,$Q$2,$Q$1,$Q$1)</f>
        <v>#N/A Invalid Security</v>
      </c>
      <c r="AB175" s="61" t="str">
        <f>_xll.BDH(M175,$Q$2,$Q$1,$Q$1)</f>
        <v>#N/A Invalid Security</v>
      </c>
      <c r="AC175" s="61" t="str">
        <f>_xll.BDH(N175,$Q$2,$Q$1,$Q$1)</f>
        <v>#N/A Invalid Security</v>
      </c>
      <c r="AD175" s="61" t="str">
        <f>_xll.BDH(P175,$Q$2,$Q$1,$Q$1)</f>
        <v>#N/A Mandatory parameter [SECURITY] cannot be empty</v>
      </c>
      <c r="AE175" s="61" t="str">
        <f>_xll.BDH(Q175,$Q$2,$Q$1,$Q$1)</f>
        <v>#N/A Invalid Security</v>
      </c>
      <c r="AF175" s="61" t="str">
        <f>_xll.BDH(R175,$Q$2,$Q$1,$Q$1)</f>
        <v>#N/A Invalid Security</v>
      </c>
    </row>
    <row r="176" spans="1:32" ht="16.5" x14ac:dyDescent="0.3">
      <c r="A176" s="63"/>
      <c r="B176" s="61" t="str">
        <f t="shared" si="1"/>
        <v>KRWA0504 LCLS Curncy</v>
      </c>
      <c r="C176" s="61" t="str">
        <f t="shared" ref="C176:O177" si="5">C67&amp;" LCLS Curncy"</f>
        <v>KRWK0504 LCLS Curncy</v>
      </c>
      <c r="D176" s="61" t="str">
        <f t="shared" si="5"/>
        <v>KRWL0504 LCLS Curncy</v>
      </c>
      <c r="E176" s="61" t="str">
        <f t="shared" si="5"/>
        <v>KRWB0504 LCLS Curncy</v>
      </c>
      <c r="F176" s="61" t="str">
        <f t="shared" si="5"/>
        <v>KRWM0504 LCLS Curncy</v>
      </c>
      <c r="G176" s="61" t="str">
        <f t="shared" si="5"/>
        <v>KRWN0504 LCLS Curncy</v>
      </c>
      <c r="H176" s="61" t="str">
        <f t="shared" si="5"/>
        <v>KRWO0504 LCLS Curncy</v>
      </c>
      <c r="I176" s="61" t="str">
        <f t="shared" si="5"/>
        <v>KRWP0504 LCLS Curncy</v>
      </c>
      <c r="J176" s="61" t="str">
        <f t="shared" si="5"/>
        <v>KRWC0504 LCLS Curncy</v>
      </c>
      <c r="K176" s="61" t="str">
        <f t="shared" si="5"/>
        <v>KRWQ0504 LCLS Curncy</v>
      </c>
      <c r="L176" s="61" t="str">
        <f t="shared" si="5"/>
        <v>KRWR0504 LCLS Curncy</v>
      </c>
      <c r="M176" s="61" t="str">
        <f t="shared" si="5"/>
        <v>KRWD0504 LCLS Curncy</v>
      </c>
      <c r="N176" s="61" t="str">
        <f t="shared" si="5"/>
        <v>KRWD0504 LCLS Curncy</v>
      </c>
      <c r="O176" s="61" t="str">
        <f t="shared" si="5"/>
        <v xml:space="preserve"> LCLS Curncy</v>
      </c>
      <c r="Q176" s="61" t="str">
        <f>_xll.BDH(B176,$Q$2,$Q$1,$Q$1)</f>
        <v>#N/A Invalid Security</v>
      </c>
      <c r="R176" s="61" t="str">
        <f>_xll.BDH(C176,$Q$2,$Q$1,$Q$1)</f>
        <v>#N/A Invalid Security</v>
      </c>
      <c r="S176" s="61" t="str">
        <f>_xll.BDH(D176,$Q$2,$Q$1,$Q$1)</f>
        <v>#N/A Invalid Security</v>
      </c>
      <c r="T176" s="61" t="str">
        <f>_xll.BDH(E176,$Q$2,$Q$1,$Q$1)</f>
        <v>#N/A Invalid Security</v>
      </c>
      <c r="U176" s="61" t="str">
        <f>_xll.BDH(F176,$Q$2,$Q$1,$Q$1)</f>
        <v>#N/A Invalid Security</v>
      </c>
      <c r="V176" s="61" t="str">
        <f>_xll.BDH(G176,$Q$2,$Q$1,$Q$1)</f>
        <v>#N/A Invalid Security</v>
      </c>
      <c r="W176" s="61" t="str">
        <f>_xll.BDH(H176,$Q$2,$Q$1,$Q$1)</f>
        <v>#N/A Invalid Security</v>
      </c>
      <c r="X176" s="61" t="str">
        <f>_xll.BDH(I176,$Q$2,$Q$1,$Q$1)</f>
        <v>#N/A Invalid Security</v>
      </c>
      <c r="Y176" s="61" t="str">
        <f>_xll.BDH(J176,$Q$2,$Q$1,$Q$1)</f>
        <v>#N/A Invalid Security</v>
      </c>
      <c r="Z176" s="61" t="str">
        <f>_xll.BDH(K176,$Q$2,$Q$1,$Q$1)</f>
        <v>#N/A Invalid Security</v>
      </c>
      <c r="AA176" s="61" t="str">
        <f>_xll.BDH(L176,$Q$2,$Q$1,$Q$1)</f>
        <v>#N/A Invalid Security</v>
      </c>
      <c r="AB176" s="61" t="str">
        <f>_xll.BDH(M176,$Q$2,$Q$1,$Q$1)</f>
        <v>#N/A Invalid Security</v>
      </c>
      <c r="AC176" s="61" t="str">
        <f>_xll.BDH(N176,$Q$2,$Q$1,$Q$1)</f>
        <v>#N/A Invalid Security</v>
      </c>
      <c r="AD176" s="61" t="str">
        <f>_xll.BDH(P176,$Q$2,$Q$1,$Q$1)</f>
        <v>#N/A Mandatory parameter [SECURITY] cannot be empty</v>
      </c>
      <c r="AE176" s="61" t="str">
        <f>_xll.BDH(Q176,$Q$2,$Q$1,$Q$1)</f>
        <v>#N/A Invalid Security</v>
      </c>
      <c r="AF176" s="61" t="str">
        <f>_xll.BDH(R176,$Q$2,$Q$1,$Q$1)</f>
        <v>#N/A Invalid Security</v>
      </c>
    </row>
    <row r="177" spans="1:32" ht="16.5" x14ac:dyDescent="0.3">
      <c r="A177" s="63"/>
      <c r="B177" s="61" t="str">
        <f t="shared" si="1"/>
        <v>KRWA0505 LCLS Curncy</v>
      </c>
      <c r="C177" s="61" t="str">
        <f t="shared" si="5"/>
        <v>KRWK0505 LCLS Curncy</v>
      </c>
      <c r="D177" s="61" t="str">
        <f t="shared" si="5"/>
        <v>KRWL0505 LCLS Curncy</v>
      </c>
      <c r="E177" s="61" t="str">
        <f t="shared" si="5"/>
        <v>KRWB0505 LCLS Curncy</v>
      </c>
      <c r="F177" s="61" t="str">
        <f t="shared" si="5"/>
        <v>KRWM0505 LCLS Curncy</v>
      </c>
      <c r="G177" s="61" t="str">
        <f t="shared" si="5"/>
        <v>KRWN0505 LCLS Curncy</v>
      </c>
      <c r="H177" s="61" t="str">
        <f t="shared" si="5"/>
        <v>KRWO0505 LCLS Curncy</v>
      </c>
      <c r="I177" s="61" t="str">
        <f t="shared" si="5"/>
        <v>KRWP0505 LCLS Curncy</v>
      </c>
      <c r="J177" s="61" t="str">
        <f t="shared" si="5"/>
        <v>KRWC0505 LCLS Curncy</v>
      </c>
      <c r="K177" s="61" t="str">
        <f t="shared" si="5"/>
        <v>KRWQ0505 LCLS Curncy</v>
      </c>
      <c r="L177" s="61" t="str">
        <f t="shared" si="5"/>
        <v>KRWR0505 LCLS Curncy</v>
      </c>
      <c r="M177" s="61" t="str">
        <f t="shared" si="5"/>
        <v>KRWD0505 LCLS Curncy</v>
      </c>
      <c r="N177" s="61" t="str">
        <f t="shared" si="5"/>
        <v>KRWD0505 LCLS Curncy</v>
      </c>
      <c r="O177" s="61" t="str">
        <f t="shared" si="5"/>
        <v xml:space="preserve"> LCLS Curncy</v>
      </c>
      <c r="Q177" s="61" t="str">
        <f>_xll.BDH(B177,$Q$2,$Q$1,$Q$1)</f>
        <v>#N/A Invalid Security</v>
      </c>
      <c r="R177" s="61" t="str">
        <f>_xll.BDH(C177,$Q$2,$Q$1,$Q$1)</f>
        <v>#N/A Invalid Security</v>
      </c>
      <c r="S177" s="61" t="str">
        <f>_xll.BDH(D177,$Q$2,$Q$1,$Q$1)</f>
        <v>#N/A Invalid Security</v>
      </c>
      <c r="T177" s="61" t="str">
        <f>_xll.BDH(E177,$Q$2,$Q$1,$Q$1)</f>
        <v>#N/A Invalid Security</v>
      </c>
      <c r="U177" s="61" t="str">
        <f>_xll.BDH(F177,$Q$2,$Q$1,$Q$1)</f>
        <v>#N/A Invalid Security</v>
      </c>
      <c r="V177" s="61" t="str">
        <f>_xll.BDH(G177,$Q$2,$Q$1,$Q$1)</f>
        <v>#N/A Invalid Security</v>
      </c>
      <c r="W177" s="61" t="str">
        <f>_xll.BDH(H177,$Q$2,$Q$1,$Q$1)</f>
        <v>#N/A Invalid Security</v>
      </c>
      <c r="X177" s="61" t="str">
        <f>_xll.BDH(I177,$Q$2,$Q$1,$Q$1)</f>
        <v>#N/A Invalid Security</v>
      </c>
      <c r="Y177" s="61" t="str">
        <f>_xll.BDH(J177,$Q$2,$Q$1,$Q$1)</f>
        <v>#N/A Invalid Security</v>
      </c>
      <c r="Z177" s="61" t="str">
        <f>_xll.BDH(K177,$Q$2,$Q$1,$Q$1)</f>
        <v>#N/A Invalid Security</v>
      </c>
      <c r="AA177" s="61" t="str">
        <f>_xll.BDH(L177,$Q$2,$Q$1,$Q$1)</f>
        <v>#N/A Invalid Security</v>
      </c>
      <c r="AB177" s="61" t="str">
        <f>_xll.BDH(M177,$Q$2,$Q$1,$Q$1)</f>
        <v>#N/A Invalid Security</v>
      </c>
      <c r="AC177" s="61" t="str">
        <f>_xll.BDH(N177,$Q$2,$Q$1,$Q$1)</f>
        <v>#N/A Invalid Security</v>
      </c>
      <c r="AD177" s="61" t="str">
        <f>_xll.BDH(P177,$Q$2,$Q$1,$Q$1)</f>
        <v>#N/A Mandatory parameter [SECURITY] cannot be empty</v>
      </c>
      <c r="AE177" s="61" t="str">
        <f>_xll.BDH(Q177,$Q$2,$Q$1,$Q$1)</f>
        <v>#N/A Invalid Security</v>
      </c>
      <c r="AF177" s="61" t="str">
        <f>_xll.BDH(R177,$Q$2,$Q$1,$Q$1)</f>
        <v>#N/A Invalid Security</v>
      </c>
    </row>
    <row r="178" spans="1:32" ht="16.5" x14ac:dyDescent="0.3">
      <c r="A178" s="63"/>
      <c r="B178" s="61" t="str">
        <f t="shared" ref="B178:O219" si="6">B69&amp;" LCLS Curncy"</f>
        <v>KRWA0506 LCLS Curncy</v>
      </c>
      <c r="C178" s="61" t="str">
        <f t="shared" si="6"/>
        <v>KRWK0506 LCLS Curncy</v>
      </c>
      <c r="D178" s="61" t="str">
        <f t="shared" si="6"/>
        <v>KRWL0506 LCLS Curncy</v>
      </c>
      <c r="E178" s="61" t="str">
        <f t="shared" si="6"/>
        <v>KRWB0506 LCLS Curncy</v>
      </c>
      <c r="F178" s="61" t="str">
        <f t="shared" si="6"/>
        <v>KRWM0506 LCLS Curncy</v>
      </c>
      <c r="G178" s="61" t="str">
        <f t="shared" si="6"/>
        <v>KRWN0506 LCLS Curncy</v>
      </c>
      <c r="H178" s="61" t="str">
        <f t="shared" si="6"/>
        <v>KRWO0506 LCLS Curncy</v>
      </c>
      <c r="I178" s="61" t="str">
        <f t="shared" si="6"/>
        <v>KRWP0506 LCLS Curncy</v>
      </c>
      <c r="J178" s="61" t="str">
        <f t="shared" si="6"/>
        <v>KRWC0506 LCLS Curncy</v>
      </c>
      <c r="K178" s="61" t="str">
        <f t="shared" si="6"/>
        <v>KRWQ0506 LCLS Curncy</v>
      </c>
      <c r="L178" s="61" t="str">
        <f t="shared" si="6"/>
        <v>KRWR0506 LCLS Curncy</v>
      </c>
      <c r="M178" s="61" t="str">
        <f t="shared" si="6"/>
        <v>KRWD0506 LCLS Curncy</v>
      </c>
      <c r="N178" s="61" t="str">
        <f t="shared" si="6"/>
        <v>KRWD0506 LCLS Curncy</v>
      </c>
      <c r="O178" s="61" t="str">
        <f t="shared" si="6"/>
        <v xml:space="preserve"> LCLS Curncy</v>
      </c>
      <c r="Q178" s="61" t="str">
        <f>_xll.BDH(B178,$Q$2,$Q$1,$Q$1)</f>
        <v>#N/A Invalid Security</v>
      </c>
      <c r="R178" s="61" t="str">
        <f>_xll.BDH(C178,$Q$2,$Q$1,$Q$1)</f>
        <v>#N/A Invalid Security</v>
      </c>
      <c r="S178" s="61" t="str">
        <f>_xll.BDH(D178,$Q$2,$Q$1,$Q$1)</f>
        <v>#N/A Invalid Security</v>
      </c>
      <c r="T178" s="61" t="str">
        <f>_xll.BDH(E178,$Q$2,$Q$1,$Q$1)</f>
        <v>#N/A Invalid Security</v>
      </c>
      <c r="U178" s="61" t="str">
        <f>_xll.BDH(F178,$Q$2,$Q$1,$Q$1)</f>
        <v>#N/A Invalid Security</v>
      </c>
      <c r="V178" s="61" t="str">
        <f>_xll.BDH(G178,$Q$2,$Q$1,$Q$1)</f>
        <v>#N/A Invalid Security</v>
      </c>
      <c r="W178" s="61" t="str">
        <f>_xll.BDH(H178,$Q$2,$Q$1,$Q$1)</f>
        <v>#N/A Invalid Security</v>
      </c>
      <c r="X178" s="61" t="str">
        <f>_xll.BDH(I178,$Q$2,$Q$1,$Q$1)</f>
        <v>#N/A Invalid Security</v>
      </c>
      <c r="Y178" s="61" t="str">
        <f>_xll.BDH(J178,$Q$2,$Q$1,$Q$1)</f>
        <v>#N/A Invalid Security</v>
      </c>
      <c r="Z178" s="61" t="str">
        <f>_xll.BDH(K178,$Q$2,$Q$1,$Q$1)</f>
        <v>#N/A Invalid Security</v>
      </c>
      <c r="AA178" s="61" t="str">
        <f>_xll.BDH(L178,$Q$2,$Q$1,$Q$1)</f>
        <v>#N/A Invalid Security</v>
      </c>
      <c r="AB178" s="61" t="str">
        <f>_xll.BDH(M178,$Q$2,$Q$1,$Q$1)</f>
        <v>#N/A Invalid Security</v>
      </c>
      <c r="AC178" s="61" t="str">
        <f>_xll.BDH(N178,$Q$2,$Q$1,$Q$1)</f>
        <v>#N/A Invalid Security</v>
      </c>
      <c r="AD178" s="61" t="str">
        <f>_xll.BDH(P178,$Q$2,$Q$1,$Q$1)</f>
        <v>#N/A Mandatory parameter [SECURITY] cannot be empty</v>
      </c>
      <c r="AE178" s="61" t="str">
        <f>_xll.BDH(Q178,$Q$2,$Q$1,$Q$1)</f>
        <v>#N/A Invalid Security</v>
      </c>
      <c r="AF178" s="61" t="str">
        <f>_xll.BDH(R178,$Q$2,$Q$1,$Q$1)</f>
        <v>#N/A Invalid Security</v>
      </c>
    </row>
    <row r="179" spans="1:32" ht="16.5" x14ac:dyDescent="0.3">
      <c r="A179" s="63"/>
      <c r="B179" s="61" t="str">
        <f t="shared" si="6"/>
        <v>KRWA0507 LCLS Curncy</v>
      </c>
      <c r="C179" s="61" t="str">
        <f t="shared" si="6"/>
        <v>KRWK0507 LCLS Curncy</v>
      </c>
      <c r="D179" s="61" t="str">
        <f t="shared" si="6"/>
        <v>KRWL0507 LCLS Curncy</v>
      </c>
      <c r="E179" s="61" t="str">
        <f t="shared" si="6"/>
        <v>KRWB0507 LCLS Curncy</v>
      </c>
      <c r="F179" s="61" t="str">
        <f t="shared" si="6"/>
        <v>KRWM0507 LCLS Curncy</v>
      </c>
      <c r="G179" s="61" t="str">
        <f t="shared" si="6"/>
        <v>KRWN0507 LCLS Curncy</v>
      </c>
      <c r="H179" s="61" t="str">
        <f t="shared" si="6"/>
        <v>KRWO0507 LCLS Curncy</v>
      </c>
      <c r="I179" s="61" t="str">
        <f t="shared" si="6"/>
        <v>KRWP0507 LCLS Curncy</v>
      </c>
      <c r="J179" s="61" t="str">
        <f t="shared" si="6"/>
        <v>KRWC0507 LCLS Curncy</v>
      </c>
      <c r="K179" s="61" t="str">
        <f t="shared" si="6"/>
        <v>KRWQ0507 LCLS Curncy</v>
      </c>
      <c r="L179" s="61" t="str">
        <f t="shared" si="6"/>
        <v>KRWR0507 LCLS Curncy</v>
      </c>
      <c r="M179" s="61" t="str">
        <f t="shared" si="6"/>
        <v>KRWD0507 LCLS Curncy</v>
      </c>
      <c r="N179" s="61" t="str">
        <f t="shared" si="6"/>
        <v>KRWD0507 LCLS Curncy</v>
      </c>
      <c r="O179" s="61" t="str">
        <f t="shared" si="6"/>
        <v xml:space="preserve"> LCLS Curncy</v>
      </c>
      <c r="Q179" s="61" t="str">
        <f>_xll.BDH(B179,$Q$2,$Q$1,$Q$1)</f>
        <v>#N/A Invalid Security</v>
      </c>
      <c r="R179" s="61" t="str">
        <f>_xll.BDH(C179,$Q$2,$Q$1,$Q$1)</f>
        <v>#N/A Invalid Security</v>
      </c>
      <c r="S179" s="61" t="str">
        <f>_xll.BDH(D179,$Q$2,$Q$1,$Q$1)</f>
        <v>#N/A Invalid Security</v>
      </c>
      <c r="T179" s="61" t="str">
        <f>_xll.BDH(E179,$Q$2,$Q$1,$Q$1)</f>
        <v>#N/A Invalid Security</v>
      </c>
      <c r="U179" s="61" t="str">
        <f>_xll.BDH(F179,$Q$2,$Q$1,$Q$1)</f>
        <v>#N/A Invalid Security</v>
      </c>
      <c r="V179" s="61" t="str">
        <f>_xll.BDH(G179,$Q$2,$Q$1,$Q$1)</f>
        <v>#N/A Invalid Security</v>
      </c>
      <c r="W179" s="61" t="str">
        <f>_xll.BDH(H179,$Q$2,$Q$1,$Q$1)</f>
        <v>#N/A Invalid Security</v>
      </c>
      <c r="X179" s="61" t="str">
        <f>_xll.BDH(I179,$Q$2,$Q$1,$Q$1)</f>
        <v>#N/A Invalid Security</v>
      </c>
      <c r="Y179" s="61" t="str">
        <f>_xll.BDH(J179,$Q$2,$Q$1,$Q$1)</f>
        <v>#N/A Invalid Security</v>
      </c>
      <c r="Z179" s="61" t="str">
        <f>_xll.BDH(K179,$Q$2,$Q$1,$Q$1)</f>
        <v>#N/A Invalid Security</v>
      </c>
      <c r="AA179" s="61" t="str">
        <f>_xll.BDH(L179,$Q$2,$Q$1,$Q$1)</f>
        <v>#N/A Invalid Security</v>
      </c>
      <c r="AB179" s="61" t="str">
        <f>_xll.BDH(M179,$Q$2,$Q$1,$Q$1)</f>
        <v>#N/A Invalid Security</v>
      </c>
      <c r="AC179" s="61" t="str">
        <f>_xll.BDH(N179,$Q$2,$Q$1,$Q$1)</f>
        <v>#N/A Invalid Security</v>
      </c>
      <c r="AD179" s="61" t="str">
        <f>_xll.BDH(P179,$Q$2,$Q$1,$Q$1)</f>
        <v>#N/A Mandatory parameter [SECURITY] cannot be empty</v>
      </c>
      <c r="AE179" s="61" t="str">
        <f>_xll.BDH(Q179,$Q$2,$Q$1,$Q$1)</f>
        <v>#N/A Invalid Security</v>
      </c>
      <c r="AF179" s="61" t="str">
        <f>_xll.BDH(R179,$Q$2,$Q$1,$Q$1)</f>
        <v>#N/A Invalid Security</v>
      </c>
    </row>
    <row r="180" spans="1:32" ht="16.5" x14ac:dyDescent="0.3">
      <c r="A180" s="63"/>
      <c r="B180" s="61" t="str">
        <f t="shared" si="6"/>
        <v>KRWA0508 LCLS Curncy</v>
      </c>
      <c r="C180" s="61" t="str">
        <f t="shared" si="6"/>
        <v>KRWK0508 LCLS Curncy</v>
      </c>
      <c r="D180" s="61" t="str">
        <f t="shared" si="6"/>
        <v>KRWL0508 LCLS Curncy</v>
      </c>
      <c r="E180" s="61" t="str">
        <f t="shared" si="6"/>
        <v>KRWB0508 LCLS Curncy</v>
      </c>
      <c r="F180" s="61" t="str">
        <f t="shared" si="6"/>
        <v>KRWM0508 LCLS Curncy</v>
      </c>
      <c r="G180" s="61" t="str">
        <f t="shared" si="6"/>
        <v>KRWN0508 LCLS Curncy</v>
      </c>
      <c r="H180" s="61" t="str">
        <f t="shared" si="6"/>
        <v>KRWO0508 LCLS Curncy</v>
      </c>
      <c r="I180" s="61" t="str">
        <f t="shared" si="6"/>
        <v>KRWP0508 LCLS Curncy</v>
      </c>
      <c r="J180" s="61" t="str">
        <f t="shared" si="6"/>
        <v>KRWC0508 LCLS Curncy</v>
      </c>
      <c r="K180" s="61" t="str">
        <f t="shared" si="6"/>
        <v>KRWQ0508 LCLS Curncy</v>
      </c>
      <c r="L180" s="61" t="str">
        <f t="shared" si="6"/>
        <v>KRWR0508 LCLS Curncy</v>
      </c>
      <c r="M180" s="61" t="str">
        <f t="shared" si="6"/>
        <v>KRWD0508 LCLS Curncy</v>
      </c>
      <c r="N180" s="61" t="str">
        <f t="shared" si="6"/>
        <v>KRWD0508 LCLS Curncy</v>
      </c>
      <c r="O180" s="61" t="str">
        <f t="shared" si="6"/>
        <v xml:space="preserve"> LCLS Curncy</v>
      </c>
      <c r="Q180" s="61" t="str">
        <f>_xll.BDH(B180,$Q$2,$Q$1,$Q$1)</f>
        <v>#N/A Invalid Security</v>
      </c>
      <c r="R180" s="61" t="str">
        <f>_xll.BDH(C180,$Q$2,$Q$1,$Q$1)</f>
        <v>#N/A Invalid Security</v>
      </c>
      <c r="S180" s="61" t="str">
        <f>_xll.BDH(D180,$Q$2,$Q$1,$Q$1)</f>
        <v>#N/A Invalid Security</v>
      </c>
      <c r="T180" s="61" t="str">
        <f>_xll.BDH(E180,$Q$2,$Q$1,$Q$1)</f>
        <v>#N/A Invalid Security</v>
      </c>
      <c r="U180" s="61" t="str">
        <f>_xll.BDH(F180,$Q$2,$Q$1,$Q$1)</f>
        <v>#N/A Invalid Security</v>
      </c>
      <c r="V180" s="61" t="str">
        <f>_xll.BDH(G180,$Q$2,$Q$1,$Q$1)</f>
        <v>#N/A Invalid Security</v>
      </c>
      <c r="W180" s="61" t="str">
        <f>_xll.BDH(H180,$Q$2,$Q$1,$Q$1)</f>
        <v>#N/A Invalid Security</v>
      </c>
      <c r="X180" s="61" t="str">
        <f>_xll.BDH(I180,$Q$2,$Q$1,$Q$1)</f>
        <v>#N/A Invalid Security</v>
      </c>
      <c r="Y180" s="61" t="str">
        <f>_xll.BDH(J180,$Q$2,$Q$1,$Q$1)</f>
        <v>#N/A Invalid Security</v>
      </c>
      <c r="Z180" s="61" t="str">
        <f>_xll.BDH(K180,$Q$2,$Q$1,$Q$1)</f>
        <v>#N/A Invalid Security</v>
      </c>
      <c r="AA180" s="61" t="str">
        <f>_xll.BDH(L180,$Q$2,$Q$1,$Q$1)</f>
        <v>#N/A Invalid Security</v>
      </c>
      <c r="AB180" s="61" t="str">
        <f>_xll.BDH(M180,$Q$2,$Q$1,$Q$1)</f>
        <v>#N/A Invalid Security</v>
      </c>
      <c r="AC180" s="61" t="str">
        <f>_xll.BDH(N180,$Q$2,$Q$1,$Q$1)</f>
        <v>#N/A Invalid Security</v>
      </c>
      <c r="AD180" s="61" t="str">
        <f>_xll.BDH(P180,$Q$2,$Q$1,$Q$1)</f>
        <v>#N/A Mandatory parameter [SECURITY] cannot be empty</v>
      </c>
      <c r="AE180" s="61" t="str">
        <f>_xll.BDH(Q180,$Q$2,$Q$1,$Q$1)</f>
        <v>#N/A Invalid Security</v>
      </c>
      <c r="AF180" s="61" t="str">
        <f>_xll.BDH(R180,$Q$2,$Q$1,$Q$1)</f>
        <v>#N/A Invalid Security</v>
      </c>
    </row>
    <row r="181" spans="1:32" ht="16.5" x14ac:dyDescent="0.3">
      <c r="A181" s="63"/>
      <c r="B181" s="61" t="str">
        <f t="shared" si="6"/>
        <v>KRWA0509 LCLS Curncy</v>
      </c>
      <c r="C181" s="61" t="str">
        <f t="shared" si="6"/>
        <v>KRWK0509 LCLS Curncy</v>
      </c>
      <c r="D181" s="61" t="str">
        <f t="shared" si="6"/>
        <v>KRWL0509 LCLS Curncy</v>
      </c>
      <c r="E181" s="61" t="str">
        <f t="shared" si="6"/>
        <v>KRWB0509 LCLS Curncy</v>
      </c>
      <c r="F181" s="61" t="str">
        <f t="shared" si="6"/>
        <v>KRWM0509 LCLS Curncy</v>
      </c>
      <c r="G181" s="61" t="str">
        <f t="shared" si="6"/>
        <v>KRWN0509 LCLS Curncy</v>
      </c>
      <c r="H181" s="61" t="str">
        <f t="shared" si="6"/>
        <v>KRWO0509 LCLS Curncy</v>
      </c>
      <c r="I181" s="61" t="str">
        <f t="shared" si="6"/>
        <v>KRWP0509 LCLS Curncy</v>
      </c>
      <c r="J181" s="61" t="str">
        <f t="shared" si="6"/>
        <v>KRWC0509 LCLS Curncy</v>
      </c>
      <c r="K181" s="61" t="str">
        <f t="shared" si="6"/>
        <v>KRWQ0509 LCLS Curncy</v>
      </c>
      <c r="L181" s="61" t="str">
        <f t="shared" si="6"/>
        <v>KRWR0509 LCLS Curncy</v>
      </c>
      <c r="M181" s="61" t="str">
        <f t="shared" si="6"/>
        <v>KRWD0509 LCLS Curncy</v>
      </c>
      <c r="N181" s="61" t="str">
        <f t="shared" si="6"/>
        <v>KRWD0509 LCLS Curncy</v>
      </c>
      <c r="O181" s="61" t="str">
        <f t="shared" si="6"/>
        <v xml:space="preserve"> LCLS Curncy</v>
      </c>
      <c r="Q181" s="61" t="str">
        <f>_xll.BDH(B181,$Q$2,$Q$1,$Q$1)</f>
        <v>#N/A Invalid Security</v>
      </c>
      <c r="R181" s="61" t="str">
        <f>_xll.BDH(C181,$Q$2,$Q$1,$Q$1)</f>
        <v>#N/A Invalid Security</v>
      </c>
      <c r="S181" s="61" t="str">
        <f>_xll.BDH(D181,$Q$2,$Q$1,$Q$1)</f>
        <v>#N/A Invalid Security</v>
      </c>
      <c r="T181" s="61" t="str">
        <f>_xll.BDH(E181,$Q$2,$Q$1,$Q$1)</f>
        <v>#N/A Invalid Security</v>
      </c>
      <c r="U181" s="61" t="str">
        <f>_xll.BDH(F181,$Q$2,$Q$1,$Q$1)</f>
        <v>#N/A Invalid Security</v>
      </c>
      <c r="V181" s="61" t="str">
        <f>_xll.BDH(G181,$Q$2,$Q$1,$Q$1)</f>
        <v>#N/A Invalid Security</v>
      </c>
      <c r="W181" s="61" t="str">
        <f>_xll.BDH(H181,$Q$2,$Q$1,$Q$1)</f>
        <v>#N/A Invalid Security</v>
      </c>
      <c r="X181" s="61" t="str">
        <f>_xll.BDH(I181,$Q$2,$Q$1,$Q$1)</f>
        <v>#N/A Invalid Security</v>
      </c>
      <c r="Y181" s="61" t="str">
        <f>_xll.BDH(J181,$Q$2,$Q$1,$Q$1)</f>
        <v>#N/A Invalid Security</v>
      </c>
      <c r="Z181" s="61" t="str">
        <f>_xll.BDH(K181,$Q$2,$Q$1,$Q$1)</f>
        <v>#N/A Invalid Security</v>
      </c>
      <c r="AA181" s="61" t="str">
        <f>_xll.BDH(L181,$Q$2,$Q$1,$Q$1)</f>
        <v>#N/A Invalid Security</v>
      </c>
      <c r="AB181" s="61" t="str">
        <f>_xll.BDH(M181,$Q$2,$Q$1,$Q$1)</f>
        <v>#N/A Invalid Security</v>
      </c>
      <c r="AC181" s="61" t="str">
        <f>_xll.BDH(N181,$Q$2,$Q$1,$Q$1)</f>
        <v>#N/A Invalid Security</v>
      </c>
      <c r="AD181" s="61" t="str">
        <f>_xll.BDH(P181,$Q$2,$Q$1,$Q$1)</f>
        <v>#N/A Mandatory parameter [SECURITY] cannot be empty</v>
      </c>
      <c r="AE181" s="61" t="str">
        <f>_xll.BDH(Q181,$Q$2,$Q$1,$Q$1)</f>
        <v>#N/A Invalid Security</v>
      </c>
      <c r="AF181" s="61" t="str">
        <f>_xll.BDH(R181,$Q$2,$Q$1,$Q$1)</f>
        <v>#N/A Invalid Security</v>
      </c>
    </row>
    <row r="182" spans="1:32" ht="16.5" x14ac:dyDescent="0.3">
      <c r="A182" s="63"/>
      <c r="B182" s="61" t="str">
        <f t="shared" si="6"/>
        <v>KRWA0510 LCLS Curncy</v>
      </c>
      <c r="C182" s="61" t="str">
        <f t="shared" si="6"/>
        <v>KRWK0510 LCLS Curncy</v>
      </c>
      <c r="D182" s="61" t="str">
        <f t="shared" si="6"/>
        <v>KRWL0510 LCLS Curncy</v>
      </c>
      <c r="E182" s="61" t="str">
        <f t="shared" si="6"/>
        <v>KRWB0510 LCLS Curncy</v>
      </c>
      <c r="F182" s="61" t="str">
        <f t="shared" si="6"/>
        <v>KRWM0510 LCLS Curncy</v>
      </c>
      <c r="G182" s="61" t="str">
        <f t="shared" si="6"/>
        <v>KRWN0510 LCLS Curncy</v>
      </c>
      <c r="H182" s="61" t="str">
        <f t="shared" si="6"/>
        <v>KRWO0510 LCLS Curncy</v>
      </c>
      <c r="I182" s="61" t="str">
        <f t="shared" si="6"/>
        <v>KRWP0510 LCLS Curncy</v>
      </c>
      <c r="J182" s="61" t="str">
        <f t="shared" si="6"/>
        <v>KRWC0510 LCLS Curncy</v>
      </c>
      <c r="K182" s="61" t="str">
        <f t="shared" si="6"/>
        <v>KRWQ0510 LCLS Curncy</v>
      </c>
      <c r="L182" s="61" t="str">
        <f t="shared" si="6"/>
        <v>KRWR0510 LCLS Curncy</v>
      </c>
      <c r="M182" s="61" t="str">
        <f t="shared" si="6"/>
        <v>KRWD0510 LCLS Curncy</v>
      </c>
      <c r="N182" s="61" t="str">
        <f t="shared" si="6"/>
        <v>KRWD0510 LCLS Curncy</v>
      </c>
      <c r="O182" s="61" t="str">
        <f t="shared" si="6"/>
        <v xml:space="preserve"> LCLS Curncy</v>
      </c>
      <c r="Q182" s="61" t="str">
        <f>_xll.BDH(B182,$Q$2,$Q$1,$Q$1)</f>
        <v>#N/A Invalid Security</v>
      </c>
      <c r="R182" s="61" t="str">
        <f>_xll.BDH(C182,$Q$2,$Q$1,$Q$1)</f>
        <v>#N/A Invalid Security</v>
      </c>
      <c r="S182" s="61" t="str">
        <f>_xll.BDH(D182,$Q$2,$Q$1,$Q$1)</f>
        <v>#N/A Invalid Security</v>
      </c>
      <c r="T182" s="61" t="str">
        <f>_xll.BDH(E182,$Q$2,$Q$1,$Q$1)</f>
        <v>#N/A Invalid Security</v>
      </c>
      <c r="U182" s="61" t="str">
        <f>_xll.BDH(F182,$Q$2,$Q$1,$Q$1)</f>
        <v>#N/A Invalid Security</v>
      </c>
      <c r="V182" s="61" t="str">
        <f>_xll.BDH(G182,$Q$2,$Q$1,$Q$1)</f>
        <v>#N/A Invalid Security</v>
      </c>
      <c r="W182" s="61" t="str">
        <f>_xll.BDH(H182,$Q$2,$Q$1,$Q$1)</f>
        <v>#N/A Invalid Security</v>
      </c>
      <c r="X182" s="61" t="str">
        <f>_xll.BDH(I182,$Q$2,$Q$1,$Q$1)</f>
        <v>#N/A Invalid Security</v>
      </c>
      <c r="Y182" s="61" t="str">
        <f>_xll.BDH(J182,$Q$2,$Q$1,$Q$1)</f>
        <v>#N/A Invalid Security</v>
      </c>
      <c r="Z182" s="61" t="str">
        <f>_xll.BDH(K182,$Q$2,$Q$1,$Q$1)</f>
        <v>#N/A Invalid Security</v>
      </c>
      <c r="AA182" s="61" t="str">
        <f>_xll.BDH(L182,$Q$2,$Q$1,$Q$1)</f>
        <v>#N/A Invalid Security</v>
      </c>
      <c r="AB182" s="61" t="str">
        <f>_xll.BDH(M182,$Q$2,$Q$1,$Q$1)</f>
        <v>#N/A Invalid Security</v>
      </c>
      <c r="AC182" s="61" t="str">
        <f>_xll.BDH(N182,$Q$2,$Q$1,$Q$1)</f>
        <v>#N/A Invalid Security</v>
      </c>
      <c r="AD182" s="61" t="str">
        <f>_xll.BDH(P182,$Q$2,$Q$1,$Q$1)</f>
        <v>#N/A Mandatory parameter [SECURITY] cannot be empty</v>
      </c>
      <c r="AE182" s="61" t="str">
        <f>_xll.BDH(Q182,$Q$2,$Q$1,$Q$1)</f>
        <v>#N/A Invalid Security</v>
      </c>
      <c r="AF182" s="61" t="str">
        <f>_xll.BDH(R182,$Q$2,$Q$1,$Q$1)</f>
        <v>#N/A Invalid Security</v>
      </c>
    </row>
    <row r="183" spans="1:32" ht="16.5" x14ac:dyDescent="0.3">
      <c r="A183" s="63"/>
      <c r="B183" s="61" t="str">
        <f t="shared" si="6"/>
        <v>KRWA0515 LCLS Curncy</v>
      </c>
      <c r="C183" s="61" t="str">
        <f t="shared" si="6"/>
        <v>KRWK0515 LCLS Curncy</v>
      </c>
      <c r="D183" s="61" t="str">
        <f t="shared" si="6"/>
        <v>KRWL0515 LCLS Curncy</v>
      </c>
      <c r="E183" s="61" t="str">
        <f t="shared" si="6"/>
        <v>KRWB0515 LCLS Curncy</v>
      </c>
      <c r="F183" s="61" t="str">
        <f t="shared" si="6"/>
        <v>KRWM0515 LCLS Curncy</v>
      </c>
      <c r="G183" s="61" t="str">
        <f t="shared" si="6"/>
        <v>KRWN0515 LCLS Curncy</v>
      </c>
      <c r="H183" s="61" t="str">
        <f t="shared" si="6"/>
        <v>KRWO0515 LCLS Curncy</v>
      </c>
      <c r="I183" s="61" t="str">
        <f t="shared" si="6"/>
        <v>KRWP0515 LCLS Curncy</v>
      </c>
      <c r="J183" s="61" t="str">
        <f t="shared" si="6"/>
        <v>KRWC0515 LCLS Curncy</v>
      </c>
      <c r="K183" s="61" t="str">
        <f t="shared" si="6"/>
        <v>KRWQ0515 LCLS Curncy</v>
      </c>
      <c r="L183" s="61" t="str">
        <f t="shared" si="6"/>
        <v>KRWR0515 LCLS Curncy</v>
      </c>
      <c r="M183" s="61" t="str">
        <f t="shared" si="6"/>
        <v>KRWD0515 LCLS Curncy</v>
      </c>
      <c r="N183" s="61" t="str">
        <f t="shared" si="6"/>
        <v>KRWD0515 LCLS Curncy</v>
      </c>
      <c r="O183" s="61" t="str">
        <f t="shared" si="6"/>
        <v xml:space="preserve"> LCLS Curncy</v>
      </c>
      <c r="Q183" s="61" t="str">
        <f>_xll.BDH(B183,$Q$2,$Q$1,$Q$1)</f>
        <v>#N/A Invalid Security</v>
      </c>
      <c r="R183" s="61" t="str">
        <f>_xll.BDH(C183,$Q$2,$Q$1,$Q$1)</f>
        <v>#N/A Invalid Security</v>
      </c>
      <c r="S183" s="61" t="str">
        <f>_xll.BDH(D183,$Q$2,$Q$1,$Q$1)</f>
        <v>#N/A Invalid Security</v>
      </c>
      <c r="T183" s="61" t="str">
        <f>_xll.BDH(E183,$Q$2,$Q$1,$Q$1)</f>
        <v>#N/A Invalid Security</v>
      </c>
      <c r="U183" s="61" t="str">
        <f>_xll.BDH(F183,$Q$2,$Q$1,$Q$1)</f>
        <v>#N/A Invalid Security</v>
      </c>
      <c r="V183" s="61" t="str">
        <f>_xll.BDH(G183,$Q$2,$Q$1,$Q$1)</f>
        <v>#N/A Invalid Security</v>
      </c>
      <c r="W183" s="61" t="str">
        <f>_xll.BDH(H183,$Q$2,$Q$1,$Q$1)</f>
        <v>#N/A Invalid Security</v>
      </c>
      <c r="X183" s="61" t="str">
        <f>_xll.BDH(I183,$Q$2,$Q$1,$Q$1)</f>
        <v>#N/A Invalid Security</v>
      </c>
      <c r="Y183" s="61" t="str">
        <f>_xll.BDH(J183,$Q$2,$Q$1,$Q$1)</f>
        <v>#N/A Invalid Security</v>
      </c>
      <c r="Z183" s="61" t="str">
        <f>_xll.BDH(K183,$Q$2,$Q$1,$Q$1)</f>
        <v>#N/A Invalid Security</v>
      </c>
      <c r="AA183" s="61" t="str">
        <f>_xll.BDH(L183,$Q$2,$Q$1,$Q$1)</f>
        <v>#N/A Invalid Security</v>
      </c>
      <c r="AB183" s="61" t="str">
        <f>_xll.BDH(M183,$Q$2,$Q$1,$Q$1)</f>
        <v>#N/A Invalid Security</v>
      </c>
      <c r="AC183" s="61" t="str">
        <f>_xll.BDH(N183,$Q$2,$Q$1,$Q$1)</f>
        <v>#N/A Invalid Security</v>
      </c>
      <c r="AD183" s="61" t="str">
        <f>_xll.BDH(P183,$Q$2,$Q$1,$Q$1)</f>
        <v>#N/A Mandatory parameter [SECURITY] cannot be empty</v>
      </c>
      <c r="AE183" s="61" t="str">
        <f>_xll.BDH(Q183,$Q$2,$Q$1,$Q$1)</f>
        <v>#N/A Invalid Security</v>
      </c>
      <c r="AF183" s="61" t="str">
        <f>_xll.BDH(R183,$Q$2,$Q$1,$Q$1)</f>
        <v>#N/A Invalid Security</v>
      </c>
    </row>
    <row r="184" spans="1:32" ht="16.5" x14ac:dyDescent="0.3">
      <c r="A184" s="63"/>
      <c r="B184" s="61" t="str">
        <f t="shared" si="6"/>
        <v>KRWA0520 LCLS Curncy</v>
      </c>
      <c r="C184" s="61" t="str">
        <f t="shared" si="6"/>
        <v>KRWK0520 LCLS Curncy</v>
      </c>
      <c r="D184" s="61" t="str">
        <f t="shared" si="6"/>
        <v>KRWL0520 LCLS Curncy</v>
      </c>
      <c r="E184" s="61" t="str">
        <f t="shared" si="6"/>
        <v>KRWB0520 LCLS Curncy</v>
      </c>
      <c r="F184" s="61" t="str">
        <f t="shared" si="6"/>
        <v>KRWM0520 LCLS Curncy</v>
      </c>
      <c r="G184" s="61" t="str">
        <f t="shared" si="6"/>
        <v>KRWN0520 LCLS Curncy</v>
      </c>
      <c r="H184" s="61" t="str">
        <f t="shared" si="6"/>
        <v>KRWO0520 LCLS Curncy</v>
      </c>
      <c r="I184" s="61" t="str">
        <f t="shared" si="6"/>
        <v>KRWP0520 LCLS Curncy</v>
      </c>
      <c r="J184" s="61" t="str">
        <f t="shared" si="6"/>
        <v>KRWC0520 LCLS Curncy</v>
      </c>
      <c r="K184" s="61" t="str">
        <f t="shared" si="6"/>
        <v>KRWQ0520 LCLS Curncy</v>
      </c>
      <c r="L184" s="61" t="str">
        <f t="shared" si="6"/>
        <v>KRWR0520 LCLS Curncy</v>
      </c>
      <c r="M184" s="61" t="str">
        <f t="shared" si="6"/>
        <v>KRWD0520 LCLS Curncy</v>
      </c>
      <c r="N184" s="61" t="str">
        <f t="shared" si="6"/>
        <v>KRWD0520 LCLS Curncy</v>
      </c>
      <c r="O184" s="61" t="str">
        <f t="shared" si="6"/>
        <v xml:space="preserve"> LCLS Curncy</v>
      </c>
      <c r="Q184" s="61" t="str">
        <f>_xll.BDH(B184,$Q$2,$Q$1,$Q$1)</f>
        <v>#N/A Invalid Security</v>
      </c>
      <c r="R184" s="61" t="str">
        <f>_xll.BDH(C184,$Q$2,$Q$1,$Q$1)</f>
        <v>#N/A Invalid Security</v>
      </c>
      <c r="S184" s="61" t="str">
        <f>_xll.BDH(D184,$Q$2,$Q$1,$Q$1)</f>
        <v>#N/A Invalid Security</v>
      </c>
      <c r="T184" s="61" t="str">
        <f>_xll.BDH(E184,$Q$2,$Q$1,$Q$1)</f>
        <v>#N/A Invalid Security</v>
      </c>
      <c r="U184" s="61" t="str">
        <f>_xll.BDH(F184,$Q$2,$Q$1,$Q$1)</f>
        <v>#N/A Invalid Security</v>
      </c>
      <c r="V184" s="61" t="str">
        <f>_xll.BDH(G184,$Q$2,$Q$1,$Q$1)</f>
        <v>#N/A Invalid Security</v>
      </c>
      <c r="W184" s="61" t="str">
        <f>_xll.BDH(H184,$Q$2,$Q$1,$Q$1)</f>
        <v>#N/A Invalid Security</v>
      </c>
      <c r="X184" s="61" t="str">
        <f>_xll.BDH(I184,$Q$2,$Q$1,$Q$1)</f>
        <v>#N/A Invalid Security</v>
      </c>
      <c r="Y184" s="61" t="str">
        <f>_xll.BDH(J184,$Q$2,$Q$1,$Q$1)</f>
        <v>#N/A Invalid Security</v>
      </c>
      <c r="Z184" s="61" t="str">
        <f>_xll.BDH(K184,$Q$2,$Q$1,$Q$1)</f>
        <v>#N/A Invalid Security</v>
      </c>
      <c r="AA184" s="61" t="str">
        <f>_xll.BDH(L184,$Q$2,$Q$1,$Q$1)</f>
        <v>#N/A Invalid Security</v>
      </c>
      <c r="AB184" s="61" t="str">
        <f>_xll.BDH(M184,$Q$2,$Q$1,$Q$1)</f>
        <v>#N/A Invalid Security</v>
      </c>
      <c r="AC184" s="61" t="str">
        <f>_xll.BDH(N184,$Q$2,$Q$1,$Q$1)</f>
        <v>#N/A Invalid Security</v>
      </c>
      <c r="AD184" s="61" t="str">
        <f>_xll.BDH(P184,$Q$2,$Q$1,$Q$1)</f>
        <v>#N/A Mandatory parameter [SECURITY] cannot be empty</v>
      </c>
      <c r="AE184" s="61" t="str">
        <f>_xll.BDH(Q184,$Q$2,$Q$1,$Q$1)</f>
        <v>#N/A Invalid Security</v>
      </c>
      <c r="AF184" s="61" t="str">
        <f>_xll.BDH(R184,$Q$2,$Q$1,$Q$1)</f>
        <v>#N/A Invalid Security</v>
      </c>
    </row>
    <row r="185" spans="1:32" ht="16.5" x14ac:dyDescent="0.3">
      <c r="A185" s="63"/>
      <c r="B185" s="61" t="str">
        <f t="shared" si="6"/>
        <v>KRWA1001 LCLS Curncy</v>
      </c>
      <c r="C185" s="61" t="str">
        <f t="shared" si="6"/>
        <v>KRWK1001 LCLS Curncy</v>
      </c>
      <c r="D185" s="61" t="str">
        <f t="shared" si="6"/>
        <v>KRWL1001 LCLS Curncy</v>
      </c>
      <c r="E185" s="61" t="str">
        <f t="shared" si="6"/>
        <v>KRWB1001 LCLS Curncy</v>
      </c>
      <c r="F185" s="61" t="str">
        <f t="shared" si="6"/>
        <v>KRWM1001 LCLS Curncy</v>
      </c>
      <c r="G185" s="61" t="str">
        <f t="shared" si="6"/>
        <v>KRWN1001 LCLS Curncy</v>
      </c>
      <c r="H185" s="61" t="str">
        <f t="shared" si="6"/>
        <v>KRWO1001 LCLS Curncy</v>
      </c>
      <c r="I185" s="61" t="str">
        <f t="shared" si="6"/>
        <v>KRWP1001 LCLS Curncy</v>
      </c>
      <c r="J185" s="61" t="str">
        <f t="shared" si="6"/>
        <v>KRWC1001 LCLS Curncy</v>
      </c>
      <c r="K185" s="61" t="str">
        <f t="shared" si="6"/>
        <v>KRWQ1001 LCLS Curncy</v>
      </c>
      <c r="L185" s="61" t="str">
        <f t="shared" si="6"/>
        <v>KRWR1001 LCLS Curncy</v>
      </c>
      <c r="M185" s="61" t="str">
        <f t="shared" si="6"/>
        <v>KRWD1001 LCLS Curncy</v>
      </c>
      <c r="N185" s="61" t="str">
        <f t="shared" si="6"/>
        <v>KRWD1001 LCLS Curncy</v>
      </c>
      <c r="O185" s="61" t="str">
        <f t="shared" si="6"/>
        <v xml:space="preserve"> LCLS Curncy</v>
      </c>
      <c r="Q185" s="61" t="str">
        <f>_xll.BDH(B185,$Q$2,$Q$1,$Q$1)</f>
        <v>#N/A Invalid Security</v>
      </c>
      <c r="R185" s="61" t="str">
        <f>_xll.BDH(C185,$Q$2,$Q$1,$Q$1)</f>
        <v>#N/A Invalid Security</v>
      </c>
      <c r="S185" s="61" t="str">
        <f>_xll.BDH(D185,$Q$2,$Q$1,$Q$1)</f>
        <v>#N/A Invalid Security</v>
      </c>
      <c r="T185" s="61" t="str">
        <f>_xll.BDH(E185,$Q$2,$Q$1,$Q$1)</f>
        <v>#N/A Invalid Security</v>
      </c>
      <c r="U185" s="61" t="str">
        <f>_xll.BDH(F185,$Q$2,$Q$1,$Q$1)</f>
        <v>#N/A Invalid Security</v>
      </c>
      <c r="V185" s="61" t="str">
        <f>_xll.BDH(G185,$Q$2,$Q$1,$Q$1)</f>
        <v>#N/A Invalid Security</v>
      </c>
      <c r="W185" s="61" t="str">
        <f>_xll.BDH(H185,$Q$2,$Q$1,$Q$1)</f>
        <v>#N/A Invalid Security</v>
      </c>
      <c r="X185" s="61" t="str">
        <f>_xll.BDH(I185,$Q$2,$Q$1,$Q$1)</f>
        <v>#N/A Invalid Security</v>
      </c>
      <c r="Y185" s="61" t="str">
        <f>_xll.BDH(J185,$Q$2,$Q$1,$Q$1)</f>
        <v>#N/A Invalid Security</v>
      </c>
      <c r="Z185" s="61" t="str">
        <f>_xll.BDH(K185,$Q$2,$Q$1,$Q$1)</f>
        <v>#N/A Invalid Security</v>
      </c>
      <c r="AA185" s="61" t="str">
        <f>_xll.BDH(L185,$Q$2,$Q$1,$Q$1)</f>
        <v>#N/A Invalid Security</v>
      </c>
      <c r="AB185" s="61" t="str">
        <f>_xll.BDH(M185,$Q$2,$Q$1,$Q$1)</f>
        <v>#N/A Invalid Security</v>
      </c>
      <c r="AC185" s="61" t="str">
        <f>_xll.BDH(N185,$Q$2,$Q$1,$Q$1)</f>
        <v>#N/A Invalid Security</v>
      </c>
      <c r="AD185" s="61" t="str">
        <f>_xll.BDH(P185,$Q$2,$Q$1,$Q$1)</f>
        <v>#N/A Mandatory parameter [SECURITY] cannot be empty</v>
      </c>
      <c r="AE185" s="61" t="str">
        <f>_xll.BDH(Q185,$Q$2,$Q$1,$Q$1)</f>
        <v>#N/A Invalid Security</v>
      </c>
      <c r="AF185" s="61" t="str">
        <f>_xll.BDH(R185,$Q$2,$Q$1,$Q$1)</f>
        <v>#N/A Invalid Security</v>
      </c>
    </row>
    <row r="186" spans="1:32" ht="16.5" x14ac:dyDescent="0.3">
      <c r="A186" s="63"/>
      <c r="B186" s="61" t="str">
        <f t="shared" si="6"/>
        <v>KRWA1002 LCLS Curncy</v>
      </c>
      <c r="C186" s="61" t="str">
        <f t="shared" si="6"/>
        <v>KRWK1002 LCLS Curncy</v>
      </c>
      <c r="D186" s="61" t="str">
        <f t="shared" si="6"/>
        <v>KRWL1002 LCLS Curncy</v>
      </c>
      <c r="E186" s="61" t="str">
        <f t="shared" si="6"/>
        <v>KRWB1002 LCLS Curncy</v>
      </c>
      <c r="F186" s="61" t="str">
        <f t="shared" si="6"/>
        <v>KRWM1002 LCLS Curncy</v>
      </c>
      <c r="G186" s="61" t="str">
        <f t="shared" si="6"/>
        <v>KRWN1002 LCLS Curncy</v>
      </c>
      <c r="H186" s="61" t="str">
        <f t="shared" si="6"/>
        <v>KRWO1002 LCLS Curncy</v>
      </c>
      <c r="I186" s="61" t="str">
        <f t="shared" si="6"/>
        <v>KRWP1002 LCLS Curncy</v>
      </c>
      <c r="J186" s="61" t="str">
        <f t="shared" si="6"/>
        <v>KRWC1002 LCLS Curncy</v>
      </c>
      <c r="K186" s="61" t="str">
        <f t="shared" si="6"/>
        <v>KRWQ1002 LCLS Curncy</v>
      </c>
      <c r="L186" s="61" t="str">
        <f t="shared" si="6"/>
        <v>KRWR1002 LCLS Curncy</v>
      </c>
      <c r="M186" s="61" t="str">
        <f t="shared" si="6"/>
        <v>KRWD1002 LCLS Curncy</v>
      </c>
      <c r="N186" s="61" t="str">
        <f t="shared" si="6"/>
        <v>KRWD1002 LCLS Curncy</v>
      </c>
      <c r="O186" s="61" t="str">
        <f t="shared" si="6"/>
        <v xml:space="preserve"> LCLS Curncy</v>
      </c>
      <c r="Q186" s="61" t="str">
        <f>_xll.BDH(B186,$Q$2,$Q$1,$Q$1)</f>
        <v>#N/A Invalid Security</v>
      </c>
      <c r="R186" s="61" t="str">
        <f>_xll.BDH(C186,$Q$2,$Q$1,$Q$1)</f>
        <v>#N/A Invalid Security</v>
      </c>
      <c r="S186" s="61" t="str">
        <f>_xll.BDH(D186,$Q$2,$Q$1,$Q$1)</f>
        <v>#N/A Invalid Security</v>
      </c>
      <c r="T186" s="61" t="str">
        <f>_xll.BDH(E186,$Q$2,$Q$1,$Q$1)</f>
        <v>#N/A Invalid Security</v>
      </c>
      <c r="U186" s="61" t="str">
        <f>_xll.BDH(F186,$Q$2,$Q$1,$Q$1)</f>
        <v>#N/A Invalid Security</v>
      </c>
      <c r="V186" s="61" t="str">
        <f>_xll.BDH(G186,$Q$2,$Q$1,$Q$1)</f>
        <v>#N/A Invalid Security</v>
      </c>
      <c r="W186" s="61" t="str">
        <f>_xll.BDH(H186,$Q$2,$Q$1,$Q$1)</f>
        <v>#N/A Invalid Security</v>
      </c>
      <c r="X186" s="61" t="str">
        <f>_xll.BDH(I186,$Q$2,$Q$1,$Q$1)</f>
        <v>#N/A Invalid Security</v>
      </c>
      <c r="Y186" s="61" t="str">
        <f>_xll.BDH(J186,$Q$2,$Q$1,$Q$1)</f>
        <v>#N/A Invalid Security</v>
      </c>
      <c r="Z186" s="61" t="str">
        <f>_xll.BDH(K186,$Q$2,$Q$1,$Q$1)</f>
        <v>#N/A Invalid Security</v>
      </c>
      <c r="AA186" s="61" t="str">
        <f>_xll.BDH(L186,$Q$2,$Q$1,$Q$1)</f>
        <v>#N/A Invalid Security</v>
      </c>
      <c r="AB186" s="61" t="str">
        <f>_xll.BDH(M186,$Q$2,$Q$1,$Q$1)</f>
        <v>#N/A Invalid Security</v>
      </c>
      <c r="AC186" s="61" t="str">
        <f>_xll.BDH(N186,$Q$2,$Q$1,$Q$1)</f>
        <v>#N/A Invalid Security</v>
      </c>
      <c r="AD186" s="61" t="str">
        <f>_xll.BDH(P186,$Q$2,$Q$1,$Q$1)</f>
        <v>#N/A Mandatory parameter [SECURITY] cannot be empty</v>
      </c>
      <c r="AE186" s="61" t="str">
        <f>_xll.BDH(Q186,$Q$2,$Q$1,$Q$1)</f>
        <v>#N/A Invalid Security</v>
      </c>
      <c r="AF186" s="61" t="str">
        <f>_xll.BDH(R186,$Q$2,$Q$1,$Q$1)</f>
        <v>#N/A Invalid Security</v>
      </c>
    </row>
    <row r="187" spans="1:32" ht="16.5" x14ac:dyDescent="0.3">
      <c r="A187" s="63"/>
      <c r="B187" s="61" t="str">
        <f t="shared" si="6"/>
        <v>KRWA1003 LCLS Curncy</v>
      </c>
      <c r="C187" s="61" t="str">
        <f t="shared" si="6"/>
        <v>KRWK1003 LCLS Curncy</v>
      </c>
      <c r="D187" s="61" t="str">
        <f t="shared" si="6"/>
        <v>KRWL1003 LCLS Curncy</v>
      </c>
      <c r="E187" s="61" t="str">
        <f t="shared" si="6"/>
        <v>KRWB1003 LCLS Curncy</v>
      </c>
      <c r="F187" s="61" t="str">
        <f t="shared" si="6"/>
        <v>KRWM1003 LCLS Curncy</v>
      </c>
      <c r="G187" s="61" t="str">
        <f t="shared" si="6"/>
        <v>KRWN1003 LCLS Curncy</v>
      </c>
      <c r="H187" s="61" t="str">
        <f t="shared" si="6"/>
        <v>KRWO1003 LCLS Curncy</v>
      </c>
      <c r="I187" s="61" t="str">
        <f t="shared" si="6"/>
        <v>KRWP1003 LCLS Curncy</v>
      </c>
      <c r="J187" s="61" t="str">
        <f t="shared" si="6"/>
        <v>KRWC1003 LCLS Curncy</v>
      </c>
      <c r="K187" s="61" t="str">
        <f t="shared" si="6"/>
        <v>KRWQ1003 LCLS Curncy</v>
      </c>
      <c r="L187" s="61" t="str">
        <f t="shared" si="6"/>
        <v>KRWR1003 LCLS Curncy</v>
      </c>
      <c r="M187" s="61" t="str">
        <f t="shared" si="6"/>
        <v>KRWD1003 LCLS Curncy</v>
      </c>
      <c r="N187" s="61" t="str">
        <f t="shared" si="6"/>
        <v>KRWD1003 LCLS Curncy</v>
      </c>
      <c r="O187" s="61" t="str">
        <f t="shared" si="6"/>
        <v xml:space="preserve"> LCLS Curncy</v>
      </c>
      <c r="Q187" s="61" t="str">
        <f>_xll.BDH(B187,$Q$2,$Q$1,$Q$1)</f>
        <v>#N/A Invalid Security</v>
      </c>
      <c r="R187" s="61" t="str">
        <f>_xll.BDH(C187,$Q$2,$Q$1,$Q$1)</f>
        <v>#N/A Invalid Security</v>
      </c>
      <c r="S187" s="61" t="str">
        <f>_xll.BDH(D187,$Q$2,$Q$1,$Q$1)</f>
        <v>#N/A Invalid Security</v>
      </c>
      <c r="T187" s="61" t="str">
        <f>_xll.BDH(E187,$Q$2,$Q$1,$Q$1)</f>
        <v>#N/A Invalid Security</v>
      </c>
      <c r="U187" s="61" t="str">
        <f>_xll.BDH(F187,$Q$2,$Q$1,$Q$1)</f>
        <v>#N/A Invalid Security</v>
      </c>
      <c r="V187" s="61" t="str">
        <f>_xll.BDH(G187,$Q$2,$Q$1,$Q$1)</f>
        <v>#N/A Invalid Security</v>
      </c>
      <c r="W187" s="61" t="str">
        <f>_xll.BDH(H187,$Q$2,$Q$1,$Q$1)</f>
        <v>#N/A Invalid Security</v>
      </c>
      <c r="X187" s="61" t="str">
        <f>_xll.BDH(I187,$Q$2,$Q$1,$Q$1)</f>
        <v>#N/A Invalid Security</v>
      </c>
      <c r="Y187" s="61" t="str">
        <f>_xll.BDH(J187,$Q$2,$Q$1,$Q$1)</f>
        <v>#N/A Invalid Security</v>
      </c>
      <c r="Z187" s="61" t="str">
        <f>_xll.BDH(K187,$Q$2,$Q$1,$Q$1)</f>
        <v>#N/A Invalid Security</v>
      </c>
      <c r="AA187" s="61" t="str">
        <f>_xll.BDH(L187,$Q$2,$Q$1,$Q$1)</f>
        <v>#N/A Invalid Security</v>
      </c>
      <c r="AB187" s="61" t="str">
        <f>_xll.BDH(M187,$Q$2,$Q$1,$Q$1)</f>
        <v>#N/A Invalid Security</v>
      </c>
      <c r="AC187" s="61" t="str">
        <f>_xll.BDH(N187,$Q$2,$Q$1,$Q$1)</f>
        <v>#N/A Invalid Security</v>
      </c>
      <c r="AD187" s="61" t="str">
        <f>_xll.BDH(P187,$Q$2,$Q$1,$Q$1)</f>
        <v>#N/A Mandatory parameter [SECURITY] cannot be empty</v>
      </c>
      <c r="AE187" s="61" t="str">
        <f>_xll.BDH(Q187,$Q$2,$Q$1,$Q$1)</f>
        <v>#N/A Invalid Security</v>
      </c>
      <c r="AF187" s="61" t="str">
        <f>_xll.BDH(R187,$Q$2,$Q$1,$Q$1)</f>
        <v>#N/A Invalid Security</v>
      </c>
    </row>
    <row r="188" spans="1:32" ht="16.5" x14ac:dyDescent="0.3">
      <c r="A188" s="63"/>
      <c r="B188" s="61" t="str">
        <f t="shared" si="6"/>
        <v>KRWA1004 LCLS Curncy</v>
      </c>
      <c r="C188" s="61" t="str">
        <f t="shared" si="6"/>
        <v>KRWK1004 LCLS Curncy</v>
      </c>
      <c r="D188" s="61" t="str">
        <f t="shared" si="6"/>
        <v>KRWL1004 LCLS Curncy</v>
      </c>
      <c r="E188" s="61" t="str">
        <f t="shared" si="6"/>
        <v>KRWB1004 LCLS Curncy</v>
      </c>
      <c r="F188" s="61" t="str">
        <f t="shared" si="6"/>
        <v>KRWM1004 LCLS Curncy</v>
      </c>
      <c r="G188" s="61" t="str">
        <f t="shared" si="6"/>
        <v>KRWN1004 LCLS Curncy</v>
      </c>
      <c r="H188" s="61" t="str">
        <f t="shared" si="6"/>
        <v>KRWO1004 LCLS Curncy</v>
      </c>
      <c r="I188" s="61" t="str">
        <f t="shared" si="6"/>
        <v>KRWP1004 LCLS Curncy</v>
      </c>
      <c r="J188" s="61" t="str">
        <f t="shared" si="6"/>
        <v>KRWC1004 LCLS Curncy</v>
      </c>
      <c r="K188" s="61" t="str">
        <f t="shared" si="6"/>
        <v>KRWQ1004 LCLS Curncy</v>
      </c>
      <c r="L188" s="61" t="str">
        <f t="shared" si="6"/>
        <v>KRWR1004 LCLS Curncy</v>
      </c>
      <c r="M188" s="61" t="str">
        <f t="shared" si="6"/>
        <v>KRWD1004 LCLS Curncy</v>
      </c>
      <c r="N188" s="61" t="str">
        <f t="shared" si="6"/>
        <v>KRWD1004 LCLS Curncy</v>
      </c>
      <c r="O188" s="61" t="str">
        <f t="shared" si="6"/>
        <v xml:space="preserve"> LCLS Curncy</v>
      </c>
      <c r="Q188" s="61" t="str">
        <f>_xll.BDH(B188,$Q$2,$Q$1,$Q$1)</f>
        <v>#N/A Invalid Security</v>
      </c>
      <c r="R188" s="61" t="str">
        <f>_xll.BDH(C188,$Q$2,$Q$1,$Q$1)</f>
        <v>#N/A Invalid Security</v>
      </c>
      <c r="S188" s="61" t="str">
        <f>_xll.BDH(D188,$Q$2,$Q$1,$Q$1)</f>
        <v>#N/A Invalid Security</v>
      </c>
      <c r="T188" s="61" t="str">
        <f>_xll.BDH(E188,$Q$2,$Q$1,$Q$1)</f>
        <v>#N/A Invalid Security</v>
      </c>
      <c r="U188" s="61" t="str">
        <f>_xll.BDH(F188,$Q$2,$Q$1,$Q$1)</f>
        <v>#N/A Invalid Security</v>
      </c>
      <c r="V188" s="61" t="str">
        <f>_xll.BDH(G188,$Q$2,$Q$1,$Q$1)</f>
        <v>#N/A Invalid Security</v>
      </c>
      <c r="W188" s="61" t="str">
        <f>_xll.BDH(H188,$Q$2,$Q$1,$Q$1)</f>
        <v>#N/A Invalid Security</v>
      </c>
      <c r="X188" s="61" t="str">
        <f>_xll.BDH(I188,$Q$2,$Q$1,$Q$1)</f>
        <v>#N/A Invalid Security</v>
      </c>
      <c r="Y188" s="61" t="str">
        <f>_xll.BDH(J188,$Q$2,$Q$1,$Q$1)</f>
        <v>#N/A Invalid Security</v>
      </c>
      <c r="Z188" s="61" t="str">
        <f>_xll.BDH(K188,$Q$2,$Q$1,$Q$1)</f>
        <v>#N/A Invalid Security</v>
      </c>
      <c r="AA188" s="61" t="str">
        <f>_xll.BDH(L188,$Q$2,$Q$1,$Q$1)</f>
        <v>#N/A Invalid Security</v>
      </c>
      <c r="AB188" s="61" t="str">
        <f>_xll.BDH(M188,$Q$2,$Q$1,$Q$1)</f>
        <v>#N/A Invalid Security</v>
      </c>
      <c r="AC188" s="61" t="str">
        <f>_xll.BDH(N188,$Q$2,$Q$1,$Q$1)</f>
        <v>#N/A Invalid Security</v>
      </c>
      <c r="AD188" s="61" t="str">
        <f>_xll.BDH(P188,$Q$2,$Q$1,$Q$1)</f>
        <v>#N/A Mandatory parameter [SECURITY] cannot be empty</v>
      </c>
      <c r="AE188" s="61" t="str">
        <f>_xll.BDH(Q188,$Q$2,$Q$1,$Q$1)</f>
        <v>#N/A Invalid Security</v>
      </c>
      <c r="AF188" s="61" t="str">
        <f>_xll.BDH(R188,$Q$2,$Q$1,$Q$1)</f>
        <v>#N/A Invalid Security</v>
      </c>
    </row>
    <row r="189" spans="1:32" ht="16.5" x14ac:dyDescent="0.3">
      <c r="A189" s="63"/>
      <c r="B189" s="61" t="str">
        <f t="shared" si="6"/>
        <v>KRWA1005 LCLS Curncy</v>
      </c>
      <c r="C189" s="61" t="str">
        <f t="shared" si="6"/>
        <v>KRWK1005 LCLS Curncy</v>
      </c>
      <c r="D189" s="61" t="str">
        <f t="shared" si="6"/>
        <v>KRWL1005 LCLS Curncy</v>
      </c>
      <c r="E189" s="61" t="str">
        <f t="shared" si="6"/>
        <v>KRWB1005 LCLS Curncy</v>
      </c>
      <c r="F189" s="61" t="str">
        <f t="shared" si="6"/>
        <v>KRWM1005 LCLS Curncy</v>
      </c>
      <c r="G189" s="61" t="str">
        <f t="shared" si="6"/>
        <v>KRWN1005 LCLS Curncy</v>
      </c>
      <c r="H189" s="61" t="str">
        <f t="shared" si="6"/>
        <v>KRWO1005 LCLS Curncy</v>
      </c>
      <c r="I189" s="61" t="str">
        <f t="shared" si="6"/>
        <v>KRWP1005 LCLS Curncy</v>
      </c>
      <c r="J189" s="61" t="str">
        <f t="shared" si="6"/>
        <v>KRWC1005 LCLS Curncy</v>
      </c>
      <c r="K189" s="61" t="str">
        <f t="shared" si="6"/>
        <v>KRWQ1005 LCLS Curncy</v>
      </c>
      <c r="L189" s="61" t="str">
        <f t="shared" si="6"/>
        <v>KRWR1005 LCLS Curncy</v>
      </c>
      <c r="M189" s="61" t="str">
        <f t="shared" si="6"/>
        <v>KRWD1005 LCLS Curncy</v>
      </c>
      <c r="N189" s="61" t="str">
        <f t="shared" si="6"/>
        <v>KRWD1005 LCLS Curncy</v>
      </c>
      <c r="O189" s="61" t="str">
        <f t="shared" si="6"/>
        <v xml:space="preserve"> LCLS Curncy</v>
      </c>
      <c r="Q189" s="61" t="str">
        <f>_xll.BDH(B189,$Q$2,$Q$1,$Q$1)</f>
        <v>#N/A Invalid Security</v>
      </c>
      <c r="R189" s="61" t="str">
        <f>_xll.BDH(C189,$Q$2,$Q$1,$Q$1)</f>
        <v>#N/A Invalid Security</v>
      </c>
      <c r="S189" s="61" t="str">
        <f>_xll.BDH(D189,$Q$2,$Q$1,$Q$1)</f>
        <v>#N/A Invalid Security</v>
      </c>
      <c r="T189" s="61" t="str">
        <f>_xll.BDH(E189,$Q$2,$Q$1,$Q$1)</f>
        <v>#N/A Invalid Security</v>
      </c>
      <c r="U189" s="61" t="str">
        <f>_xll.BDH(F189,$Q$2,$Q$1,$Q$1)</f>
        <v>#N/A Invalid Security</v>
      </c>
      <c r="V189" s="61" t="str">
        <f>_xll.BDH(G189,$Q$2,$Q$1,$Q$1)</f>
        <v>#N/A Invalid Security</v>
      </c>
      <c r="W189" s="61" t="str">
        <f>_xll.BDH(H189,$Q$2,$Q$1,$Q$1)</f>
        <v>#N/A Invalid Security</v>
      </c>
      <c r="X189" s="61" t="str">
        <f>_xll.BDH(I189,$Q$2,$Q$1,$Q$1)</f>
        <v>#N/A Invalid Security</v>
      </c>
      <c r="Y189" s="61" t="str">
        <f>_xll.BDH(J189,$Q$2,$Q$1,$Q$1)</f>
        <v>#N/A Invalid Security</v>
      </c>
      <c r="Z189" s="61" t="str">
        <f>_xll.BDH(K189,$Q$2,$Q$1,$Q$1)</f>
        <v>#N/A Invalid Security</v>
      </c>
      <c r="AA189" s="61" t="str">
        <f>_xll.BDH(L189,$Q$2,$Q$1,$Q$1)</f>
        <v>#N/A Invalid Security</v>
      </c>
      <c r="AB189" s="61" t="str">
        <f>_xll.BDH(M189,$Q$2,$Q$1,$Q$1)</f>
        <v>#N/A Invalid Security</v>
      </c>
      <c r="AC189" s="61" t="str">
        <f>_xll.BDH(N189,$Q$2,$Q$1,$Q$1)</f>
        <v>#N/A Invalid Security</v>
      </c>
      <c r="AD189" s="61" t="str">
        <f>_xll.BDH(P189,$Q$2,$Q$1,$Q$1)</f>
        <v>#N/A Mandatory parameter [SECURITY] cannot be empty</v>
      </c>
      <c r="AE189" s="61" t="str">
        <f>_xll.BDH(Q189,$Q$2,$Q$1,$Q$1)</f>
        <v>#N/A Invalid Security</v>
      </c>
      <c r="AF189" s="61" t="str">
        <f>_xll.BDH(R189,$Q$2,$Q$1,$Q$1)</f>
        <v>#N/A Invalid Security</v>
      </c>
    </row>
    <row r="190" spans="1:32" ht="16.5" x14ac:dyDescent="0.3">
      <c r="A190" s="63"/>
      <c r="B190" s="61" t="str">
        <f t="shared" si="6"/>
        <v>KRWA1006 LCLS Curncy</v>
      </c>
      <c r="C190" s="61" t="str">
        <f t="shared" si="6"/>
        <v>KRWK1006 LCLS Curncy</v>
      </c>
      <c r="D190" s="61" t="str">
        <f t="shared" si="6"/>
        <v>KRWL1006 LCLS Curncy</v>
      </c>
      <c r="E190" s="61" t="str">
        <f t="shared" si="6"/>
        <v>KRWB1006 LCLS Curncy</v>
      </c>
      <c r="F190" s="61" t="str">
        <f t="shared" si="6"/>
        <v>KRWM1006 LCLS Curncy</v>
      </c>
      <c r="G190" s="61" t="str">
        <f t="shared" si="6"/>
        <v>KRWN1006 LCLS Curncy</v>
      </c>
      <c r="H190" s="61" t="str">
        <f t="shared" si="6"/>
        <v>KRWO1006 LCLS Curncy</v>
      </c>
      <c r="I190" s="61" t="str">
        <f t="shared" si="6"/>
        <v>KRWP1006 LCLS Curncy</v>
      </c>
      <c r="J190" s="61" t="str">
        <f t="shared" si="6"/>
        <v>KRWC1006 LCLS Curncy</v>
      </c>
      <c r="K190" s="61" t="str">
        <f t="shared" si="6"/>
        <v>KRWQ1006 LCLS Curncy</v>
      </c>
      <c r="L190" s="61" t="str">
        <f t="shared" si="6"/>
        <v>KRWR1006 LCLS Curncy</v>
      </c>
      <c r="M190" s="61" t="str">
        <f t="shared" si="6"/>
        <v>KRWD1006 LCLS Curncy</v>
      </c>
      <c r="N190" s="61" t="str">
        <f t="shared" si="6"/>
        <v>KRWD1006 LCLS Curncy</v>
      </c>
      <c r="O190" s="61" t="str">
        <f t="shared" si="6"/>
        <v xml:space="preserve"> LCLS Curncy</v>
      </c>
      <c r="Q190" s="61" t="str">
        <f>_xll.BDH(B190,$Q$2,$Q$1,$Q$1)</f>
        <v>#N/A Invalid Security</v>
      </c>
      <c r="R190" s="61" t="str">
        <f>_xll.BDH(C190,$Q$2,$Q$1,$Q$1)</f>
        <v>#N/A Invalid Security</v>
      </c>
      <c r="S190" s="61" t="str">
        <f>_xll.BDH(D190,$Q$2,$Q$1,$Q$1)</f>
        <v>#N/A Invalid Security</v>
      </c>
      <c r="T190" s="61" t="str">
        <f>_xll.BDH(E190,$Q$2,$Q$1,$Q$1)</f>
        <v>#N/A Invalid Security</v>
      </c>
      <c r="U190" s="61" t="str">
        <f>_xll.BDH(F190,$Q$2,$Q$1,$Q$1)</f>
        <v>#N/A Invalid Security</v>
      </c>
      <c r="V190" s="61" t="str">
        <f>_xll.BDH(G190,$Q$2,$Q$1,$Q$1)</f>
        <v>#N/A Invalid Security</v>
      </c>
      <c r="W190" s="61" t="str">
        <f>_xll.BDH(H190,$Q$2,$Q$1,$Q$1)</f>
        <v>#N/A Invalid Security</v>
      </c>
      <c r="X190" s="61" t="str">
        <f>_xll.BDH(I190,$Q$2,$Q$1,$Q$1)</f>
        <v>#N/A Invalid Security</v>
      </c>
      <c r="Y190" s="61" t="str">
        <f>_xll.BDH(J190,$Q$2,$Q$1,$Q$1)</f>
        <v>#N/A Invalid Security</v>
      </c>
      <c r="Z190" s="61" t="str">
        <f>_xll.BDH(K190,$Q$2,$Q$1,$Q$1)</f>
        <v>#N/A Invalid Security</v>
      </c>
      <c r="AA190" s="61" t="str">
        <f>_xll.BDH(L190,$Q$2,$Q$1,$Q$1)</f>
        <v>#N/A Invalid Security</v>
      </c>
      <c r="AB190" s="61" t="str">
        <f>_xll.BDH(M190,$Q$2,$Q$1,$Q$1)</f>
        <v>#N/A Invalid Security</v>
      </c>
      <c r="AC190" s="61" t="str">
        <f>_xll.BDH(N190,$Q$2,$Q$1,$Q$1)</f>
        <v>#N/A Invalid Security</v>
      </c>
      <c r="AD190" s="61" t="str">
        <f>_xll.BDH(P190,$Q$2,$Q$1,$Q$1)</f>
        <v>#N/A Mandatory parameter [SECURITY] cannot be empty</v>
      </c>
      <c r="AE190" s="61" t="str">
        <f>_xll.BDH(Q190,$Q$2,$Q$1,$Q$1)</f>
        <v>#N/A Invalid Security</v>
      </c>
      <c r="AF190" s="61" t="str">
        <f>_xll.BDH(R190,$Q$2,$Q$1,$Q$1)</f>
        <v>#N/A Invalid Security</v>
      </c>
    </row>
    <row r="191" spans="1:32" ht="16.5" x14ac:dyDescent="0.3">
      <c r="A191" s="63"/>
      <c r="B191" s="61" t="str">
        <f t="shared" si="6"/>
        <v>KRWA1007 LCLS Curncy</v>
      </c>
      <c r="C191" s="61" t="str">
        <f t="shared" si="6"/>
        <v>KRWK1007 LCLS Curncy</v>
      </c>
      <c r="D191" s="61" t="str">
        <f t="shared" si="6"/>
        <v>KRWL1007 LCLS Curncy</v>
      </c>
      <c r="E191" s="61" t="str">
        <f t="shared" si="6"/>
        <v>KRWB1007 LCLS Curncy</v>
      </c>
      <c r="F191" s="61" t="str">
        <f t="shared" si="6"/>
        <v>KRWM1007 LCLS Curncy</v>
      </c>
      <c r="G191" s="61" t="str">
        <f t="shared" si="6"/>
        <v>KRWN1007 LCLS Curncy</v>
      </c>
      <c r="H191" s="61" t="str">
        <f t="shared" si="6"/>
        <v>KRWO1007 LCLS Curncy</v>
      </c>
      <c r="I191" s="61" t="str">
        <f t="shared" si="6"/>
        <v>KRWP1007 LCLS Curncy</v>
      </c>
      <c r="J191" s="61" t="str">
        <f t="shared" si="6"/>
        <v>KRWC1007 LCLS Curncy</v>
      </c>
      <c r="K191" s="61" t="str">
        <f t="shared" si="6"/>
        <v>KRWQ1007 LCLS Curncy</v>
      </c>
      <c r="L191" s="61" t="str">
        <f t="shared" si="6"/>
        <v>KRWR1007 LCLS Curncy</v>
      </c>
      <c r="M191" s="61" t="str">
        <f t="shared" si="6"/>
        <v>KRWD1007 LCLS Curncy</v>
      </c>
      <c r="N191" s="61" t="str">
        <f t="shared" si="6"/>
        <v>KRWD1007 LCLS Curncy</v>
      </c>
      <c r="O191" s="61" t="str">
        <f t="shared" si="6"/>
        <v xml:space="preserve"> LCLS Curncy</v>
      </c>
      <c r="Q191" s="61" t="str">
        <f>_xll.BDH(B191,$Q$2,$Q$1,$Q$1)</f>
        <v>#N/A Invalid Security</v>
      </c>
      <c r="R191" s="61" t="str">
        <f>_xll.BDH(C191,$Q$2,$Q$1,$Q$1)</f>
        <v>#N/A Invalid Security</v>
      </c>
      <c r="S191" s="61" t="str">
        <f>_xll.BDH(D191,$Q$2,$Q$1,$Q$1)</f>
        <v>#N/A Invalid Security</v>
      </c>
      <c r="T191" s="61" t="str">
        <f>_xll.BDH(E191,$Q$2,$Q$1,$Q$1)</f>
        <v>#N/A Invalid Security</v>
      </c>
      <c r="U191" s="61" t="str">
        <f>_xll.BDH(F191,$Q$2,$Q$1,$Q$1)</f>
        <v>#N/A Invalid Security</v>
      </c>
      <c r="V191" s="61" t="str">
        <f>_xll.BDH(G191,$Q$2,$Q$1,$Q$1)</f>
        <v>#N/A Invalid Security</v>
      </c>
      <c r="W191" s="61" t="str">
        <f>_xll.BDH(H191,$Q$2,$Q$1,$Q$1)</f>
        <v>#N/A Invalid Security</v>
      </c>
      <c r="X191" s="61" t="str">
        <f>_xll.BDH(I191,$Q$2,$Q$1,$Q$1)</f>
        <v>#N/A Invalid Security</v>
      </c>
      <c r="Y191" s="61" t="str">
        <f>_xll.BDH(J191,$Q$2,$Q$1,$Q$1)</f>
        <v>#N/A Invalid Security</v>
      </c>
      <c r="Z191" s="61" t="str">
        <f>_xll.BDH(K191,$Q$2,$Q$1,$Q$1)</f>
        <v>#N/A Invalid Security</v>
      </c>
      <c r="AA191" s="61" t="str">
        <f>_xll.BDH(L191,$Q$2,$Q$1,$Q$1)</f>
        <v>#N/A Invalid Security</v>
      </c>
      <c r="AB191" s="61" t="str">
        <f>_xll.BDH(M191,$Q$2,$Q$1,$Q$1)</f>
        <v>#N/A Invalid Security</v>
      </c>
      <c r="AC191" s="61" t="str">
        <f>_xll.BDH(N191,$Q$2,$Q$1,$Q$1)</f>
        <v>#N/A Invalid Security</v>
      </c>
      <c r="AD191" s="61" t="str">
        <f>_xll.BDH(P191,$Q$2,$Q$1,$Q$1)</f>
        <v>#N/A Mandatory parameter [SECURITY] cannot be empty</v>
      </c>
      <c r="AE191" s="61" t="str">
        <f>_xll.BDH(Q191,$Q$2,$Q$1,$Q$1)</f>
        <v>#N/A Invalid Security</v>
      </c>
      <c r="AF191" s="61" t="str">
        <f>_xll.BDH(R191,$Q$2,$Q$1,$Q$1)</f>
        <v>#N/A Invalid Security</v>
      </c>
    </row>
    <row r="192" spans="1:32" ht="16.5" x14ac:dyDescent="0.3">
      <c r="A192" s="63"/>
      <c r="B192" s="61" t="str">
        <f t="shared" si="6"/>
        <v>KRWA1008 LCLS Curncy</v>
      </c>
      <c r="C192" s="61" t="str">
        <f t="shared" si="6"/>
        <v>KRWK1008 LCLS Curncy</v>
      </c>
      <c r="D192" s="61" t="str">
        <f t="shared" si="6"/>
        <v>KRWL1008 LCLS Curncy</v>
      </c>
      <c r="E192" s="61" t="str">
        <f t="shared" si="6"/>
        <v>KRWB1008 LCLS Curncy</v>
      </c>
      <c r="F192" s="61" t="str">
        <f t="shared" si="6"/>
        <v>KRWM1008 LCLS Curncy</v>
      </c>
      <c r="G192" s="61" t="str">
        <f t="shared" si="6"/>
        <v>KRWN1008 LCLS Curncy</v>
      </c>
      <c r="H192" s="61" t="str">
        <f t="shared" si="6"/>
        <v>KRWO1008 LCLS Curncy</v>
      </c>
      <c r="I192" s="61" t="str">
        <f t="shared" si="6"/>
        <v>KRWP1008 LCLS Curncy</v>
      </c>
      <c r="J192" s="61" t="str">
        <f t="shared" si="6"/>
        <v>KRWC1008 LCLS Curncy</v>
      </c>
      <c r="K192" s="61" t="str">
        <f t="shared" si="6"/>
        <v>KRWQ1008 LCLS Curncy</v>
      </c>
      <c r="L192" s="61" t="str">
        <f t="shared" si="6"/>
        <v>KRWR1008 LCLS Curncy</v>
      </c>
      <c r="M192" s="61" t="str">
        <f t="shared" si="6"/>
        <v>KRWD1008 LCLS Curncy</v>
      </c>
      <c r="N192" s="61" t="str">
        <f t="shared" si="6"/>
        <v>KRWD1008 LCLS Curncy</v>
      </c>
      <c r="O192" s="61" t="str">
        <f t="shared" si="6"/>
        <v xml:space="preserve"> LCLS Curncy</v>
      </c>
      <c r="Q192" s="61" t="str">
        <f>_xll.BDH(B192,$Q$2,$Q$1,$Q$1)</f>
        <v>#N/A Invalid Security</v>
      </c>
      <c r="R192" s="61" t="str">
        <f>_xll.BDH(C192,$Q$2,$Q$1,$Q$1)</f>
        <v>#N/A Invalid Security</v>
      </c>
      <c r="S192" s="61" t="str">
        <f>_xll.BDH(D192,$Q$2,$Q$1,$Q$1)</f>
        <v>#N/A Invalid Security</v>
      </c>
      <c r="T192" s="61" t="str">
        <f>_xll.BDH(E192,$Q$2,$Q$1,$Q$1)</f>
        <v>#N/A Invalid Security</v>
      </c>
      <c r="U192" s="61" t="str">
        <f>_xll.BDH(F192,$Q$2,$Q$1,$Q$1)</f>
        <v>#N/A Invalid Security</v>
      </c>
      <c r="V192" s="61" t="str">
        <f>_xll.BDH(G192,$Q$2,$Q$1,$Q$1)</f>
        <v>#N/A Invalid Security</v>
      </c>
      <c r="W192" s="61" t="str">
        <f>_xll.BDH(H192,$Q$2,$Q$1,$Q$1)</f>
        <v>#N/A Invalid Security</v>
      </c>
      <c r="X192" s="61" t="str">
        <f>_xll.BDH(I192,$Q$2,$Q$1,$Q$1)</f>
        <v>#N/A Invalid Security</v>
      </c>
      <c r="Y192" s="61" t="str">
        <f>_xll.BDH(J192,$Q$2,$Q$1,$Q$1)</f>
        <v>#N/A Invalid Security</v>
      </c>
      <c r="Z192" s="61" t="str">
        <f>_xll.BDH(K192,$Q$2,$Q$1,$Q$1)</f>
        <v>#N/A Invalid Security</v>
      </c>
      <c r="AA192" s="61" t="str">
        <f>_xll.BDH(L192,$Q$2,$Q$1,$Q$1)</f>
        <v>#N/A Invalid Security</v>
      </c>
      <c r="AB192" s="61" t="str">
        <f>_xll.BDH(M192,$Q$2,$Q$1,$Q$1)</f>
        <v>#N/A Invalid Security</v>
      </c>
      <c r="AC192" s="61" t="str">
        <f>_xll.BDH(N192,$Q$2,$Q$1,$Q$1)</f>
        <v>#N/A Invalid Security</v>
      </c>
      <c r="AD192" s="61" t="str">
        <f>_xll.BDH(P192,$Q$2,$Q$1,$Q$1)</f>
        <v>#N/A Mandatory parameter [SECURITY] cannot be empty</v>
      </c>
      <c r="AE192" s="61" t="str">
        <f>_xll.BDH(Q192,$Q$2,$Q$1,$Q$1)</f>
        <v>#N/A Invalid Security</v>
      </c>
      <c r="AF192" s="61" t="str">
        <f>_xll.BDH(R192,$Q$2,$Q$1,$Q$1)</f>
        <v>#N/A Invalid Security</v>
      </c>
    </row>
    <row r="193" spans="1:32" ht="16.5" x14ac:dyDescent="0.3">
      <c r="A193" s="63"/>
      <c r="B193" s="61" t="str">
        <f t="shared" si="6"/>
        <v>KRWA1009 LCLS Curncy</v>
      </c>
      <c r="C193" s="61" t="str">
        <f t="shared" si="6"/>
        <v>KRWK1009 LCLS Curncy</v>
      </c>
      <c r="D193" s="61" t="str">
        <f t="shared" si="6"/>
        <v>KRWL1009 LCLS Curncy</v>
      </c>
      <c r="E193" s="61" t="str">
        <f t="shared" si="6"/>
        <v>KRWB1009 LCLS Curncy</v>
      </c>
      <c r="F193" s="61" t="str">
        <f t="shared" si="6"/>
        <v>KRWM1009 LCLS Curncy</v>
      </c>
      <c r="G193" s="61" t="str">
        <f t="shared" si="6"/>
        <v>KRWN1009 LCLS Curncy</v>
      </c>
      <c r="H193" s="61" t="str">
        <f t="shared" si="6"/>
        <v>KRWO1009 LCLS Curncy</v>
      </c>
      <c r="I193" s="61" t="str">
        <f t="shared" si="6"/>
        <v>KRWP1009 LCLS Curncy</v>
      </c>
      <c r="J193" s="61" t="str">
        <f t="shared" si="6"/>
        <v>KRWC1009 LCLS Curncy</v>
      </c>
      <c r="K193" s="61" t="str">
        <f t="shared" si="6"/>
        <v>KRWQ1009 LCLS Curncy</v>
      </c>
      <c r="L193" s="61" t="str">
        <f t="shared" si="6"/>
        <v>KRWR1009 LCLS Curncy</v>
      </c>
      <c r="M193" s="61" t="str">
        <f t="shared" si="6"/>
        <v>KRWD1009 LCLS Curncy</v>
      </c>
      <c r="N193" s="61" t="str">
        <f t="shared" si="6"/>
        <v>KRWD1009 LCLS Curncy</v>
      </c>
      <c r="O193" s="61" t="str">
        <f t="shared" si="6"/>
        <v xml:space="preserve"> LCLS Curncy</v>
      </c>
      <c r="Q193" s="61" t="str">
        <f>_xll.BDH(B193,$Q$2,$Q$1,$Q$1)</f>
        <v>#N/A Invalid Security</v>
      </c>
      <c r="R193" s="61" t="str">
        <f>_xll.BDH(C193,$Q$2,$Q$1,$Q$1)</f>
        <v>#N/A Invalid Security</v>
      </c>
      <c r="S193" s="61" t="str">
        <f>_xll.BDH(D193,$Q$2,$Q$1,$Q$1)</f>
        <v>#N/A Invalid Security</v>
      </c>
      <c r="T193" s="61" t="str">
        <f>_xll.BDH(E193,$Q$2,$Q$1,$Q$1)</f>
        <v>#N/A Invalid Security</v>
      </c>
      <c r="U193" s="61" t="str">
        <f>_xll.BDH(F193,$Q$2,$Q$1,$Q$1)</f>
        <v>#N/A Invalid Security</v>
      </c>
      <c r="V193" s="61" t="str">
        <f>_xll.BDH(G193,$Q$2,$Q$1,$Q$1)</f>
        <v>#N/A Invalid Security</v>
      </c>
      <c r="W193" s="61" t="str">
        <f>_xll.BDH(H193,$Q$2,$Q$1,$Q$1)</f>
        <v>#N/A Invalid Security</v>
      </c>
      <c r="X193" s="61" t="str">
        <f>_xll.BDH(I193,$Q$2,$Q$1,$Q$1)</f>
        <v>#N/A Invalid Security</v>
      </c>
      <c r="Y193" s="61" t="str">
        <f>_xll.BDH(J193,$Q$2,$Q$1,$Q$1)</f>
        <v>#N/A Invalid Security</v>
      </c>
      <c r="Z193" s="61" t="str">
        <f>_xll.BDH(K193,$Q$2,$Q$1,$Q$1)</f>
        <v>#N/A Invalid Security</v>
      </c>
      <c r="AA193" s="61" t="str">
        <f>_xll.BDH(L193,$Q$2,$Q$1,$Q$1)</f>
        <v>#N/A Invalid Security</v>
      </c>
      <c r="AB193" s="61" t="str">
        <f>_xll.BDH(M193,$Q$2,$Q$1,$Q$1)</f>
        <v>#N/A Invalid Security</v>
      </c>
      <c r="AC193" s="61" t="str">
        <f>_xll.BDH(N193,$Q$2,$Q$1,$Q$1)</f>
        <v>#N/A Invalid Security</v>
      </c>
      <c r="AD193" s="61" t="str">
        <f>_xll.BDH(P193,$Q$2,$Q$1,$Q$1)</f>
        <v>#N/A Mandatory parameter [SECURITY] cannot be empty</v>
      </c>
      <c r="AE193" s="61" t="str">
        <f>_xll.BDH(Q193,$Q$2,$Q$1,$Q$1)</f>
        <v>#N/A Invalid Security</v>
      </c>
      <c r="AF193" s="61" t="str">
        <f>_xll.BDH(R193,$Q$2,$Q$1,$Q$1)</f>
        <v>#N/A Invalid Security</v>
      </c>
    </row>
    <row r="194" spans="1:32" ht="16.5" x14ac:dyDescent="0.3">
      <c r="A194" s="63"/>
      <c r="B194" s="61" t="str">
        <f t="shared" si="6"/>
        <v>KRWA1010 LCLS Curncy</v>
      </c>
      <c r="C194" s="61" t="str">
        <f t="shared" si="6"/>
        <v>KRWK1010 LCLS Curncy</v>
      </c>
      <c r="D194" s="61" t="str">
        <f t="shared" si="6"/>
        <v>KRWL1010 LCLS Curncy</v>
      </c>
      <c r="E194" s="61" t="str">
        <f t="shared" si="6"/>
        <v>KRWB1010 LCLS Curncy</v>
      </c>
      <c r="F194" s="61" t="str">
        <f t="shared" si="6"/>
        <v>KRWM1010 LCLS Curncy</v>
      </c>
      <c r="G194" s="61" t="str">
        <f t="shared" si="6"/>
        <v>KRWN1010 LCLS Curncy</v>
      </c>
      <c r="H194" s="61" t="str">
        <f t="shared" ref="C194:O209" si="7">H85&amp;" LCLS Curncy"</f>
        <v>KRWO1010 LCLS Curncy</v>
      </c>
      <c r="I194" s="61" t="str">
        <f t="shared" si="7"/>
        <v>KRWP1010 LCLS Curncy</v>
      </c>
      <c r="J194" s="61" t="str">
        <f t="shared" si="7"/>
        <v>KRWC1010 LCLS Curncy</v>
      </c>
      <c r="K194" s="61" t="str">
        <f t="shared" si="7"/>
        <v>KRWQ1010 LCLS Curncy</v>
      </c>
      <c r="L194" s="61" t="str">
        <f t="shared" si="7"/>
        <v>KRWR1010 LCLS Curncy</v>
      </c>
      <c r="M194" s="61" t="str">
        <f t="shared" si="7"/>
        <v>KRWD1010 LCLS Curncy</v>
      </c>
      <c r="N194" s="61" t="str">
        <f t="shared" si="7"/>
        <v>KRWD1010 LCLS Curncy</v>
      </c>
      <c r="O194" s="61" t="str">
        <f t="shared" si="7"/>
        <v xml:space="preserve"> LCLS Curncy</v>
      </c>
      <c r="Q194" s="61" t="str">
        <f>_xll.BDH(B194,$Q$2,$Q$1,$Q$1)</f>
        <v>#N/A Invalid Security</v>
      </c>
      <c r="R194" s="61" t="str">
        <f>_xll.BDH(C194,$Q$2,$Q$1,$Q$1)</f>
        <v>#N/A Invalid Security</v>
      </c>
      <c r="S194" s="61" t="str">
        <f>_xll.BDH(D194,$Q$2,$Q$1,$Q$1)</f>
        <v>#N/A Invalid Security</v>
      </c>
      <c r="T194" s="61" t="str">
        <f>_xll.BDH(E194,$Q$2,$Q$1,$Q$1)</f>
        <v>#N/A Invalid Security</v>
      </c>
      <c r="U194" s="61" t="str">
        <f>_xll.BDH(F194,$Q$2,$Q$1,$Q$1)</f>
        <v>#N/A Invalid Security</v>
      </c>
      <c r="V194" s="61" t="str">
        <f>_xll.BDH(G194,$Q$2,$Q$1,$Q$1)</f>
        <v>#N/A Invalid Security</v>
      </c>
      <c r="W194" s="61" t="str">
        <f>_xll.BDH(H194,$Q$2,$Q$1,$Q$1)</f>
        <v>#N/A Invalid Security</v>
      </c>
      <c r="X194" s="61" t="str">
        <f>_xll.BDH(I194,$Q$2,$Q$1,$Q$1)</f>
        <v>#N/A Invalid Security</v>
      </c>
      <c r="Y194" s="61" t="str">
        <f>_xll.BDH(J194,$Q$2,$Q$1,$Q$1)</f>
        <v>#N/A Invalid Security</v>
      </c>
      <c r="Z194" s="61" t="str">
        <f>_xll.BDH(K194,$Q$2,$Q$1,$Q$1)</f>
        <v>#N/A Invalid Security</v>
      </c>
      <c r="AA194" s="61" t="str">
        <f>_xll.BDH(L194,$Q$2,$Q$1,$Q$1)</f>
        <v>#N/A Invalid Security</v>
      </c>
      <c r="AB194" s="61" t="str">
        <f>_xll.BDH(M194,$Q$2,$Q$1,$Q$1)</f>
        <v>#N/A Invalid Security</v>
      </c>
      <c r="AC194" s="61" t="str">
        <f>_xll.BDH(N194,$Q$2,$Q$1,$Q$1)</f>
        <v>#N/A Invalid Security</v>
      </c>
      <c r="AD194" s="61" t="str">
        <f>_xll.BDH(P194,$Q$2,$Q$1,$Q$1)</f>
        <v>#N/A Mandatory parameter [SECURITY] cannot be empty</v>
      </c>
      <c r="AE194" s="61" t="str">
        <f>_xll.BDH(Q194,$Q$2,$Q$1,$Q$1)</f>
        <v>#N/A Invalid Security</v>
      </c>
      <c r="AF194" s="61" t="str">
        <f>_xll.BDH(R194,$Q$2,$Q$1,$Q$1)</f>
        <v>#N/A Invalid Security</v>
      </c>
    </row>
    <row r="195" spans="1:32" ht="16.5" x14ac:dyDescent="0.3">
      <c r="A195" s="63"/>
      <c r="B195" s="61" t="str">
        <f t="shared" si="6"/>
        <v>KRWA1015 LCLS Curncy</v>
      </c>
      <c r="C195" s="61" t="str">
        <f t="shared" si="7"/>
        <v>KRWK1015 LCLS Curncy</v>
      </c>
      <c r="D195" s="61" t="str">
        <f t="shared" si="7"/>
        <v>KRWL1015 LCLS Curncy</v>
      </c>
      <c r="E195" s="61" t="str">
        <f t="shared" si="7"/>
        <v>KRWB1015 LCLS Curncy</v>
      </c>
      <c r="F195" s="61" t="str">
        <f t="shared" si="7"/>
        <v>KRWM1015 LCLS Curncy</v>
      </c>
      <c r="G195" s="61" t="str">
        <f t="shared" si="7"/>
        <v>KRWN1015 LCLS Curncy</v>
      </c>
      <c r="H195" s="61" t="str">
        <f t="shared" si="7"/>
        <v>KRWO1015 LCLS Curncy</v>
      </c>
      <c r="I195" s="61" t="str">
        <f t="shared" si="7"/>
        <v>KRWP1015 LCLS Curncy</v>
      </c>
      <c r="J195" s="61" t="str">
        <f t="shared" si="7"/>
        <v>KRWC1015 LCLS Curncy</v>
      </c>
      <c r="K195" s="61" t="str">
        <f t="shared" si="7"/>
        <v>KRWQ1015 LCLS Curncy</v>
      </c>
      <c r="L195" s="61" t="str">
        <f t="shared" si="7"/>
        <v>KRWR1015 LCLS Curncy</v>
      </c>
      <c r="M195" s="61" t="str">
        <f t="shared" si="7"/>
        <v>KRWD1015 LCLS Curncy</v>
      </c>
      <c r="N195" s="61" t="str">
        <f t="shared" si="7"/>
        <v>KRWD1015 LCLS Curncy</v>
      </c>
      <c r="O195" s="61" t="str">
        <f t="shared" si="7"/>
        <v xml:space="preserve"> LCLS Curncy</v>
      </c>
      <c r="Q195" s="61" t="str">
        <f>_xll.BDH(B195,$Q$2,$Q$1,$Q$1)</f>
        <v>#N/A Invalid Security</v>
      </c>
      <c r="R195" s="61" t="str">
        <f>_xll.BDH(C195,$Q$2,$Q$1,$Q$1)</f>
        <v>#N/A Invalid Security</v>
      </c>
      <c r="S195" s="61" t="str">
        <f>_xll.BDH(D195,$Q$2,$Q$1,$Q$1)</f>
        <v>#N/A Invalid Security</v>
      </c>
      <c r="T195" s="61" t="str">
        <f>_xll.BDH(E195,$Q$2,$Q$1,$Q$1)</f>
        <v>#N/A Invalid Security</v>
      </c>
      <c r="U195" s="61" t="str">
        <f>_xll.BDH(F195,$Q$2,$Q$1,$Q$1)</f>
        <v>#N/A Invalid Security</v>
      </c>
      <c r="V195" s="61" t="str">
        <f>_xll.BDH(G195,$Q$2,$Q$1,$Q$1)</f>
        <v>#N/A Invalid Security</v>
      </c>
      <c r="W195" s="61" t="str">
        <f>_xll.BDH(H195,$Q$2,$Q$1,$Q$1)</f>
        <v>#N/A Invalid Security</v>
      </c>
      <c r="X195" s="61" t="str">
        <f>_xll.BDH(I195,$Q$2,$Q$1,$Q$1)</f>
        <v>#N/A Invalid Security</v>
      </c>
      <c r="Y195" s="61" t="str">
        <f>_xll.BDH(J195,$Q$2,$Q$1,$Q$1)</f>
        <v>#N/A Invalid Security</v>
      </c>
      <c r="Z195" s="61" t="str">
        <f>_xll.BDH(K195,$Q$2,$Q$1,$Q$1)</f>
        <v>#N/A Invalid Security</v>
      </c>
      <c r="AA195" s="61" t="str">
        <f>_xll.BDH(L195,$Q$2,$Q$1,$Q$1)</f>
        <v>#N/A Invalid Security</v>
      </c>
      <c r="AB195" s="61" t="str">
        <f>_xll.BDH(M195,$Q$2,$Q$1,$Q$1)</f>
        <v>#N/A Invalid Security</v>
      </c>
      <c r="AC195" s="61" t="str">
        <f>_xll.BDH(N195,$Q$2,$Q$1,$Q$1)</f>
        <v>#N/A Invalid Security</v>
      </c>
      <c r="AD195" s="61" t="str">
        <f>_xll.BDH(P195,$Q$2,$Q$1,$Q$1)</f>
        <v>#N/A Mandatory parameter [SECURITY] cannot be empty</v>
      </c>
      <c r="AE195" s="61" t="str">
        <f>_xll.BDH(Q195,$Q$2,$Q$1,$Q$1)</f>
        <v>#N/A Invalid Security</v>
      </c>
      <c r="AF195" s="61" t="str">
        <f>_xll.BDH(R195,$Q$2,$Q$1,$Q$1)</f>
        <v>#N/A Invalid Security</v>
      </c>
    </row>
    <row r="196" spans="1:32" ht="16.5" x14ac:dyDescent="0.3">
      <c r="A196" s="63"/>
      <c r="B196" s="61" t="str">
        <f t="shared" si="6"/>
        <v>KRWA1020 LCLS Curncy</v>
      </c>
      <c r="C196" s="61" t="str">
        <f t="shared" si="7"/>
        <v>KRWK1020 LCLS Curncy</v>
      </c>
      <c r="D196" s="61" t="str">
        <f t="shared" si="7"/>
        <v>KRWL1020 LCLS Curncy</v>
      </c>
      <c r="E196" s="61" t="str">
        <f t="shared" si="7"/>
        <v>KRWB1020 LCLS Curncy</v>
      </c>
      <c r="F196" s="61" t="str">
        <f t="shared" si="7"/>
        <v>KRWM1020 LCLS Curncy</v>
      </c>
      <c r="G196" s="61" t="str">
        <f t="shared" si="7"/>
        <v>KRWN1020 LCLS Curncy</v>
      </c>
      <c r="H196" s="61" t="str">
        <f t="shared" si="7"/>
        <v>KRWO1020 LCLS Curncy</v>
      </c>
      <c r="I196" s="61" t="str">
        <f t="shared" si="7"/>
        <v>KRWP1020 LCLS Curncy</v>
      </c>
      <c r="J196" s="61" t="str">
        <f t="shared" si="7"/>
        <v>KRWC1020 LCLS Curncy</v>
      </c>
      <c r="K196" s="61" t="str">
        <f t="shared" si="7"/>
        <v>KRWQ1020 LCLS Curncy</v>
      </c>
      <c r="L196" s="61" t="str">
        <f t="shared" si="7"/>
        <v>KRWR1020 LCLS Curncy</v>
      </c>
      <c r="M196" s="61" t="str">
        <f t="shared" si="7"/>
        <v>KRWD1020 LCLS Curncy</v>
      </c>
      <c r="N196" s="61" t="str">
        <f t="shared" si="7"/>
        <v>KRWD1020 LCLS Curncy</v>
      </c>
      <c r="O196" s="61" t="str">
        <f t="shared" si="7"/>
        <v xml:space="preserve"> LCLS Curncy</v>
      </c>
      <c r="Q196" s="61" t="str">
        <f>_xll.BDH(B196,$Q$2,$Q$1,$Q$1)</f>
        <v>#N/A Invalid Security</v>
      </c>
      <c r="R196" s="61" t="str">
        <f>_xll.BDH(C196,$Q$2,$Q$1,$Q$1)</f>
        <v>#N/A Invalid Security</v>
      </c>
      <c r="S196" s="61" t="str">
        <f>_xll.BDH(D196,$Q$2,$Q$1,$Q$1)</f>
        <v>#N/A Invalid Security</v>
      </c>
      <c r="T196" s="61" t="str">
        <f>_xll.BDH(E196,$Q$2,$Q$1,$Q$1)</f>
        <v>#N/A Invalid Security</v>
      </c>
      <c r="U196" s="61" t="str">
        <f>_xll.BDH(F196,$Q$2,$Q$1,$Q$1)</f>
        <v>#N/A Invalid Security</v>
      </c>
      <c r="V196" s="61" t="str">
        <f>_xll.BDH(G196,$Q$2,$Q$1,$Q$1)</f>
        <v>#N/A Invalid Security</v>
      </c>
      <c r="W196" s="61" t="str">
        <f>_xll.BDH(H196,$Q$2,$Q$1,$Q$1)</f>
        <v>#N/A Invalid Security</v>
      </c>
      <c r="X196" s="61" t="str">
        <f>_xll.BDH(I196,$Q$2,$Q$1,$Q$1)</f>
        <v>#N/A Invalid Security</v>
      </c>
      <c r="Y196" s="61" t="str">
        <f>_xll.BDH(J196,$Q$2,$Q$1,$Q$1)</f>
        <v>#N/A Invalid Security</v>
      </c>
      <c r="Z196" s="61" t="str">
        <f>_xll.BDH(K196,$Q$2,$Q$1,$Q$1)</f>
        <v>#N/A Invalid Security</v>
      </c>
      <c r="AA196" s="61" t="str">
        <f>_xll.BDH(L196,$Q$2,$Q$1,$Q$1)</f>
        <v>#N/A Invalid Security</v>
      </c>
      <c r="AB196" s="61" t="str">
        <f>_xll.BDH(M196,$Q$2,$Q$1,$Q$1)</f>
        <v>#N/A Invalid Security</v>
      </c>
      <c r="AC196" s="61" t="str">
        <f>_xll.BDH(N196,$Q$2,$Q$1,$Q$1)</f>
        <v>#N/A Invalid Security</v>
      </c>
      <c r="AD196" s="61" t="str">
        <f>_xll.BDH(P196,$Q$2,$Q$1,$Q$1)</f>
        <v>#N/A Mandatory parameter [SECURITY] cannot be empty</v>
      </c>
      <c r="AE196" s="61" t="str">
        <f>_xll.BDH(Q196,$Q$2,$Q$1,$Q$1)</f>
        <v>#N/A Invalid Security</v>
      </c>
      <c r="AF196" s="61" t="str">
        <f>_xll.BDH(R196,$Q$2,$Q$1,$Q$1)</f>
        <v>#N/A Invalid Security</v>
      </c>
    </row>
    <row r="197" spans="1:32" ht="16.5" x14ac:dyDescent="0.3">
      <c r="A197" s="63"/>
      <c r="B197" s="61" t="str">
        <f t="shared" si="6"/>
        <v>KRWA1501 LCLS Curncy</v>
      </c>
      <c r="C197" s="61" t="str">
        <f t="shared" si="7"/>
        <v>KRWK1501 LCLS Curncy</v>
      </c>
      <c r="D197" s="61" t="str">
        <f t="shared" si="7"/>
        <v>KRWL1501 LCLS Curncy</v>
      </c>
      <c r="E197" s="61" t="str">
        <f t="shared" si="7"/>
        <v>KRWB1501 LCLS Curncy</v>
      </c>
      <c r="F197" s="61" t="str">
        <f t="shared" si="7"/>
        <v>KRWM1501 LCLS Curncy</v>
      </c>
      <c r="G197" s="61" t="str">
        <f t="shared" si="7"/>
        <v>KRWN1501 LCLS Curncy</v>
      </c>
      <c r="H197" s="61" t="str">
        <f t="shared" si="7"/>
        <v>KRWO1501 LCLS Curncy</v>
      </c>
      <c r="I197" s="61" t="str">
        <f t="shared" si="7"/>
        <v>KRWP1501 LCLS Curncy</v>
      </c>
      <c r="J197" s="61" t="str">
        <f t="shared" si="7"/>
        <v>KRWC1501 LCLS Curncy</v>
      </c>
      <c r="K197" s="61" t="str">
        <f t="shared" si="7"/>
        <v>KRWQ1501 LCLS Curncy</v>
      </c>
      <c r="L197" s="61" t="str">
        <f t="shared" si="7"/>
        <v>KRWR1501 LCLS Curncy</v>
      </c>
      <c r="M197" s="61" t="str">
        <f t="shared" si="7"/>
        <v>KRWD1501 LCLS Curncy</v>
      </c>
      <c r="N197" s="61" t="str">
        <f t="shared" si="7"/>
        <v>KRWD1501 LCLS Curncy</v>
      </c>
      <c r="O197" s="61" t="str">
        <f t="shared" si="7"/>
        <v xml:space="preserve"> LCLS Curncy</v>
      </c>
      <c r="Q197" s="61" t="str">
        <f>_xll.BDH(B197,$Q$2,$Q$1,$Q$1)</f>
        <v>#N/A Invalid Security</v>
      </c>
      <c r="R197" s="61" t="str">
        <f>_xll.BDH(C197,$Q$2,$Q$1,$Q$1)</f>
        <v>#N/A Invalid Security</v>
      </c>
      <c r="S197" s="61" t="str">
        <f>_xll.BDH(D197,$Q$2,$Q$1,$Q$1)</f>
        <v>#N/A Invalid Security</v>
      </c>
      <c r="T197" s="61" t="str">
        <f>_xll.BDH(E197,$Q$2,$Q$1,$Q$1)</f>
        <v>#N/A Invalid Security</v>
      </c>
      <c r="U197" s="61" t="str">
        <f>_xll.BDH(F197,$Q$2,$Q$1,$Q$1)</f>
        <v>#N/A Invalid Security</v>
      </c>
      <c r="V197" s="61" t="str">
        <f>_xll.BDH(G197,$Q$2,$Q$1,$Q$1)</f>
        <v>#N/A Invalid Security</v>
      </c>
      <c r="W197" s="61" t="str">
        <f>_xll.BDH(H197,$Q$2,$Q$1,$Q$1)</f>
        <v>#N/A Invalid Security</v>
      </c>
      <c r="X197" s="61" t="str">
        <f>_xll.BDH(I197,$Q$2,$Q$1,$Q$1)</f>
        <v>#N/A Invalid Security</v>
      </c>
      <c r="Y197" s="61" t="str">
        <f>_xll.BDH(J197,$Q$2,$Q$1,$Q$1)</f>
        <v>#N/A Invalid Security</v>
      </c>
      <c r="Z197" s="61" t="str">
        <f>_xll.BDH(K197,$Q$2,$Q$1,$Q$1)</f>
        <v>#N/A Invalid Security</v>
      </c>
      <c r="AA197" s="61" t="str">
        <f>_xll.BDH(L197,$Q$2,$Q$1,$Q$1)</f>
        <v>#N/A Invalid Security</v>
      </c>
      <c r="AB197" s="61" t="str">
        <f>_xll.BDH(M197,$Q$2,$Q$1,$Q$1)</f>
        <v>#N/A Invalid Security</v>
      </c>
      <c r="AC197" s="61" t="str">
        <f>_xll.BDH(N197,$Q$2,$Q$1,$Q$1)</f>
        <v>#N/A Invalid Security</v>
      </c>
      <c r="AD197" s="61" t="str">
        <f>_xll.BDH(P197,$Q$2,$Q$1,$Q$1)</f>
        <v>#N/A Mandatory parameter [SECURITY] cannot be empty</v>
      </c>
      <c r="AE197" s="61" t="str">
        <f>_xll.BDH(Q197,$Q$2,$Q$1,$Q$1)</f>
        <v>#N/A Invalid Security</v>
      </c>
      <c r="AF197" s="61" t="str">
        <f>_xll.BDH(R197,$Q$2,$Q$1,$Q$1)</f>
        <v>#N/A Invalid Security</v>
      </c>
    </row>
    <row r="198" spans="1:32" ht="16.5" x14ac:dyDescent="0.3">
      <c r="A198" s="63"/>
      <c r="B198" s="61" t="str">
        <f t="shared" si="6"/>
        <v>KRWA1502 LCLS Curncy</v>
      </c>
      <c r="C198" s="61" t="str">
        <f t="shared" si="7"/>
        <v>KRWK1502 LCLS Curncy</v>
      </c>
      <c r="D198" s="61" t="str">
        <f t="shared" si="7"/>
        <v>KRWL1502 LCLS Curncy</v>
      </c>
      <c r="E198" s="61" t="str">
        <f t="shared" si="7"/>
        <v>KRWB1502 LCLS Curncy</v>
      </c>
      <c r="F198" s="61" t="str">
        <f t="shared" si="7"/>
        <v>KRWM1502 LCLS Curncy</v>
      </c>
      <c r="G198" s="61" t="str">
        <f t="shared" si="7"/>
        <v>KRWN1502 LCLS Curncy</v>
      </c>
      <c r="H198" s="61" t="str">
        <f t="shared" si="7"/>
        <v>KRWO1502 LCLS Curncy</v>
      </c>
      <c r="I198" s="61" t="str">
        <f t="shared" si="7"/>
        <v>KRWP1502 LCLS Curncy</v>
      </c>
      <c r="J198" s="61" t="str">
        <f t="shared" si="7"/>
        <v>KRWC1502 LCLS Curncy</v>
      </c>
      <c r="K198" s="61" t="str">
        <f t="shared" si="7"/>
        <v>KRWQ1502 LCLS Curncy</v>
      </c>
      <c r="L198" s="61" t="str">
        <f t="shared" si="7"/>
        <v>KRWR1502 LCLS Curncy</v>
      </c>
      <c r="M198" s="61" t="str">
        <f t="shared" si="7"/>
        <v>KRWD1502 LCLS Curncy</v>
      </c>
      <c r="N198" s="61" t="str">
        <f t="shared" si="7"/>
        <v>KRWD1502 LCLS Curncy</v>
      </c>
      <c r="O198" s="61" t="str">
        <f t="shared" si="7"/>
        <v xml:space="preserve"> LCLS Curncy</v>
      </c>
      <c r="Q198" s="61" t="str">
        <f>_xll.BDH(B198,$Q$2,$Q$1,$Q$1)</f>
        <v>#N/A Invalid Security</v>
      </c>
      <c r="R198" s="61" t="str">
        <f>_xll.BDH(C198,$Q$2,$Q$1,$Q$1)</f>
        <v>#N/A Invalid Security</v>
      </c>
      <c r="S198" s="61" t="str">
        <f>_xll.BDH(D198,$Q$2,$Q$1,$Q$1)</f>
        <v>#N/A Invalid Security</v>
      </c>
      <c r="T198" s="61" t="str">
        <f>_xll.BDH(E198,$Q$2,$Q$1,$Q$1)</f>
        <v>#N/A Invalid Security</v>
      </c>
      <c r="U198" s="61" t="str">
        <f>_xll.BDH(F198,$Q$2,$Q$1,$Q$1)</f>
        <v>#N/A Invalid Security</v>
      </c>
      <c r="V198" s="61" t="str">
        <f>_xll.BDH(G198,$Q$2,$Q$1,$Q$1)</f>
        <v>#N/A Invalid Security</v>
      </c>
      <c r="W198" s="61" t="str">
        <f>_xll.BDH(H198,$Q$2,$Q$1,$Q$1)</f>
        <v>#N/A Invalid Security</v>
      </c>
      <c r="X198" s="61" t="str">
        <f>_xll.BDH(I198,$Q$2,$Q$1,$Q$1)</f>
        <v>#N/A Invalid Security</v>
      </c>
      <c r="Y198" s="61" t="str">
        <f>_xll.BDH(J198,$Q$2,$Q$1,$Q$1)</f>
        <v>#N/A Invalid Security</v>
      </c>
      <c r="Z198" s="61" t="str">
        <f>_xll.BDH(K198,$Q$2,$Q$1,$Q$1)</f>
        <v>#N/A Invalid Security</v>
      </c>
      <c r="AA198" s="61" t="str">
        <f>_xll.BDH(L198,$Q$2,$Q$1,$Q$1)</f>
        <v>#N/A Invalid Security</v>
      </c>
      <c r="AB198" s="61" t="str">
        <f>_xll.BDH(M198,$Q$2,$Q$1,$Q$1)</f>
        <v>#N/A Invalid Security</v>
      </c>
      <c r="AC198" s="61" t="str">
        <f>_xll.BDH(N198,$Q$2,$Q$1,$Q$1)</f>
        <v>#N/A Invalid Security</v>
      </c>
      <c r="AD198" s="61" t="str">
        <f>_xll.BDH(P198,$Q$2,$Q$1,$Q$1)</f>
        <v>#N/A Mandatory parameter [SECURITY] cannot be empty</v>
      </c>
      <c r="AE198" s="61" t="str">
        <f>_xll.BDH(Q198,$Q$2,$Q$1,$Q$1)</f>
        <v>#N/A Invalid Security</v>
      </c>
      <c r="AF198" s="61" t="str">
        <f>_xll.BDH(R198,$Q$2,$Q$1,$Q$1)</f>
        <v>#N/A Invalid Security</v>
      </c>
    </row>
    <row r="199" spans="1:32" ht="16.5" x14ac:dyDescent="0.3">
      <c r="A199" s="63"/>
      <c r="B199" s="61" t="str">
        <f t="shared" si="6"/>
        <v>KRWA1503 LCLS Curncy</v>
      </c>
      <c r="C199" s="61" t="str">
        <f t="shared" si="7"/>
        <v>KRWK1503 LCLS Curncy</v>
      </c>
      <c r="D199" s="61" t="str">
        <f t="shared" si="7"/>
        <v>KRWL1503 LCLS Curncy</v>
      </c>
      <c r="E199" s="61" t="str">
        <f t="shared" si="7"/>
        <v>KRWB1503 LCLS Curncy</v>
      </c>
      <c r="F199" s="61" t="str">
        <f t="shared" si="7"/>
        <v>KRWM1503 LCLS Curncy</v>
      </c>
      <c r="G199" s="61" t="str">
        <f t="shared" si="7"/>
        <v>KRWN1503 LCLS Curncy</v>
      </c>
      <c r="H199" s="61" t="str">
        <f t="shared" si="7"/>
        <v>KRWO1503 LCLS Curncy</v>
      </c>
      <c r="I199" s="61" t="str">
        <f t="shared" si="7"/>
        <v>KRWP1503 LCLS Curncy</v>
      </c>
      <c r="J199" s="61" t="str">
        <f t="shared" si="7"/>
        <v>KRWC1503 LCLS Curncy</v>
      </c>
      <c r="K199" s="61" t="str">
        <f t="shared" si="7"/>
        <v>KRWQ1503 LCLS Curncy</v>
      </c>
      <c r="L199" s="61" t="str">
        <f t="shared" si="7"/>
        <v>KRWR1503 LCLS Curncy</v>
      </c>
      <c r="M199" s="61" t="str">
        <f t="shared" si="7"/>
        <v>KRWD1503 LCLS Curncy</v>
      </c>
      <c r="N199" s="61" t="str">
        <f t="shared" si="7"/>
        <v>KRWD1503 LCLS Curncy</v>
      </c>
      <c r="O199" s="61" t="str">
        <f t="shared" si="7"/>
        <v xml:space="preserve"> LCLS Curncy</v>
      </c>
      <c r="Q199" s="61" t="str">
        <f>_xll.BDH(B199,$Q$2,$Q$1,$Q$1)</f>
        <v>#N/A Invalid Security</v>
      </c>
      <c r="R199" s="61" t="str">
        <f>_xll.BDH(C199,$Q$2,$Q$1,$Q$1)</f>
        <v>#N/A Invalid Security</v>
      </c>
      <c r="S199" s="61" t="str">
        <f>_xll.BDH(D199,$Q$2,$Q$1,$Q$1)</f>
        <v>#N/A Invalid Security</v>
      </c>
      <c r="T199" s="61" t="str">
        <f>_xll.BDH(E199,$Q$2,$Q$1,$Q$1)</f>
        <v>#N/A Invalid Security</v>
      </c>
      <c r="U199" s="61" t="str">
        <f>_xll.BDH(F199,$Q$2,$Q$1,$Q$1)</f>
        <v>#N/A Invalid Security</v>
      </c>
      <c r="V199" s="61" t="str">
        <f>_xll.BDH(G199,$Q$2,$Q$1,$Q$1)</f>
        <v>#N/A Invalid Security</v>
      </c>
      <c r="W199" s="61" t="str">
        <f>_xll.BDH(H199,$Q$2,$Q$1,$Q$1)</f>
        <v>#N/A Invalid Security</v>
      </c>
      <c r="X199" s="61" t="str">
        <f>_xll.BDH(I199,$Q$2,$Q$1,$Q$1)</f>
        <v>#N/A Invalid Security</v>
      </c>
      <c r="Y199" s="61" t="str">
        <f>_xll.BDH(J199,$Q$2,$Q$1,$Q$1)</f>
        <v>#N/A Invalid Security</v>
      </c>
      <c r="Z199" s="61" t="str">
        <f>_xll.BDH(K199,$Q$2,$Q$1,$Q$1)</f>
        <v>#N/A Invalid Security</v>
      </c>
      <c r="AA199" s="61" t="str">
        <f>_xll.BDH(L199,$Q$2,$Q$1,$Q$1)</f>
        <v>#N/A Invalid Security</v>
      </c>
      <c r="AB199" s="61" t="str">
        <f>_xll.BDH(M199,$Q$2,$Q$1,$Q$1)</f>
        <v>#N/A Invalid Security</v>
      </c>
      <c r="AC199" s="61" t="str">
        <f>_xll.BDH(N199,$Q$2,$Q$1,$Q$1)</f>
        <v>#N/A Invalid Security</v>
      </c>
      <c r="AD199" s="61" t="str">
        <f>_xll.BDH(P199,$Q$2,$Q$1,$Q$1)</f>
        <v>#N/A Mandatory parameter [SECURITY] cannot be empty</v>
      </c>
      <c r="AE199" s="61" t="str">
        <f>_xll.BDH(Q199,$Q$2,$Q$1,$Q$1)</f>
        <v>#N/A Invalid Security</v>
      </c>
      <c r="AF199" s="61" t="str">
        <f>_xll.BDH(R199,$Q$2,$Q$1,$Q$1)</f>
        <v>#N/A Invalid Security</v>
      </c>
    </row>
    <row r="200" spans="1:32" ht="16.5" x14ac:dyDescent="0.3">
      <c r="A200" s="63"/>
      <c r="B200" s="61" t="str">
        <f t="shared" si="6"/>
        <v>KRWA1504 LCLS Curncy</v>
      </c>
      <c r="C200" s="61" t="str">
        <f t="shared" si="7"/>
        <v>KRWK1504 LCLS Curncy</v>
      </c>
      <c r="D200" s="61" t="str">
        <f t="shared" si="7"/>
        <v>KRWL1504 LCLS Curncy</v>
      </c>
      <c r="E200" s="61" t="str">
        <f t="shared" si="7"/>
        <v>KRWB1504 LCLS Curncy</v>
      </c>
      <c r="F200" s="61" t="str">
        <f t="shared" si="7"/>
        <v>KRWM1504 LCLS Curncy</v>
      </c>
      <c r="G200" s="61" t="str">
        <f t="shared" si="7"/>
        <v>KRWN1504 LCLS Curncy</v>
      </c>
      <c r="H200" s="61" t="str">
        <f t="shared" si="7"/>
        <v>KRWO1504 LCLS Curncy</v>
      </c>
      <c r="I200" s="61" t="str">
        <f t="shared" si="7"/>
        <v>KRWP1504 LCLS Curncy</v>
      </c>
      <c r="J200" s="61" t="str">
        <f t="shared" si="7"/>
        <v>KRWC1504 LCLS Curncy</v>
      </c>
      <c r="K200" s="61" t="str">
        <f t="shared" si="7"/>
        <v>KRWQ1504 LCLS Curncy</v>
      </c>
      <c r="L200" s="61" t="str">
        <f t="shared" si="7"/>
        <v>KRWR1504 LCLS Curncy</v>
      </c>
      <c r="M200" s="61" t="str">
        <f t="shared" si="7"/>
        <v>KRWD1504 LCLS Curncy</v>
      </c>
      <c r="N200" s="61" t="str">
        <f t="shared" si="7"/>
        <v>KRWD1504 LCLS Curncy</v>
      </c>
      <c r="O200" s="61" t="str">
        <f t="shared" si="7"/>
        <v xml:space="preserve"> LCLS Curncy</v>
      </c>
      <c r="Q200" s="61" t="str">
        <f>_xll.BDH(B200,$Q$2,$Q$1,$Q$1)</f>
        <v>#N/A Invalid Security</v>
      </c>
      <c r="R200" s="61" t="str">
        <f>_xll.BDH(C200,$Q$2,$Q$1,$Q$1)</f>
        <v>#N/A Invalid Security</v>
      </c>
      <c r="S200" s="61" t="str">
        <f>_xll.BDH(D200,$Q$2,$Q$1,$Q$1)</f>
        <v>#N/A Invalid Security</v>
      </c>
      <c r="T200" s="61" t="str">
        <f>_xll.BDH(E200,$Q$2,$Q$1,$Q$1)</f>
        <v>#N/A Invalid Security</v>
      </c>
      <c r="U200" s="61" t="str">
        <f>_xll.BDH(F200,$Q$2,$Q$1,$Q$1)</f>
        <v>#N/A Invalid Security</v>
      </c>
      <c r="V200" s="61" t="str">
        <f>_xll.BDH(G200,$Q$2,$Q$1,$Q$1)</f>
        <v>#N/A Invalid Security</v>
      </c>
      <c r="W200" s="61" t="str">
        <f>_xll.BDH(H200,$Q$2,$Q$1,$Q$1)</f>
        <v>#N/A Invalid Security</v>
      </c>
      <c r="X200" s="61" t="str">
        <f>_xll.BDH(I200,$Q$2,$Q$1,$Q$1)</f>
        <v>#N/A Invalid Security</v>
      </c>
      <c r="Y200" s="61" t="str">
        <f>_xll.BDH(J200,$Q$2,$Q$1,$Q$1)</f>
        <v>#N/A Invalid Security</v>
      </c>
      <c r="Z200" s="61" t="str">
        <f>_xll.BDH(K200,$Q$2,$Q$1,$Q$1)</f>
        <v>#N/A Invalid Security</v>
      </c>
      <c r="AA200" s="61" t="str">
        <f>_xll.BDH(L200,$Q$2,$Q$1,$Q$1)</f>
        <v>#N/A Invalid Security</v>
      </c>
      <c r="AB200" s="61" t="str">
        <f>_xll.BDH(M200,$Q$2,$Q$1,$Q$1)</f>
        <v>#N/A Invalid Security</v>
      </c>
      <c r="AC200" s="61" t="str">
        <f>_xll.BDH(N200,$Q$2,$Q$1,$Q$1)</f>
        <v>#N/A Invalid Security</v>
      </c>
      <c r="AD200" s="61" t="str">
        <f>_xll.BDH(P200,$Q$2,$Q$1,$Q$1)</f>
        <v>#N/A Mandatory parameter [SECURITY] cannot be empty</v>
      </c>
      <c r="AE200" s="61" t="str">
        <f>_xll.BDH(Q200,$Q$2,$Q$1,$Q$1)</f>
        <v>#N/A Invalid Security</v>
      </c>
      <c r="AF200" s="61" t="str">
        <f>_xll.BDH(R200,$Q$2,$Q$1,$Q$1)</f>
        <v>#N/A Invalid Security</v>
      </c>
    </row>
    <row r="201" spans="1:32" ht="16.5" x14ac:dyDescent="0.3">
      <c r="A201" s="63"/>
      <c r="B201" s="61" t="str">
        <f t="shared" si="6"/>
        <v>KRWA1505 LCLS Curncy</v>
      </c>
      <c r="C201" s="61" t="str">
        <f t="shared" si="7"/>
        <v>KRWK1505 LCLS Curncy</v>
      </c>
      <c r="D201" s="61" t="str">
        <f t="shared" si="7"/>
        <v>KRWL1505 LCLS Curncy</v>
      </c>
      <c r="E201" s="61" t="str">
        <f t="shared" si="7"/>
        <v>KRWB1505 LCLS Curncy</v>
      </c>
      <c r="F201" s="61" t="str">
        <f t="shared" si="7"/>
        <v>KRWM1505 LCLS Curncy</v>
      </c>
      <c r="G201" s="61" t="str">
        <f t="shared" si="7"/>
        <v>KRWN1505 LCLS Curncy</v>
      </c>
      <c r="H201" s="61" t="str">
        <f t="shared" si="7"/>
        <v>KRWO1505 LCLS Curncy</v>
      </c>
      <c r="I201" s="61" t="str">
        <f t="shared" si="7"/>
        <v>KRWP1505 LCLS Curncy</v>
      </c>
      <c r="J201" s="61" t="str">
        <f t="shared" si="7"/>
        <v>KRWC1505 LCLS Curncy</v>
      </c>
      <c r="K201" s="61" t="str">
        <f t="shared" si="7"/>
        <v>KRWQ1505 LCLS Curncy</v>
      </c>
      <c r="L201" s="61" t="str">
        <f t="shared" si="7"/>
        <v>KRWR1505 LCLS Curncy</v>
      </c>
      <c r="M201" s="61" t="str">
        <f t="shared" si="7"/>
        <v>KRWD1505 LCLS Curncy</v>
      </c>
      <c r="N201" s="61" t="str">
        <f t="shared" si="7"/>
        <v>KRWD1505 LCLS Curncy</v>
      </c>
      <c r="O201" s="61" t="str">
        <f t="shared" si="7"/>
        <v xml:space="preserve"> LCLS Curncy</v>
      </c>
      <c r="Q201" s="61" t="str">
        <f>_xll.BDH(B201,$Q$2,$Q$1,$Q$1)</f>
        <v>#N/A Invalid Security</v>
      </c>
      <c r="R201" s="61" t="str">
        <f>_xll.BDH(C201,$Q$2,$Q$1,$Q$1)</f>
        <v>#N/A Invalid Security</v>
      </c>
      <c r="S201" s="61" t="str">
        <f>_xll.BDH(D201,$Q$2,$Q$1,$Q$1)</f>
        <v>#N/A Invalid Security</v>
      </c>
      <c r="T201" s="61" t="str">
        <f>_xll.BDH(E201,$Q$2,$Q$1,$Q$1)</f>
        <v>#N/A Invalid Security</v>
      </c>
      <c r="U201" s="61" t="str">
        <f>_xll.BDH(F201,$Q$2,$Q$1,$Q$1)</f>
        <v>#N/A Invalid Security</v>
      </c>
      <c r="V201" s="61" t="str">
        <f>_xll.BDH(G201,$Q$2,$Q$1,$Q$1)</f>
        <v>#N/A Invalid Security</v>
      </c>
      <c r="W201" s="61" t="str">
        <f>_xll.BDH(H201,$Q$2,$Q$1,$Q$1)</f>
        <v>#N/A Invalid Security</v>
      </c>
      <c r="X201" s="61" t="str">
        <f>_xll.BDH(I201,$Q$2,$Q$1,$Q$1)</f>
        <v>#N/A Invalid Security</v>
      </c>
      <c r="Y201" s="61" t="str">
        <f>_xll.BDH(J201,$Q$2,$Q$1,$Q$1)</f>
        <v>#N/A Invalid Security</v>
      </c>
      <c r="Z201" s="61" t="str">
        <f>_xll.BDH(K201,$Q$2,$Q$1,$Q$1)</f>
        <v>#N/A Invalid Security</v>
      </c>
      <c r="AA201" s="61" t="str">
        <f>_xll.BDH(L201,$Q$2,$Q$1,$Q$1)</f>
        <v>#N/A Invalid Security</v>
      </c>
      <c r="AB201" s="61" t="str">
        <f>_xll.BDH(M201,$Q$2,$Q$1,$Q$1)</f>
        <v>#N/A Invalid Security</v>
      </c>
      <c r="AC201" s="61" t="str">
        <f>_xll.BDH(N201,$Q$2,$Q$1,$Q$1)</f>
        <v>#N/A Invalid Security</v>
      </c>
      <c r="AD201" s="61" t="str">
        <f>_xll.BDH(P201,$Q$2,$Q$1,$Q$1)</f>
        <v>#N/A Mandatory parameter [SECURITY] cannot be empty</v>
      </c>
      <c r="AE201" s="61" t="str">
        <f>_xll.BDH(Q201,$Q$2,$Q$1,$Q$1)</f>
        <v>#N/A Invalid Security</v>
      </c>
      <c r="AF201" s="61" t="str">
        <f>_xll.BDH(R201,$Q$2,$Q$1,$Q$1)</f>
        <v>#N/A Invalid Security</v>
      </c>
    </row>
    <row r="202" spans="1:32" ht="16.5" x14ac:dyDescent="0.3">
      <c r="A202" s="63"/>
      <c r="B202" s="61" t="str">
        <f t="shared" si="6"/>
        <v>KRWA1506 LCLS Curncy</v>
      </c>
      <c r="C202" s="61" t="str">
        <f t="shared" si="7"/>
        <v>KRWK1506 LCLS Curncy</v>
      </c>
      <c r="D202" s="61" t="str">
        <f t="shared" si="7"/>
        <v>KRWL1506 LCLS Curncy</v>
      </c>
      <c r="E202" s="61" t="str">
        <f t="shared" si="7"/>
        <v>KRWB1506 LCLS Curncy</v>
      </c>
      <c r="F202" s="61" t="str">
        <f t="shared" si="7"/>
        <v>KRWM1506 LCLS Curncy</v>
      </c>
      <c r="G202" s="61" t="str">
        <f t="shared" si="7"/>
        <v>KRWN1506 LCLS Curncy</v>
      </c>
      <c r="H202" s="61" t="str">
        <f t="shared" si="7"/>
        <v>KRWO1506 LCLS Curncy</v>
      </c>
      <c r="I202" s="61" t="str">
        <f t="shared" si="7"/>
        <v>KRWP1506 LCLS Curncy</v>
      </c>
      <c r="J202" s="61" t="str">
        <f t="shared" si="7"/>
        <v>KRWC1506 LCLS Curncy</v>
      </c>
      <c r="K202" s="61" t="str">
        <f t="shared" si="7"/>
        <v>KRWQ1506 LCLS Curncy</v>
      </c>
      <c r="L202" s="61" t="str">
        <f t="shared" si="7"/>
        <v>KRWR1506 LCLS Curncy</v>
      </c>
      <c r="M202" s="61" t="str">
        <f t="shared" si="7"/>
        <v>KRWD1506 LCLS Curncy</v>
      </c>
      <c r="N202" s="61" t="str">
        <f t="shared" si="7"/>
        <v>KRWD1506 LCLS Curncy</v>
      </c>
      <c r="O202" s="61" t="str">
        <f t="shared" si="7"/>
        <v xml:space="preserve"> LCLS Curncy</v>
      </c>
      <c r="Q202" s="61" t="str">
        <f>_xll.BDH(B202,$Q$2,$Q$1,$Q$1)</f>
        <v>#N/A Invalid Security</v>
      </c>
      <c r="R202" s="61" t="str">
        <f>_xll.BDH(C202,$Q$2,$Q$1,$Q$1)</f>
        <v>#N/A Invalid Security</v>
      </c>
      <c r="S202" s="61" t="str">
        <f>_xll.BDH(D202,$Q$2,$Q$1,$Q$1)</f>
        <v>#N/A Invalid Security</v>
      </c>
      <c r="T202" s="61" t="str">
        <f>_xll.BDH(E202,$Q$2,$Q$1,$Q$1)</f>
        <v>#N/A Invalid Security</v>
      </c>
      <c r="U202" s="61" t="str">
        <f>_xll.BDH(F202,$Q$2,$Q$1,$Q$1)</f>
        <v>#N/A Invalid Security</v>
      </c>
      <c r="V202" s="61" t="str">
        <f>_xll.BDH(G202,$Q$2,$Q$1,$Q$1)</f>
        <v>#N/A Invalid Security</v>
      </c>
      <c r="W202" s="61" t="str">
        <f>_xll.BDH(H202,$Q$2,$Q$1,$Q$1)</f>
        <v>#N/A Invalid Security</v>
      </c>
      <c r="X202" s="61" t="str">
        <f>_xll.BDH(I202,$Q$2,$Q$1,$Q$1)</f>
        <v>#N/A Invalid Security</v>
      </c>
      <c r="Y202" s="61" t="str">
        <f>_xll.BDH(J202,$Q$2,$Q$1,$Q$1)</f>
        <v>#N/A Invalid Security</v>
      </c>
      <c r="Z202" s="61" t="str">
        <f>_xll.BDH(K202,$Q$2,$Q$1,$Q$1)</f>
        <v>#N/A Invalid Security</v>
      </c>
      <c r="AA202" s="61" t="str">
        <f>_xll.BDH(L202,$Q$2,$Q$1,$Q$1)</f>
        <v>#N/A Invalid Security</v>
      </c>
      <c r="AB202" s="61" t="str">
        <f>_xll.BDH(M202,$Q$2,$Q$1,$Q$1)</f>
        <v>#N/A Invalid Security</v>
      </c>
      <c r="AC202" s="61" t="str">
        <f>_xll.BDH(N202,$Q$2,$Q$1,$Q$1)</f>
        <v>#N/A Invalid Security</v>
      </c>
      <c r="AD202" s="61" t="str">
        <f>_xll.BDH(P202,$Q$2,$Q$1,$Q$1)</f>
        <v>#N/A Mandatory parameter [SECURITY] cannot be empty</v>
      </c>
      <c r="AE202" s="61" t="str">
        <f>_xll.BDH(Q202,$Q$2,$Q$1,$Q$1)</f>
        <v>#N/A Invalid Security</v>
      </c>
      <c r="AF202" s="61" t="str">
        <f>_xll.BDH(R202,$Q$2,$Q$1,$Q$1)</f>
        <v>#N/A Invalid Security</v>
      </c>
    </row>
    <row r="203" spans="1:32" ht="16.5" x14ac:dyDescent="0.3">
      <c r="A203" s="63"/>
      <c r="B203" s="61" t="str">
        <f t="shared" si="6"/>
        <v>KRWA1507 LCLS Curncy</v>
      </c>
      <c r="C203" s="61" t="str">
        <f t="shared" si="7"/>
        <v>KRWK1507 LCLS Curncy</v>
      </c>
      <c r="D203" s="61" t="str">
        <f t="shared" si="7"/>
        <v>KRWL1507 LCLS Curncy</v>
      </c>
      <c r="E203" s="61" t="str">
        <f t="shared" si="7"/>
        <v>KRWB1507 LCLS Curncy</v>
      </c>
      <c r="F203" s="61" t="str">
        <f t="shared" si="7"/>
        <v>KRWM1507 LCLS Curncy</v>
      </c>
      <c r="G203" s="61" t="str">
        <f t="shared" si="7"/>
        <v>KRWN1507 LCLS Curncy</v>
      </c>
      <c r="H203" s="61" t="str">
        <f t="shared" si="7"/>
        <v>KRWO1507 LCLS Curncy</v>
      </c>
      <c r="I203" s="61" t="str">
        <f t="shared" si="7"/>
        <v>KRWP1507 LCLS Curncy</v>
      </c>
      <c r="J203" s="61" t="str">
        <f t="shared" si="7"/>
        <v>KRWC1507 LCLS Curncy</v>
      </c>
      <c r="K203" s="61" t="str">
        <f t="shared" si="7"/>
        <v>KRWQ1507 LCLS Curncy</v>
      </c>
      <c r="L203" s="61" t="str">
        <f t="shared" si="7"/>
        <v>KRWR1507 LCLS Curncy</v>
      </c>
      <c r="M203" s="61" t="str">
        <f t="shared" si="7"/>
        <v>KRWD1507 LCLS Curncy</v>
      </c>
      <c r="N203" s="61" t="str">
        <f t="shared" si="7"/>
        <v>KRWD1507 LCLS Curncy</v>
      </c>
      <c r="O203" s="61" t="str">
        <f t="shared" si="7"/>
        <v xml:space="preserve"> LCLS Curncy</v>
      </c>
      <c r="Q203" s="61" t="str">
        <f>_xll.BDH(B203,$Q$2,$Q$1,$Q$1)</f>
        <v>#N/A Invalid Security</v>
      </c>
      <c r="R203" s="61" t="str">
        <f>_xll.BDH(C203,$Q$2,$Q$1,$Q$1)</f>
        <v>#N/A Invalid Security</v>
      </c>
      <c r="S203" s="61" t="str">
        <f>_xll.BDH(D203,$Q$2,$Q$1,$Q$1)</f>
        <v>#N/A Invalid Security</v>
      </c>
      <c r="T203" s="61" t="str">
        <f>_xll.BDH(E203,$Q$2,$Q$1,$Q$1)</f>
        <v>#N/A Invalid Security</v>
      </c>
      <c r="U203" s="61" t="str">
        <f>_xll.BDH(F203,$Q$2,$Q$1,$Q$1)</f>
        <v>#N/A Invalid Security</v>
      </c>
      <c r="V203" s="61" t="str">
        <f>_xll.BDH(G203,$Q$2,$Q$1,$Q$1)</f>
        <v>#N/A Invalid Security</v>
      </c>
      <c r="W203" s="61" t="str">
        <f>_xll.BDH(H203,$Q$2,$Q$1,$Q$1)</f>
        <v>#N/A Invalid Security</v>
      </c>
      <c r="X203" s="61" t="str">
        <f>_xll.BDH(I203,$Q$2,$Q$1,$Q$1)</f>
        <v>#N/A Invalid Security</v>
      </c>
      <c r="Y203" s="61" t="str">
        <f>_xll.BDH(J203,$Q$2,$Q$1,$Q$1)</f>
        <v>#N/A Invalid Security</v>
      </c>
      <c r="Z203" s="61" t="str">
        <f>_xll.BDH(K203,$Q$2,$Q$1,$Q$1)</f>
        <v>#N/A Invalid Security</v>
      </c>
      <c r="AA203" s="61" t="str">
        <f>_xll.BDH(L203,$Q$2,$Q$1,$Q$1)</f>
        <v>#N/A Invalid Security</v>
      </c>
      <c r="AB203" s="61" t="str">
        <f>_xll.BDH(M203,$Q$2,$Q$1,$Q$1)</f>
        <v>#N/A Invalid Security</v>
      </c>
      <c r="AC203" s="61" t="str">
        <f>_xll.BDH(N203,$Q$2,$Q$1,$Q$1)</f>
        <v>#N/A Invalid Security</v>
      </c>
      <c r="AD203" s="61" t="str">
        <f>_xll.BDH(P203,$Q$2,$Q$1,$Q$1)</f>
        <v>#N/A Mandatory parameter [SECURITY] cannot be empty</v>
      </c>
      <c r="AE203" s="61" t="str">
        <f>_xll.BDH(Q203,$Q$2,$Q$1,$Q$1)</f>
        <v>#N/A Invalid Security</v>
      </c>
      <c r="AF203" s="61" t="str">
        <f>_xll.BDH(R203,$Q$2,$Q$1,$Q$1)</f>
        <v>#N/A Invalid Security</v>
      </c>
    </row>
    <row r="204" spans="1:32" ht="16.5" x14ac:dyDescent="0.3">
      <c r="A204" s="63"/>
      <c r="B204" s="61" t="str">
        <f t="shared" si="6"/>
        <v>KRWA1508 LCLS Curncy</v>
      </c>
      <c r="C204" s="61" t="str">
        <f t="shared" si="7"/>
        <v>KRWK1508 LCLS Curncy</v>
      </c>
      <c r="D204" s="61" t="str">
        <f t="shared" si="7"/>
        <v>KRWL1508 LCLS Curncy</v>
      </c>
      <c r="E204" s="61" t="str">
        <f t="shared" si="7"/>
        <v>KRWB1508 LCLS Curncy</v>
      </c>
      <c r="F204" s="61" t="str">
        <f t="shared" si="7"/>
        <v>KRWM1508 LCLS Curncy</v>
      </c>
      <c r="G204" s="61" t="str">
        <f t="shared" si="7"/>
        <v>KRWN1508 LCLS Curncy</v>
      </c>
      <c r="H204" s="61" t="str">
        <f t="shared" si="7"/>
        <v>KRWO1508 LCLS Curncy</v>
      </c>
      <c r="I204" s="61" t="str">
        <f t="shared" si="7"/>
        <v>KRWP1508 LCLS Curncy</v>
      </c>
      <c r="J204" s="61" t="str">
        <f t="shared" si="7"/>
        <v>KRWC1508 LCLS Curncy</v>
      </c>
      <c r="K204" s="61" t="str">
        <f t="shared" si="7"/>
        <v>KRWQ1508 LCLS Curncy</v>
      </c>
      <c r="L204" s="61" t="str">
        <f t="shared" si="7"/>
        <v>KRWR1508 LCLS Curncy</v>
      </c>
      <c r="M204" s="61" t="str">
        <f t="shared" si="7"/>
        <v>KRWD1508 LCLS Curncy</v>
      </c>
      <c r="N204" s="61" t="str">
        <f t="shared" si="7"/>
        <v>KRWD1508 LCLS Curncy</v>
      </c>
      <c r="O204" s="61" t="str">
        <f t="shared" si="7"/>
        <v xml:space="preserve"> LCLS Curncy</v>
      </c>
      <c r="Q204" s="61" t="str">
        <f>_xll.BDH(B204,$Q$2,$Q$1,$Q$1)</f>
        <v>#N/A Invalid Security</v>
      </c>
      <c r="R204" s="61" t="str">
        <f>_xll.BDH(C204,$Q$2,$Q$1,$Q$1)</f>
        <v>#N/A Invalid Security</v>
      </c>
      <c r="S204" s="61" t="str">
        <f>_xll.BDH(D204,$Q$2,$Q$1,$Q$1)</f>
        <v>#N/A Invalid Security</v>
      </c>
      <c r="T204" s="61" t="str">
        <f>_xll.BDH(E204,$Q$2,$Q$1,$Q$1)</f>
        <v>#N/A Invalid Security</v>
      </c>
      <c r="U204" s="61" t="str">
        <f>_xll.BDH(F204,$Q$2,$Q$1,$Q$1)</f>
        <v>#N/A Invalid Security</v>
      </c>
      <c r="V204" s="61" t="str">
        <f>_xll.BDH(G204,$Q$2,$Q$1,$Q$1)</f>
        <v>#N/A Invalid Security</v>
      </c>
      <c r="W204" s="61" t="str">
        <f>_xll.BDH(H204,$Q$2,$Q$1,$Q$1)</f>
        <v>#N/A Invalid Security</v>
      </c>
      <c r="X204" s="61" t="str">
        <f>_xll.BDH(I204,$Q$2,$Q$1,$Q$1)</f>
        <v>#N/A Invalid Security</v>
      </c>
      <c r="Y204" s="61" t="str">
        <f>_xll.BDH(J204,$Q$2,$Q$1,$Q$1)</f>
        <v>#N/A Invalid Security</v>
      </c>
      <c r="Z204" s="61" t="str">
        <f>_xll.BDH(K204,$Q$2,$Q$1,$Q$1)</f>
        <v>#N/A Invalid Security</v>
      </c>
      <c r="AA204" s="61" t="str">
        <f>_xll.BDH(L204,$Q$2,$Q$1,$Q$1)</f>
        <v>#N/A Invalid Security</v>
      </c>
      <c r="AB204" s="61" t="str">
        <f>_xll.BDH(M204,$Q$2,$Q$1,$Q$1)</f>
        <v>#N/A Invalid Security</v>
      </c>
      <c r="AC204" s="61" t="str">
        <f>_xll.BDH(N204,$Q$2,$Q$1,$Q$1)</f>
        <v>#N/A Invalid Security</v>
      </c>
      <c r="AD204" s="61" t="str">
        <f>_xll.BDH(P204,$Q$2,$Q$1,$Q$1)</f>
        <v>#N/A Mandatory parameter [SECURITY] cannot be empty</v>
      </c>
      <c r="AE204" s="61" t="str">
        <f>_xll.BDH(Q204,$Q$2,$Q$1,$Q$1)</f>
        <v>#N/A Invalid Security</v>
      </c>
      <c r="AF204" s="61" t="str">
        <f>_xll.BDH(R204,$Q$2,$Q$1,$Q$1)</f>
        <v>#N/A Invalid Security</v>
      </c>
    </row>
    <row r="205" spans="1:32" ht="16.5" x14ac:dyDescent="0.3">
      <c r="A205" s="63"/>
      <c r="B205" s="61" t="str">
        <f t="shared" si="6"/>
        <v>KRWA1509 LCLS Curncy</v>
      </c>
      <c r="C205" s="61" t="str">
        <f t="shared" si="7"/>
        <v>KRWK1509 LCLS Curncy</v>
      </c>
      <c r="D205" s="61" t="str">
        <f t="shared" si="7"/>
        <v>KRWL1509 LCLS Curncy</v>
      </c>
      <c r="E205" s="61" t="str">
        <f t="shared" si="7"/>
        <v>KRWB1509 LCLS Curncy</v>
      </c>
      <c r="F205" s="61" t="str">
        <f t="shared" si="7"/>
        <v>KRWM1509 LCLS Curncy</v>
      </c>
      <c r="G205" s="61" t="str">
        <f t="shared" si="7"/>
        <v>KRWN1509 LCLS Curncy</v>
      </c>
      <c r="H205" s="61" t="str">
        <f t="shared" si="7"/>
        <v>KRWO1509 LCLS Curncy</v>
      </c>
      <c r="I205" s="61" t="str">
        <f t="shared" si="7"/>
        <v>KRWP1509 LCLS Curncy</v>
      </c>
      <c r="J205" s="61" t="str">
        <f t="shared" si="7"/>
        <v>KRWC1509 LCLS Curncy</v>
      </c>
      <c r="K205" s="61" t="str">
        <f t="shared" si="7"/>
        <v>KRWQ1509 LCLS Curncy</v>
      </c>
      <c r="L205" s="61" t="str">
        <f t="shared" si="7"/>
        <v>KRWR1509 LCLS Curncy</v>
      </c>
      <c r="M205" s="61" t="str">
        <f t="shared" si="7"/>
        <v>KRWD1509 LCLS Curncy</v>
      </c>
      <c r="N205" s="61" t="str">
        <f t="shared" si="7"/>
        <v>KRWD1509 LCLS Curncy</v>
      </c>
      <c r="O205" s="61" t="str">
        <f t="shared" si="7"/>
        <v xml:space="preserve"> LCLS Curncy</v>
      </c>
      <c r="Q205" s="61" t="str">
        <f>_xll.BDH(B205,$Q$2,$Q$1,$Q$1)</f>
        <v>#N/A Invalid Security</v>
      </c>
      <c r="R205" s="61" t="str">
        <f>_xll.BDH(C205,$Q$2,$Q$1,$Q$1)</f>
        <v>#N/A Invalid Security</v>
      </c>
      <c r="S205" s="61" t="str">
        <f>_xll.BDH(D205,$Q$2,$Q$1,$Q$1)</f>
        <v>#N/A Invalid Security</v>
      </c>
      <c r="T205" s="61" t="str">
        <f>_xll.BDH(E205,$Q$2,$Q$1,$Q$1)</f>
        <v>#N/A Invalid Security</v>
      </c>
      <c r="U205" s="61" t="str">
        <f>_xll.BDH(F205,$Q$2,$Q$1,$Q$1)</f>
        <v>#N/A Invalid Security</v>
      </c>
      <c r="V205" s="61" t="str">
        <f>_xll.BDH(G205,$Q$2,$Q$1,$Q$1)</f>
        <v>#N/A Invalid Security</v>
      </c>
      <c r="W205" s="61" t="str">
        <f>_xll.BDH(H205,$Q$2,$Q$1,$Q$1)</f>
        <v>#N/A Invalid Security</v>
      </c>
      <c r="X205" s="61" t="str">
        <f>_xll.BDH(I205,$Q$2,$Q$1,$Q$1)</f>
        <v>#N/A Invalid Security</v>
      </c>
      <c r="Y205" s="61" t="str">
        <f>_xll.BDH(J205,$Q$2,$Q$1,$Q$1)</f>
        <v>#N/A Invalid Security</v>
      </c>
      <c r="Z205" s="61" t="str">
        <f>_xll.BDH(K205,$Q$2,$Q$1,$Q$1)</f>
        <v>#N/A Invalid Security</v>
      </c>
      <c r="AA205" s="61" t="str">
        <f>_xll.BDH(L205,$Q$2,$Q$1,$Q$1)</f>
        <v>#N/A Invalid Security</v>
      </c>
      <c r="AB205" s="61" t="str">
        <f>_xll.BDH(M205,$Q$2,$Q$1,$Q$1)</f>
        <v>#N/A Invalid Security</v>
      </c>
      <c r="AC205" s="61" t="str">
        <f>_xll.BDH(N205,$Q$2,$Q$1,$Q$1)</f>
        <v>#N/A Invalid Security</v>
      </c>
      <c r="AD205" s="61" t="str">
        <f>_xll.BDH(P205,$Q$2,$Q$1,$Q$1)</f>
        <v>#N/A Mandatory parameter [SECURITY] cannot be empty</v>
      </c>
      <c r="AE205" s="61" t="str">
        <f>_xll.BDH(Q205,$Q$2,$Q$1,$Q$1)</f>
        <v>#N/A Invalid Security</v>
      </c>
      <c r="AF205" s="61" t="str">
        <f>_xll.BDH(R205,$Q$2,$Q$1,$Q$1)</f>
        <v>#N/A Invalid Security</v>
      </c>
    </row>
    <row r="206" spans="1:32" ht="16.5" x14ac:dyDescent="0.3">
      <c r="A206" s="63"/>
      <c r="B206" s="61" t="str">
        <f t="shared" si="6"/>
        <v>KRWA1510 LCLS Curncy</v>
      </c>
      <c r="C206" s="61" t="str">
        <f t="shared" si="7"/>
        <v>KRWK1510 LCLS Curncy</v>
      </c>
      <c r="D206" s="61" t="str">
        <f t="shared" si="7"/>
        <v>KRWL1510 LCLS Curncy</v>
      </c>
      <c r="E206" s="61" t="str">
        <f t="shared" si="7"/>
        <v>KRWB1510 LCLS Curncy</v>
      </c>
      <c r="F206" s="61" t="str">
        <f t="shared" si="7"/>
        <v>KRWM1510 LCLS Curncy</v>
      </c>
      <c r="G206" s="61" t="str">
        <f t="shared" si="7"/>
        <v>KRWN1510 LCLS Curncy</v>
      </c>
      <c r="H206" s="61" t="str">
        <f t="shared" si="7"/>
        <v>KRWO1510 LCLS Curncy</v>
      </c>
      <c r="I206" s="61" t="str">
        <f t="shared" si="7"/>
        <v>KRWP1510 LCLS Curncy</v>
      </c>
      <c r="J206" s="61" t="str">
        <f t="shared" si="7"/>
        <v>KRWC1510 LCLS Curncy</v>
      </c>
      <c r="K206" s="61" t="str">
        <f t="shared" si="7"/>
        <v>KRWQ1510 LCLS Curncy</v>
      </c>
      <c r="L206" s="61" t="str">
        <f t="shared" si="7"/>
        <v>KRWR1510 LCLS Curncy</v>
      </c>
      <c r="M206" s="61" t="str">
        <f t="shared" si="7"/>
        <v>KRWD1510 LCLS Curncy</v>
      </c>
      <c r="N206" s="61" t="str">
        <f t="shared" si="7"/>
        <v>KRWD1510 LCLS Curncy</v>
      </c>
      <c r="O206" s="61" t="str">
        <f t="shared" si="7"/>
        <v xml:space="preserve"> LCLS Curncy</v>
      </c>
      <c r="Q206" s="61" t="str">
        <f>_xll.BDH(B206,$Q$2,$Q$1,$Q$1)</f>
        <v>#N/A Invalid Security</v>
      </c>
      <c r="R206" s="61" t="str">
        <f>_xll.BDH(C206,$Q$2,$Q$1,$Q$1)</f>
        <v>#N/A Invalid Security</v>
      </c>
      <c r="S206" s="61" t="str">
        <f>_xll.BDH(D206,$Q$2,$Q$1,$Q$1)</f>
        <v>#N/A Invalid Security</v>
      </c>
      <c r="T206" s="61" t="str">
        <f>_xll.BDH(E206,$Q$2,$Q$1,$Q$1)</f>
        <v>#N/A Invalid Security</v>
      </c>
      <c r="U206" s="61" t="str">
        <f>_xll.BDH(F206,$Q$2,$Q$1,$Q$1)</f>
        <v>#N/A Invalid Security</v>
      </c>
      <c r="V206" s="61" t="str">
        <f>_xll.BDH(G206,$Q$2,$Q$1,$Q$1)</f>
        <v>#N/A Invalid Security</v>
      </c>
      <c r="W206" s="61" t="str">
        <f>_xll.BDH(H206,$Q$2,$Q$1,$Q$1)</f>
        <v>#N/A Invalid Security</v>
      </c>
      <c r="X206" s="61" t="str">
        <f>_xll.BDH(I206,$Q$2,$Q$1,$Q$1)</f>
        <v>#N/A Invalid Security</v>
      </c>
      <c r="Y206" s="61" t="str">
        <f>_xll.BDH(J206,$Q$2,$Q$1,$Q$1)</f>
        <v>#N/A Invalid Security</v>
      </c>
      <c r="Z206" s="61" t="str">
        <f>_xll.BDH(K206,$Q$2,$Q$1,$Q$1)</f>
        <v>#N/A Invalid Security</v>
      </c>
      <c r="AA206" s="61" t="str">
        <f>_xll.BDH(L206,$Q$2,$Q$1,$Q$1)</f>
        <v>#N/A Invalid Security</v>
      </c>
      <c r="AB206" s="61" t="str">
        <f>_xll.BDH(M206,$Q$2,$Q$1,$Q$1)</f>
        <v>#N/A Invalid Security</v>
      </c>
      <c r="AC206" s="61" t="str">
        <f>_xll.BDH(N206,$Q$2,$Q$1,$Q$1)</f>
        <v>#N/A Invalid Security</v>
      </c>
      <c r="AD206" s="61" t="str">
        <f>_xll.BDH(P206,$Q$2,$Q$1,$Q$1)</f>
        <v>#N/A Mandatory parameter [SECURITY] cannot be empty</v>
      </c>
      <c r="AE206" s="61" t="str">
        <f>_xll.BDH(Q206,$Q$2,$Q$1,$Q$1)</f>
        <v>#N/A Invalid Security</v>
      </c>
      <c r="AF206" s="61" t="str">
        <f>_xll.BDH(R206,$Q$2,$Q$1,$Q$1)</f>
        <v>#N/A Invalid Security</v>
      </c>
    </row>
    <row r="207" spans="1:32" ht="16.5" x14ac:dyDescent="0.3">
      <c r="A207" s="63"/>
      <c r="B207" s="61" t="str">
        <f t="shared" si="6"/>
        <v>KRWA1515 LCLS Curncy</v>
      </c>
      <c r="C207" s="61" t="str">
        <f t="shared" si="7"/>
        <v>KRWK1515 LCLS Curncy</v>
      </c>
      <c r="D207" s="61" t="str">
        <f t="shared" si="7"/>
        <v>KRWL1515 LCLS Curncy</v>
      </c>
      <c r="E207" s="61" t="str">
        <f t="shared" si="7"/>
        <v>KRWB1515 LCLS Curncy</v>
      </c>
      <c r="F207" s="61" t="str">
        <f t="shared" si="7"/>
        <v>KRWM1515 LCLS Curncy</v>
      </c>
      <c r="G207" s="61" t="str">
        <f t="shared" si="7"/>
        <v>KRWN1515 LCLS Curncy</v>
      </c>
      <c r="H207" s="61" t="str">
        <f t="shared" si="7"/>
        <v>KRWO1515 LCLS Curncy</v>
      </c>
      <c r="I207" s="61" t="str">
        <f t="shared" si="7"/>
        <v>KRWP1515 LCLS Curncy</v>
      </c>
      <c r="J207" s="61" t="str">
        <f t="shared" si="7"/>
        <v>KRWC1515 LCLS Curncy</v>
      </c>
      <c r="K207" s="61" t="str">
        <f t="shared" si="7"/>
        <v>KRWQ1515 LCLS Curncy</v>
      </c>
      <c r="L207" s="61" t="str">
        <f t="shared" si="7"/>
        <v>KRWR1515 LCLS Curncy</v>
      </c>
      <c r="M207" s="61" t="str">
        <f t="shared" si="7"/>
        <v>KRWD1515 LCLS Curncy</v>
      </c>
      <c r="N207" s="61" t="str">
        <f t="shared" si="7"/>
        <v>KRWD1515 LCLS Curncy</v>
      </c>
      <c r="O207" s="61" t="str">
        <f t="shared" si="7"/>
        <v xml:space="preserve"> LCLS Curncy</v>
      </c>
      <c r="Q207" s="61" t="str">
        <f>_xll.BDH(B207,$Q$2,$Q$1,$Q$1)</f>
        <v>#N/A Invalid Security</v>
      </c>
      <c r="R207" s="61" t="str">
        <f>_xll.BDH(C207,$Q$2,$Q$1,$Q$1)</f>
        <v>#N/A Invalid Security</v>
      </c>
      <c r="S207" s="61" t="str">
        <f>_xll.BDH(D207,$Q$2,$Q$1,$Q$1)</f>
        <v>#N/A Invalid Security</v>
      </c>
      <c r="T207" s="61" t="str">
        <f>_xll.BDH(E207,$Q$2,$Q$1,$Q$1)</f>
        <v>#N/A Invalid Security</v>
      </c>
      <c r="U207" s="61" t="str">
        <f>_xll.BDH(F207,$Q$2,$Q$1,$Q$1)</f>
        <v>#N/A Invalid Security</v>
      </c>
      <c r="V207" s="61" t="str">
        <f>_xll.BDH(G207,$Q$2,$Q$1,$Q$1)</f>
        <v>#N/A Invalid Security</v>
      </c>
      <c r="W207" s="61" t="str">
        <f>_xll.BDH(H207,$Q$2,$Q$1,$Q$1)</f>
        <v>#N/A Invalid Security</v>
      </c>
      <c r="X207" s="61" t="str">
        <f>_xll.BDH(I207,$Q$2,$Q$1,$Q$1)</f>
        <v>#N/A Invalid Security</v>
      </c>
      <c r="Y207" s="61" t="str">
        <f>_xll.BDH(J207,$Q$2,$Q$1,$Q$1)</f>
        <v>#N/A Invalid Security</v>
      </c>
      <c r="Z207" s="61" t="str">
        <f>_xll.BDH(K207,$Q$2,$Q$1,$Q$1)</f>
        <v>#N/A Invalid Security</v>
      </c>
      <c r="AA207" s="61" t="str">
        <f>_xll.BDH(L207,$Q$2,$Q$1,$Q$1)</f>
        <v>#N/A Invalid Security</v>
      </c>
      <c r="AB207" s="61" t="str">
        <f>_xll.BDH(M207,$Q$2,$Q$1,$Q$1)</f>
        <v>#N/A Invalid Security</v>
      </c>
      <c r="AC207" s="61" t="str">
        <f>_xll.BDH(N207,$Q$2,$Q$1,$Q$1)</f>
        <v>#N/A Invalid Security</v>
      </c>
      <c r="AD207" s="61" t="str">
        <f>_xll.BDH(P207,$Q$2,$Q$1,$Q$1)</f>
        <v>#N/A Mandatory parameter [SECURITY] cannot be empty</v>
      </c>
      <c r="AE207" s="61" t="str">
        <f>_xll.BDH(Q207,$Q$2,$Q$1,$Q$1)</f>
        <v>#N/A Invalid Security</v>
      </c>
      <c r="AF207" s="61" t="str">
        <f>_xll.BDH(R207,$Q$2,$Q$1,$Q$1)</f>
        <v>#N/A Invalid Security</v>
      </c>
    </row>
    <row r="208" spans="1:32" ht="16.5" x14ac:dyDescent="0.3">
      <c r="A208" s="63"/>
      <c r="B208" s="61" t="str">
        <f t="shared" si="6"/>
        <v>KRWA1520 LCLS Curncy</v>
      </c>
      <c r="C208" s="61" t="str">
        <f t="shared" si="7"/>
        <v>KRWK1520 LCLS Curncy</v>
      </c>
      <c r="D208" s="61" t="str">
        <f t="shared" si="7"/>
        <v>KRWL1520 LCLS Curncy</v>
      </c>
      <c r="E208" s="61" t="str">
        <f t="shared" si="7"/>
        <v>KRWB1520 LCLS Curncy</v>
      </c>
      <c r="F208" s="61" t="str">
        <f t="shared" si="7"/>
        <v>KRWM1520 LCLS Curncy</v>
      </c>
      <c r="G208" s="61" t="str">
        <f t="shared" si="7"/>
        <v>KRWN1520 LCLS Curncy</v>
      </c>
      <c r="H208" s="61" t="str">
        <f t="shared" si="7"/>
        <v>KRWO1520 LCLS Curncy</v>
      </c>
      <c r="I208" s="61" t="str">
        <f t="shared" si="7"/>
        <v>KRWP1520 LCLS Curncy</v>
      </c>
      <c r="J208" s="61" t="str">
        <f t="shared" si="7"/>
        <v>KRWC1520 LCLS Curncy</v>
      </c>
      <c r="K208" s="61" t="str">
        <f t="shared" si="7"/>
        <v>KRWQ1520 LCLS Curncy</v>
      </c>
      <c r="L208" s="61" t="str">
        <f t="shared" si="7"/>
        <v>KRWR1520 LCLS Curncy</v>
      </c>
      <c r="M208" s="61" t="str">
        <f t="shared" si="7"/>
        <v>KRWD1520 LCLS Curncy</v>
      </c>
      <c r="N208" s="61" t="str">
        <f t="shared" si="7"/>
        <v>KRWD1520 LCLS Curncy</v>
      </c>
      <c r="O208" s="61" t="str">
        <f t="shared" si="7"/>
        <v xml:space="preserve"> LCLS Curncy</v>
      </c>
      <c r="Q208" s="61" t="str">
        <f>_xll.BDH(B208,$Q$2,$Q$1,$Q$1)</f>
        <v>#N/A Invalid Security</v>
      </c>
      <c r="R208" s="61" t="str">
        <f>_xll.BDH(C208,$Q$2,$Q$1,$Q$1)</f>
        <v>#N/A Invalid Security</v>
      </c>
      <c r="S208" s="61" t="str">
        <f>_xll.BDH(D208,$Q$2,$Q$1,$Q$1)</f>
        <v>#N/A Invalid Security</v>
      </c>
      <c r="T208" s="61" t="str">
        <f>_xll.BDH(E208,$Q$2,$Q$1,$Q$1)</f>
        <v>#N/A Invalid Security</v>
      </c>
      <c r="U208" s="61" t="str">
        <f>_xll.BDH(F208,$Q$2,$Q$1,$Q$1)</f>
        <v>#N/A Invalid Security</v>
      </c>
      <c r="V208" s="61" t="str">
        <f>_xll.BDH(G208,$Q$2,$Q$1,$Q$1)</f>
        <v>#N/A Invalid Security</v>
      </c>
      <c r="W208" s="61" t="str">
        <f>_xll.BDH(H208,$Q$2,$Q$1,$Q$1)</f>
        <v>#N/A Invalid Security</v>
      </c>
      <c r="X208" s="61" t="str">
        <f>_xll.BDH(I208,$Q$2,$Q$1,$Q$1)</f>
        <v>#N/A Invalid Security</v>
      </c>
      <c r="Y208" s="61" t="str">
        <f>_xll.BDH(J208,$Q$2,$Q$1,$Q$1)</f>
        <v>#N/A Invalid Security</v>
      </c>
      <c r="Z208" s="61" t="str">
        <f>_xll.BDH(K208,$Q$2,$Q$1,$Q$1)</f>
        <v>#N/A Invalid Security</v>
      </c>
      <c r="AA208" s="61" t="str">
        <f>_xll.BDH(L208,$Q$2,$Q$1,$Q$1)</f>
        <v>#N/A Invalid Security</v>
      </c>
      <c r="AB208" s="61" t="str">
        <f>_xll.BDH(M208,$Q$2,$Q$1,$Q$1)</f>
        <v>#N/A Invalid Security</v>
      </c>
      <c r="AC208" s="61" t="str">
        <f>_xll.BDH(N208,$Q$2,$Q$1,$Q$1)</f>
        <v>#N/A Invalid Security</v>
      </c>
      <c r="AD208" s="61" t="str">
        <f>_xll.BDH(P208,$Q$2,$Q$1,$Q$1)</f>
        <v>#N/A Mandatory parameter [SECURITY] cannot be empty</v>
      </c>
      <c r="AE208" s="61" t="str">
        <f>_xll.BDH(Q208,$Q$2,$Q$1,$Q$1)</f>
        <v>#N/A Invalid Security</v>
      </c>
      <c r="AF208" s="61" t="str">
        <f>_xll.BDH(R208,$Q$2,$Q$1,$Q$1)</f>
        <v>#N/A Invalid Security</v>
      </c>
    </row>
    <row r="209" spans="1:32" ht="16.5" x14ac:dyDescent="0.3">
      <c r="A209" s="63"/>
      <c r="B209" s="61" t="str">
        <f t="shared" si="6"/>
        <v>KRWA2001 LCLS Curncy</v>
      </c>
      <c r="C209" s="61" t="str">
        <f t="shared" si="7"/>
        <v>KRWK2001 LCLS Curncy</v>
      </c>
      <c r="D209" s="61" t="str">
        <f t="shared" si="7"/>
        <v>KRWL2001 LCLS Curncy</v>
      </c>
      <c r="E209" s="61" t="str">
        <f t="shared" si="7"/>
        <v>KRWB2001 LCLS Curncy</v>
      </c>
      <c r="F209" s="61" t="str">
        <f t="shared" si="7"/>
        <v>KRWM2001 LCLS Curncy</v>
      </c>
      <c r="G209" s="61" t="str">
        <f t="shared" si="7"/>
        <v>KRWN2001 LCLS Curncy</v>
      </c>
      <c r="H209" s="61" t="str">
        <f t="shared" si="7"/>
        <v>KRWO2001 LCLS Curncy</v>
      </c>
      <c r="I209" s="61" t="str">
        <f t="shared" si="7"/>
        <v>KRWP2001 LCLS Curncy</v>
      </c>
      <c r="J209" s="61" t="str">
        <f t="shared" si="7"/>
        <v>KRWC2001 LCLS Curncy</v>
      </c>
      <c r="K209" s="61" t="str">
        <f t="shared" si="7"/>
        <v>KRWQ2001 LCLS Curncy</v>
      </c>
      <c r="L209" s="61" t="str">
        <f t="shared" si="7"/>
        <v>KRWR2001 LCLS Curncy</v>
      </c>
      <c r="M209" s="61" t="str">
        <f t="shared" si="7"/>
        <v>KRWD2001 LCLS Curncy</v>
      </c>
      <c r="N209" s="61" t="str">
        <f t="shared" si="7"/>
        <v>KRWD2001 LCLS Curncy</v>
      </c>
      <c r="O209" s="61" t="str">
        <f t="shared" si="7"/>
        <v xml:space="preserve"> LCLS Curncy</v>
      </c>
      <c r="Q209" s="61" t="str">
        <f>_xll.BDH(B209,$Q$2,$Q$1,$Q$1)</f>
        <v>#N/A Invalid Security</v>
      </c>
      <c r="R209" s="61" t="str">
        <f>_xll.BDH(C209,$Q$2,$Q$1,$Q$1)</f>
        <v>#N/A Invalid Security</v>
      </c>
      <c r="S209" s="61" t="str">
        <f>_xll.BDH(D209,$Q$2,$Q$1,$Q$1)</f>
        <v>#N/A Invalid Security</v>
      </c>
      <c r="T209" s="61" t="str">
        <f>_xll.BDH(E209,$Q$2,$Q$1,$Q$1)</f>
        <v>#N/A Invalid Security</v>
      </c>
      <c r="U209" s="61" t="str">
        <f>_xll.BDH(F209,$Q$2,$Q$1,$Q$1)</f>
        <v>#N/A Invalid Security</v>
      </c>
      <c r="V209" s="61" t="str">
        <f>_xll.BDH(G209,$Q$2,$Q$1,$Q$1)</f>
        <v>#N/A Invalid Security</v>
      </c>
      <c r="W209" s="61" t="str">
        <f>_xll.BDH(H209,$Q$2,$Q$1,$Q$1)</f>
        <v>#N/A Invalid Security</v>
      </c>
      <c r="X209" s="61" t="str">
        <f>_xll.BDH(I209,$Q$2,$Q$1,$Q$1)</f>
        <v>#N/A Invalid Security</v>
      </c>
      <c r="Y209" s="61" t="str">
        <f>_xll.BDH(J209,$Q$2,$Q$1,$Q$1)</f>
        <v>#N/A Invalid Security</v>
      </c>
      <c r="Z209" s="61" t="str">
        <f>_xll.BDH(K209,$Q$2,$Q$1,$Q$1)</f>
        <v>#N/A Invalid Security</v>
      </c>
      <c r="AA209" s="61" t="str">
        <f>_xll.BDH(L209,$Q$2,$Q$1,$Q$1)</f>
        <v>#N/A Invalid Security</v>
      </c>
      <c r="AB209" s="61" t="str">
        <f>_xll.BDH(M209,$Q$2,$Q$1,$Q$1)</f>
        <v>#N/A Invalid Security</v>
      </c>
      <c r="AC209" s="61" t="str">
        <f>_xll.BDH(N209,$Q$2,$Q$1,$Q$1)</f>
        <v>#N/A Invalid Security</v>
      </c>
      <c r="AD209" s="61" t="str">
        <f>_xll.BDH(P209,$Q$2,$Q$1,$Q$1)</f>
        <v>#N/A Mandatory parameter [SECURITY] cannot be empty</v>
      </c>
      <c r="AE209" s="61" t="str">
        <f>_xll.BDH(Q209,$Q$2,$Q$1,$Q$1)</f>
        <v>#N/A Invalid Security</v>
      </c>
      <c r="AF209" s="61" t="str">
        <f>_xll.BDH(R209,$Q$2,$Q$1,$Q$1)</f>
        <v>#N/A Invalid Security</v>
      </c>
    </row>
    <row r="210" spans="1:32" ht="16.5" x14ac:dyDescent="0.3">
      <c r="A210" s="63"/>
      <c r="B210" s="61" t="str">
        <f t="shared" si="6"/>
        <v>KRWA2002 LCLS Curncy</v>
      </c>
      <c r="C210" s="61" t="str">
        <f t="shared" ref="C210:O219" si="8">C101&amp;" LCLS Curncy"</f>
        <v>KRWK2002 LCLS Curncy</v>
      </c>
      <c r="D210" s="61" t="str">
        <f t="shared" si="8"/>
        <v>KRWL2002 LCLS Curncy</v>
      </c>
      <c r="E210" s="61" t="str">
        <f t="shared" si="8"/>
        <v>KRWB2002 LCLS Curncy</v>
      </c>
      <c r="F210" s="61" t="str">
        <f t="shared" si="8"/>
        <v>KRWM2002 LCLS Curncy</v>
      </c>
      <c r="G210" s="61" t="str">
        <f t="shared" si="8"/>
        <v>KRWN2002 LCLS Curncy</v>
      </c>
      <c r="H210" s="61" t="str">
        <f t="shared" si="8"/>
        <v>KRWO2002 LCLS Curncy</v>
      </c>
      <c r="I210" s="61" t="str">
        <f t="shared" si="8"/>
        <v>KRWP2002 LCLS Curncy</v>
      </c>
      <c r="J210" s="61" t="str">
        <f t="shared" si="8"/>
        <v>KRWC2002 LCLS Curncy</v>
      </c>
      <c r="K210" s="61" t="str">
        <f t="shared" si="8"/>
        <v>KRWQ2002 LCLS Curncy</v>
      </c>
      <c r="L210" s="61" t="str">
        <f t="shared" si="8"/>
        <v>KRWR2002 LCLS Curncy</v>
      </c>
      <c r="M210" s="61" t="str">
        <f t="shared" si="8"/>
        <v>KRWD2002 LCLS Curncy</v>
      </c>
      <c r="N210" s="61" t="str">
        <f t="shared" si="8"/>
        <v>KRWD2002 LCLS Curncy</v>
      </c>
      <c r="O210" s="61" t="str">
        <f t="shared" si="8"/>
        <v xml:space="preserve"> LCLS Curncy</v>
      </c>
      <c r="Q210" s="61" t="str">
        <f>_xll.BDH(B210,$Q$2,$Q$1,$Q$1)</f>
        <v>#N/A Invalid Security</v>
      </c>
      <c r="R210" s="61" t="str">
        <f>_xll.BDH(C210,$Q$2,$Q$1,$Q$1)</f>
        <v>#N/A Invalid Security</v>
      </c>
      <c r="S210" s="61" t="str">
        <f>_xll.BDH(D210,$Q$2,$Q$1,$Q$1)</f>
        <v>#N/A Invalid Security</v>
      </c>
      <c r="T210" s="61" t="str">
        <f>_xll.BDH(E210,$Q$2,$Q$1,$Q$1)</f>
        <v>#N/A Invalid Security</v>
      </c>
      <c r="U210" s="61" t="str">
        <f>_xll.BDH(F210,$Q$2,$Q$1,$Q$1)</f>
        <v>#N/A Invalid Security</v>
      </c>
      <c r="V210" s="61" t="str">
        <f>_xll.BDH(G210,$Q$2,$Q$1,$Q$1)</f>
        <v>#N/A Invalid Security</v>
      </c>
      <c r="W210" s="61" t="str">
        <f>_xll.BDH(H210,$Q$2,$Q$1,$Q$1)</f>
        <v>#N/A Invalid Security</v>
      </c>
      <c r="X210" s="61" t="str">
        <f>_xll.BDH(I210,$Q$2,$Q$1,$Q$1)</f>
        <v>#N/A Invalid Security</v>
      </c>
      <c r="Y210" s="61" t="str">
        <f>_xll.BDH(J210,$Q$2,$Q$1,$Q$1)</f>
        <v>#N/A Invalid Security</v>
      </c>
      <c r="Z210" s="61" t="str">
        <f>_xll.BDH(K210,$Q$2,$Q$1,$Q$1)</f>
        <v>#N/A Invalid Security</v>
      </c>
      <c r="AA210" s="61" t="str">
        <f>_xll.BDH(L210,$Q$2,$Q$1,$Q$1)</f>
        <v>#N/A Invalid Security</v>
      </c>
      <c r="AB210" s="61" t="str">
        <f>_xll.BDH(M210,$Q$2,$Q$1,$Q$1)</f>
        <v>#N/A Invalid Security</v>
      </c>
      <c r="AC210" s="61" t="str">
        <f>_xll.BDH(N210,$Q$2,$Q$1,$Q$1)</f>
        <v>#N/A Invalid Security</v>
      </c>
      <c r="AD210" s="61" t="str">
        <f>_xll.BDH(P210,$Q$2,$Q$1,$Q$1)</f>
        <v>#N/A Mandatory parameter [SECURITY] cannot be empty</v>
      </c>
      <c r="AE210" s="61" t="str">
        <f>_xll.BDH(Q210,$Q$2,$Q$1,$Q$1)</f>
        <v>#N/A Invalid Security</v>
      </c>
      <c r="AF210" s="61" t="str">
        <f>_xll.BDH(R210,$Q$2,$Q$1,$Q$1)</f>
        <v>#N/A Invalid Security</v>
      </c>
    </row>
    <row r="211" spans="1:32" ht="16.5" x14ac:dyDescent="0.3">
      <c r="A211" s="63"/>
      <c r="B211" s="61" t="str">
        <f t="shared" si="6"/>
        <v>KRWA2003 LCLS Curncy</v>
      </c>
      <c r="C211" s="61" t="str">
        <f t="shared" si="8"/>
        <v>KRWK2003 LCLS Curncy</v>
      </c>
      <c r="D211" s="61" t="str">
        <f t="shared" si="8"/>
        <v>KRWL2003 LCLS Curncy</v>
      </c>
      <c r="E211" s="61" t="str">
        <f t="shared" si="8"/>
        <v>KRWB2003 LCLS Curncy</v>
      </c>
      <c r="F211" s="61" t="str">
        <f t="shared" si="8"/>
        <v>KRWM2003 LCLS Curncy</v>
      </c>
      <c r="G211" s="61" t="str">
        <f t="shared" si="8"/>
        <v>KRWN2003 LCLS Curncy</v>
      </c>
      <c r="H211" s="61" t="str">
        <f t="shared" si="8"/>
        <v>KRWO2003 LCLS Curncy</v>
      </c>
      <c r="I211" s="61" t="str">
        <f t="shared" si="8"/>
        <v>KRWP2003 LCLS Curncy</v>
      </c>
      <c r="J211" s="61" t="str">
        <f t="shared" si="8"/>
        <v>KRWC2003 LCLS Curncy</v>
      </c>
      <c r="K211" s="61" t="str">
        <f t="shared" si="8"/>
        <v>KRWQ2003 LCLS Curncy</v>
      </c>
      <c r="L211" s="61" t="str">
        <f t="shared" si="8"/>
        <v>KRWR2003 LCLS Curncy</v>
      </c>
      <c r="M211" s="61" t="str">
        <f t="shared" si="8"/>
        <v>KRWD2003 LCLS Curncy</v>
      </c>
      <c r="N211" s="61" t="str">
        <f t="shared" si="8"/>
        <v>KRWD2003 LCLS Curncy</v>
      </c>
      <c r="O211" s="61" t="str">
        <f t="shared" si="8"/>
        <v xml:space="preserve"> LCLS Curncy</v>
      </c>
      <c r="Q211" s="61" t="str">
        <f>_xll.BDH(B211,$Q$2,$Q$1,$Q$1)</f>
        <v>#N/A Invalid Security</v>
      </c>
      <c r="R211" s="61" t="str">
        <f>_xll.BDH(C211,$Q$2,$Q$1,$Q$1)</f>
        <v>#N/A Invalid Security</v>
      </c>
      <c r="S211" s="61" t="str">
        <f>_xll.BDH(D211,$Q$2,$Q$1,$Q$1)</f>
        <v>#N/A Invalid Security</v>
      </c>
      <c r="T211" s="61" t="str">
        <f>_xll.BDH(E211,$Q$2,$Q$1,$Q$1)</f>
        <v>#N/A Invalid Security</v>
      </c>
      <c r="U211" s="61" t="str">
        <f>_xll.BDH(F211,$Q$2,$Q$1,$Q$1)</f>
        <v>#N/A Invalid Security</v>
      </c>
      <c r="V211" s="61" t="str">
        <f>_xll.BDH(G211,$Q$2,$Q$1,$Q$1)</f>
        <v>#N/A Invalid Security</v>
      </c>
      <c r="W211" s="61" t="str">
        <f>_xll.BDH(H211,$Q$2,$Q$1,$Q$1)</f>
        <v>#N/A Invalid Security</v>
      </c>
      <c r="X211" s="61" t="str">
        <f>_xll.BDH(I211,$Q$2,$Q$1,$Q$1)</f>
        <v>#N/A Invalid Security</v>
      </c>
      <c r="Y211" s="61" t="str">
        <f>_xll.BDH(J211,$Q$2,$Q$1,$Q$1)</f>
        <v>#N/A Invalid Security</v>
      </c>
      <c r="Z211" s="61" t="str">
        <f>_xll.BDH(K211,$Q$2,$Q$1,$Q$1)</f>
        <v>#N/A Invalid Security</v>
      </c>
      <c r="AA211" s="61" t="str">
        <f>_xll.BDH(L211,$Q$2,$Q$1,$Q$1)</f>
        <v>#N/A Invalid Security</v>
      </c>
      <c r="AB211" s="61" t="str">
        <f>_xll.BDH(M211,$Q$2,$Q$1,$Q$1)</f>
        <v>#N/A Invalid Security</v>
      </c>
      <c r="AC211" s="61" t="str">
        <f>_xll.BDH(N211,$Q$2,$Q$1,$Q$1)</f>
        <v>#N/A Invalid Security</v>
      </c>
      <c r="AD211" s="61" t="str">
        <f>_xll.BDH(P211,$Q$2,$Q$1,$Q$1)</f>
        <v>#N/A Mandatory parameter [SECURITY] cannot be empty</v>
      </c>
      <c r="AE211" s="61" t="str">
        <f>_xll.BDH(Q211,$Q$2,$Q$1,$Q$1)</f>
        <v>#N/A Invalid Security</v>
      </c>
      <c r="AF211" s="61" t="str">
        <f>_xll.BDH(R211,$Q$2,$Q$1,$Q$1)</f>
        <v>#N/A Invalid Security</v>
      </c>
    </row>
    <row r="212" spans="1:32" ht="16.5" x14ac:dyDescent="0.3">
      <c r="A212" s="63"/>
      <c r="B212" s="61" t="str">
        <f t="shared" si="6"/>
        <v>KRWA2004 LCLS Curncy</v>
      </c>
      <c r="C212" s="61" t="str">
        <f t="shared" si="8"/>
        <v>KRWK2004 LCLS Curncy</v>
      </c>
      <c r="D212" s="61" t="str">
        <f t="shared" si="8"/>
        <v>KRWL2004 LCLS Curncy</v>
      </c>
      <c r="E212" s="61" t="str">
        <f t="shared" si="8"/>
        <v>KRWB2004 LCLS Curncy</v>
      </c>
      <c r="F212" s="61" t="str">
        <f t="shared" si="8"/>
        <v>KRWM2004 LCLS Curncy</v>
      </c>
      <c r="G212" s="61" t="str">
        <f t="shared" si="8"/>
        <v>KRWN2004 LCLS Curncy</v>
      </c>
      <c r="H212" s="61" t="str">
        <f t="shared" si="8"/>
        <v>KRWO2004 LCLS Curncy</v>
      </c>
      <c r="I212" s="61" t="str">
        <f t="shared" si="8"/>
        <v>KRWP2004 LCLS Curncy</v>
      </c>
      <c r="J212" s="61" t="str">
        <f t="shared" si="8"/>
        <v>KRWC2004 LCLS Curncy</v>
      </c>
      <c r="K212" s="61" t="str">
        <f t="shared" si="8"/>
        <v>KRWQ2004 LCLS Curncy</v>
      </c>
      <c r="L212" s="61" t="str">
        <f t="shared" si="8"/>
        <v>KRWR2004 LCLS Curncy</v>
      </c>
      <c r="M212" s="61" t="str">
        <f t="shared" si="8"/>
        <v>KRWD2004 LCLS Curncy</v>
      </c>
      <c r="N212" s="61" t="str">
        <f t="shared" si="8"/>
        <v>KRWD2004 LCLS Curncy</v>
      </c>
      <c r="O212" s="61" t="str">
        <f t="shared" si="8"/>
        <v xml:space="preserve"> LCLS Curncy</v>
      </c>
      <c r="Q212" s="61" t="str">
        <f>_xll.BDH(B212,$Q$2,$Q$1,$Q$1)</f>
        <v>#N/A Invalid Security</v>
      </c>
      <c r="R212" s="61" t="str">
        <f>_xll.BDH(C212,$Q$2,$Q$1,$Q$1)</f>
        <v>#N/A Invalid Security</v>
      </c>
      <c r="S212" s="61" t="str">
        <f>_xll.BDH(D212,$Q$2,$Q$1,$Q$1)</f>
        <v>#N/A Invalid Security</v>
      </c>
      <c r="T212" s="61" t="str">
        <f>_xll.BDH(E212,$Q$2,$Q$1,$Q$1)</f>
        <v>#N/A Invalid Security</v>
      </c>
      <c r="U212" s="61" t="str">
        <f>_xll.BDH(F212,$Q$2,$Q$1,$Q$1)</f>
        <v>#N/A Invalid Security</v>
      </c>
      <c r="V212" s="61" t="str">
        <f>_xll.BDH(G212,$Q$2,$Q$1,$Q$1)</f>
        <v>#N/A Invalid Security</v>
      </c>
      <c r="W212" s="61" t="str">
        <f>_xll.BDH(H212,$Q$2,$Q$1,$Q$1)</f>
        <v>#N/A Invalid Security</v>
      </c>
      <c r="X212" s="61" t="str">
        <f>_xll.BDH(I212,$Q$2,$Q$1,$Q$1)</f>
        <v>#N/A Invalid Security</v>
      </c>
      <c r="Y212" s="61" t="str">
        <f>_xll.BDH(J212,$Q$2,$Q$1,$Q$1)</f>
        <v>#N/A Invalid Security</v>
      </c>
      <c r="Z212" s="61" t="str">
        <f>_xll.BDH(K212,$Q$2,$Q$1,$Q$1)</f>
        <v>#N/A Invalid Security</v>
      </c>
      <c r="AA212" s="61" t="str">
        <f>_xll.BDH(L212,$Q$2,$Q$1,$Q$1)</f>
        <v>#N/A Invalid Security</v>
      </c>
      <c r="AB212" s="61" t="str">
        <f>_xll.BDH(M212,$Q$2,$Q$1,$Q$1)</f>
        <v>#N/A Invalid Security</v>
      </c>
      <c r="AC212" s="61" t="str">
        <f>_xll.BDH(N212,$Q$2,$Q$1,$Q$1)</f>
        <v>#N/A Invalid Security</v>
      </c>
      <c r="AD212" s="61" t="str">
        <f>_xll.BDH(P212,$Q$2,$Q$1,$Q$1)</f>
        <v>#N/A Mandatory parameter [SECURITY] cannot be empty</v>
      </c>
      <c r="AE212" s="61" t="str">
        <f>_xll.BDH(Q212,$Q$2,$Q$1,$Q$1)</f>
        <v>#N/A Invalid Security</v>
      </c>
      <c r="AF212" s="61" t="str">
        <f>_xll.BDH(R212,$Q$2,$Q$1,$Q$1)</f>
        <v>#N/A Invalid Security</v>
      </c>
    </row>
    <row r="213" spans="1:32" ht="16.5" x14ac:dyDescent="0.3">
      <c r="A213" s="63"/>
      <c r="B213" s="61" t="str">
        <f t="shared" si="6"/>
        <v>KRWA2005 LCLS Curncy</v>
      </c>
      <c r="C213" s="61" t="str">
        <f t="shared" si="8"/>
        <v>KRWK2005 LCLS Curncy</v>
      </c>
      <c r="D213" s="61" t="str">
        <f t="shared" si="8"/>
        <v>KRWL2005 LCLS Curncy</v>
      </c>
      <c r="E213" s="61" t="str">
        <f t="shared" si="8"/>
        <v>KRWB2005 LCLS Curncy</v>
      </c>
      <c r="F213" s="61" t="str">
        <f t="shared" si="8"/>
        <v>KRWM2005 LCLS Curncy</v>
      </c>
      <c r="G213" s="61" t="str">
        <f t="shared" si="8"/>
        <v>KRWN2005 LCLS Curncy</v>
      </c>
      <c r="H213" s="61" t="str">
        <f t="shared" si="8"/>
        <v>KRWO2005 LCLS Curncy</v>
      </c>
      <c r="I213" s="61" t="str">
        <f t="shared" si="8"/>
        <v>KRWP2005 LCLS Curncy</v>
      </c>
      <c r="J213" s="61" t="str">
        <f t="shared" si="8"/>
        <v>KRWC2005 LCLS Curncy</v>
      </c>
      <c r="K213" s="61" t="str">
        <f t="shared" si="8"/>
        <v>KRWQ2005 LCLS Curncy</v>
      </c>
      <c r="L213" s="61" t="str">
        <f t="shared" si="8"/>
        <v>KRWR2005 LCLS Curncy</v>
      </c>
      <c r="M213" s="61" t="str">
        <f t="shared" si="8"/>
        <v>KRWD2005 LCLS Curncy</v>
      </c>
      <c r="N213" s="61" t="str">
        <f t="shared" si="8"/>
        <v>KRWD2005 LCLS Curncy</v>
      </c>
      <c r="O213" s="61" t="str">
        <f t="shared" si="8"/>
        <v xml:space="preserve"> LCLS Curncy</v>
      </c>
      <c r="Q213" s="61" t="str">
        <f>_xll.BDH(B213,$Q$2,$Q$1,$Q$1)</f>
        <v>#N/A Invalid Security</v>
      </c>
      <c r="R213" s="61" t="str">
        <f>_xll.BDH(C213,$Q$2,$Q$1,$Q$1)</f>
        <v>#N/A Invalid Security</v>
      </c>
      <c r="S213" s="61" t="str">
        <f>_xll.BDH(D213,$Q$2,$Q$1,$Q$1)</f>
        <v>#N/A Invalid Security</v>
      </c>
      <c r="T213" s="61" t="str">
        <f>_xll.BDH(E213,$Q$2,$Q$1,$Q$1)</f>
        <v>#N/A Invalid Security</v>
      </c>
      <c r="U213" s="61" t="str">
        <f>_xll.BDH(F213,$Q$2,$Q$1,$Q$1)</f>
        <v>#N/A Invalid Security</v>
      </c>
      <c r="V213" s="61" t="str">
        <f>_xll.BDH(G213,$Q$2,$Q$1,$Q$1)</f>
        <v>#N/A Invalid Security</v>
      </c>
      <c r="W213" s="61" t="str">
        <f>_xll.BDH(H213,$Q$2,$Q$1,$Q$1)</f>
        <v>#N/A Invalid Security</v>
      </c>
      <c r="X213" s="61" t="str">
        <f>_xll.BDH(I213,$Q$2,$Q$1,$Q$1)</f>
        <v>#N/A Invalid Security</v>
      </c>
      <c r="Y213" s="61" t="str">
        <f>_xll.BDH(J213,$Q$2,$Q$1,$Q$1)</f>
        <v>#N/A Invalid Security</v>
      </c>
      <c r="Z213" s="61" t="str">
        <f>_xll.BDH(K213,$Q$2,$Q$1,$Q$1)</f>
        <v>#N/A Invalid Security</v>
      </c>
      <c r="AA213" s="61" t="str">
        <f>_xll.BDH(L213,$Q$2,$Q$1,$Q$1)</f>
        <v>#N/A Invalid Security</v>
      </c>
      <c r="AB213" s="61" t="str">
        <f>_xll.BDH(M213,$Q$2,$Q$1,$Q$1)</f>
        <v>#N/A Invalid Security</v>
      </c>
      <c r="AC213" s="61" t="str">
        <f>_xll.BDH(N213,$Q$2,$Q$1,$Q$1)</f>
        <v>#N/A Invalid Security</v>
      </c>
      <c r="AD213" s="61" t="str">
        <f>_xll.BDH(P213,$Q$2,$Q$1,$Q$1)</f>
        <v>#N/A Mandatory parameter [SECURITY] cannot be empty</v>
      </c>
      <c r="AE213" s="61" t="str">
        <f>_xll.BDH(Q213,$Q$2,$Q$1,$Q$1)</f>
        <v>#N/A Invalid Security</v>
      </c>
      <c r="AF213" s="61" t="str">
        <f>_xll.BDH(R213,$Q$2,$Q$1,$Q$1)</f>
        <v>#N/A Invalid Security</v>
      </c>
    </row>
    <row r="214" spans="1:32" ht="16.5" x14ac:dyDescent="0.3">
      <c r="A214" s="63"/>
      <c r="B214" s="61" t="str">
        <f t="shared" si="6"/>
        <v>KRWA2006 LCLS Curncy</v>
      </c>
      <c r="C214" s="61" t="str">
        <f t="shared" si="8"/>
        <v>KRWK2006 LCLS Curncy</v>
      </c>
      <c r="D214" s="61" t="str">
        <f t="shared" si="8"/>
        <v>KRWL2006 LCLS Curncy</v>
      </c>
      <c r="E214" s="61" t="str">
        <f t="shared" si="8"/>
        <v>KRWB2006 LCLS Curncy</v>
      </c>
      <c r="F214" s="61" t="str">
        <f t="shared" si="8"/>
        <v>KRWM2006 LCLS Curncy</v>
      </c>
      <c r="G214" s="61" t="str">
        <f t="shared" si="8"/>
        <v>KRWN2006 LCLS Curncy</v>
      </c>
      <c r="H214" s="61" t="str">
        <f t="shared" si="8"/>
        <v>KRWO2006 LCLS Curncy</v>
      </c>
      <c r="I214" s="61" t="str">
        <f t="shared" si="8"/>
        <v>KRWP2006 LCLS Curncy</v>
      </c>
      <c r="J214" s="61" t="str">
        <f t="shared" si="8"/>
        <v>KRWC2006 LCLS Curncy</v>
      </c>
      <c r="K214" s="61" t="str">
        <f t="shared" si="8"/>
        <v>KRWQ2006 LCLS Curncy</v>
      </c>
      <c r="L214" s="61" t="str">
        <f t="shared" si="8"/>
        <v>KRWR2006 LCLS Curncy</v>
      </c>
      <c r="M214" s="61" t="str">
        <f t="shared" si="8"/>
        <v>KRWD2006 LCLS Curncy</v>
      </c>
      <c r="N214" s="61" t="str">
        <f t="shared" si="8"/>
        <v>KRWD2006 LCLS Curncy</v>
      </c>
      <c r="O214" s="61" t="str">
        <f t="shared" si="8"/>
        <v xml:space="preserve"> LCLS Curncy</v>
      </c>
      <c r="Q214" s="61" t="str">
        <f>_xll.BDH(B214,$Q$2,$Q$1,$Q$1)</f>
        <v>#N/A Invalid Security</v>
      </c>
      <c r="R214" s="61" t="str">
        <f>_xll.BDH(C214,$Q$2,$Q$1,$Q$1)</f>
        <v>#N/A Invalid Security</v>
      </c>
      <c r="S214" s="61" t="str">
        <f>_xll.BDH(D214,$Q$2,$Q$1,$Q$1)</f>
        <v>#N/A Invalid Security</v>
      </c>
      <c r="T214" s="61" t="str">
        <f>_xll.BDH(E214,$Q$2,$Q$1,$Q$1)</f>
        <v>#N/A Invalid Security</v>
      </c>
      <c r="U214" s="61" t="str">
        <f>_xll.BDH(F214,$Q$2,$Q$1,$Q$1)</f>
        <v>#N/A Invalid Security</v>
      </c>
      <c r="V214" s="61" t="str">
        <f>_xll.BDH(G214,$Q$2,$Q$1,$Q$1)</f>
        <v>#N/A Invalid Security</v>
      </c>
      <c r="W214" s="61" t="str">
        <f>_xll.BDH(H214,$Q$2,$Q$1,$Q$1)</f>
        <v>#N/A Invalid Security</v>
      </c>
      <c r="X214" s="61" t="str">
        <f>_xll.BDH(I214,$Q$2,$Q$1,$Q$1)</f>
        <v>#N/A Invalid Security</v>
      </c>
      <c r="Y214" s="61" t="str">
        <f>_xll.BDH(J214,$Q$2,$Q$1,$Q$1)</f>
        <v>#N/A Invalid Security</v>
      </c>
      <c r="Z214" s="61" t="str">
        <f>_xll.BDH(K214,$Q$2,$Q$1,$Q$1)</f>
        <v>#N/A Invalid Security</v>
      </c>
      <c r="AA214" s="61" t="str">
        <f>_xll.BDH(L214,$Q$2,$Q$1,$Q$1)</f>
        <v>#N/A Invalid Security</v>
      </c>
      <c r="AB214" s="61" t="str">
        <f>_xll.BDH(M214,$Q$2,$Q$1,$Q$1)</f>
        <v>#N/A Invalid Security</v>
      </c>
      <c r="AC214" s="61" t="str">
        <f>_xll.BDH(N214,$Q$2,$Q$1,$Q$1)</f>
        <v>#N/A Invalid Security</v>
      </c>
      <c r="AD214" s="61" t="str">
        <f>_xll.BDH(P214,$Q$2,$Q$1,$Q$1)</f>
        <v>#N/A Mandatory parameter [SECURITY] cannot be empty</v>
      </c>
      <c r="AE214" s="61" t="str">
        <f>_xll.BDH(Q214,$Q$2,$Q$1,$Q$1)</f>
        <v>#N/A Invalid Security</v>
      </c>
      <c r="AF214" s="61" t="str">
        <f>_xll.BDH(R214,$Q$2,$Q$1,$Q$1)</f>
        <v>#N/A Invalid Security</v>
      </c>
    </row>
    <row r="215" spans="1:32" ht="16.5" x14ac:dyDescent="0.3">
      <c r="A215" s="63"/>
      <c r="B215" s="61" t="str">
        <f t="shared" si="6"/>
        <v>KRWA2007 LCLS Curncy</v>
      </c>
      <c r="C215" s="61" t="str">
        <f t="shared" si="8"/>
        <v>KRWK2007 LCLS Curncy</v>
      </c>
      <c r="D215" s="61" t="str">
        <f t="shared" si="8"/>
        <v>KRWL2007 LCLS Curncy</v>
      </c>
      <c r="E215" s="61" t="str">
        <f t="shared" si="8"/>
        <v>KRWB2007 LCLS Curncy</v>
      </c>
      <c r="F215" s="61" t="str">
        <f t="shared" si="8"/>
        <v>KRWM2007 LCLS Curncy</v>
      </c>
      <c r="G215" s="61" t="str">
        <f t="shared" si="8"/>
        <v>KRWN2007 LCLS Curncy</v>
      </c>
      <c r="H215" s="61" t="str">
        <f t="shared" si="8"/>
        <v>KRWO2007 LCLS Curncy</v>
      </c>
      <c r="I215" s="61" t="str">
        <f t="shared" si="8"/>
        <v>KRWP2007 LCLS Curncy</v>
      </c>
      <c r="J215" s="61" t="str">
        <f t="shared" si="8"/>
        <v>KRWC2007 LCLS Curncy</v>
      </c>
      <c r="K215" s="61" t="str">
        <f t="shared" si="8"/>
        <v>KRWQ2007 LCLS Curncy</v>
      </c>
      <c r="L215" s="61" t="str">
        <f t="shared" si="8"/>
        <v>KRWR2007 LCLS Curncy</v>
      </c>
      <c r="M215" s="61" t="str">
        <f t="shared" si="8"/>
        <v>KRWD2007 LCLS Curncy</v>
      </c>
      <c r="N215" s="61" t="str">
        <f t="shared" si="8"/>
        <v>KRWD2007 LCLS Curncy</v>
      </c>
      <c r="O215" s="61" t="str">
        <f t="shared" si="8"/>
        <v xml:space="preserve"> LCLS Curncy</v>
      </c>
      <c r="Q215" s="61" t="str">
        <f>_xll.BDH(B215,$Q$2,$Q$1,$Q$1)</f>
        <v>#N/A Invalid Security</v>
      </c>
      <c r="R215" s="61" t="str">
        <f>_xll.BDH(C215,$Q$2,$Q$1,$Q$1)</f>
        <v>#N/A Invalid Security</v>
      </c>
      <c r="S215" s="61" t="str">
        <f>_xll.BDH(D215,$Q$2,$Q$1,$Q$1)</f>
        <v>#N/A Invalid Security</v>
      </c>
      <c r="T215" s="61" t="str">
        <f>_xll.BDH(E215,$Q$2,$Q$1,$Q$1)</f>
        <v>#N/A Invalid Security</v>
      </c>
      <c r="U215" s="61" t="str">
        <f>_xll.BDH(F215,$Q$2,$Q$1,$Q$1)</f>
        <v>#N/A Invalid Security</v>
      </c>
      <c r="V215" s="61" t="str">
        <f>_xll.BDH(G215,$Q$2,$Q$1,$Q$1)</f>
        <v>#N/A Invalid Security</v>
      </c>
      <c r="W215" s="61" t="str">
        <f>_xll.BDH(H215,$Q$2,$Q$1,$Q$1)</f>
        <v>#N/A Invalid Security</v>
      </c>
      <c r="X215" s="61" t="str">
        <f>_xll.BDH(I215,$Q$2,$Q$1,$Q$1)</f>
        <v>#N/A Invalid Security</v>
      </c>
      <c r="Y215" s="61" t="str">
        <f>_xll.BDH(J215,$Q$2,$Q$1,$Q$1)</f>
        <v>#N/A Invalid Security</v>
      </c>
      <c r="Z215" s="61" t="str">
        <f>_xll.BDH(K215,$Q$2,$Q$1,$Q$1)</f>
        <v>#N/A Invalid Security</v>
      </c>
      <c r="AA215" s="61" t="str">
        <f>_xll.BDH(L215,$Q$2,$Q$1,$Q$1)</f>
        <v>#N/A Invalid Security</v>
      </c>
      <c r="AB215" s="61" t="str">
        <f>_xll.BDH(M215,$Q$2,$Q$1,$Q$1)</f>
        <v>#N/A Invalid Security</v>
      </c>
      <c r="AC215" s="61" t="str">
        <f>_xll.BDH(N215,$Q$2,$Q$1,$Q$1)</f>
        <v>#N/A Invalid Security</v>
      </c>
      <c r="AD215" s="61" t="str">
        <f>_xll.BDH(P215,$Q$2,$Q$1,$Q$1)</f>
        <v>#N/A Mandatory parameter [SECURITY] cannot be empty</v>
      </c>
      <c r="AE215" s="61" t="str">
        <f>_xll.BDH(Q215,$Q$2,$Q$1,$Q$1)</f>
        <v>#N/A Invalid Security</v>
      </c>
      <c r="AF215" s="61" t="str">
        <f>_xll.BDH(R215,$Q$2,$Q$1,$Q$1)</f>
        <v>#N/A Invalid Security</v>
      </c>
    </row>
    <row r="216" spans="1:32" ht="16.5" x14ac:dyDescent="0.3">
      <c r="A216" s="63"/>
      <c r="B216" s="61" t="str">
        <f t="shared" si="6"/>
        <v>KRWA2008 LCLS Curncy</v>
      </c>
      <c r="C216" s="61" t="str">
        <f t="shared" si="8"/>
        <v>KRWK2008 LCLS Curncy</v>
      </c>
      <c r="D216" s="61" t="str">
        <f t="shared" si="8"/>
        <v>KRWL2008 LCLS Curncy</v>
      </c>
      <c r="E216" s="61" t="str">
        <f t="shared" si="8"/>
        <v>KRWB2008 LCLS Curncy</v>
      </c>
      <c r="F216" s="61" t="str">
        <f t="shared" si="8"/>
        <v>KRWM2008 LCLS Curncy</v>
      </c>
      <c r="G216" s="61" t="str">
        <f t="shared" si="8"/>
        <v>KRWN2008 LCLS Curncy</v>
      </c>
      <c r="H216" s="61" t="str">
        <f t="shared" si="8"/>
        <v>KRWO2008 LCLS Curncy</v>
      </c>
      <c r="I216" s="61" t="str">
        <f t="shared" si="8"/>
        <v>KRWP2008 LCLS Curncy</v>
      </c>
      <c r="J216" s="61" t="str">
        <f t="shared" si="8"/>
        <v>KRWC2008 LCLS Curncy</v>
      </c>
      <c r="K216" s="61" t="str">
        <f t="shared" si="8"/>
        <v>KRWQ2008 LCLS Curncy</v>
      </c>
      <c r="L216" s="61" t="str">
        <f t="shared" si="8"/>
        <v>KRWR2008 LCLS Curncy</v>
      </c>
      <c r="M216" s="61" t="str">
        <f t="shared" si="8"/>
        <v>KRWD2008 LCLS Curncy</v>
      </c>
      <c r="N216" s="61" t="str">
        <f t="shared" si="8"/>
        <v>KRWD2008 LCLS Curncy</v>
      </c>
      <c r="O216" s="61" t="str">
        <f t="shared" si="8"/>
        <v xml:space="preserve"> LCLS Curncy</v>
      </c>
      <c r="Q216" s="61" t="str">
        <f>_xll.BDH(B216,$Q$2,$Q$1,$Q$1)</f>
        <v>#N/A Invalid Security</v>
      </c>
      <c r="R216" s="61" t="str">
        <f>_xll.BDH(C216,$Q$2,$Q$1,$Q$1)</f>
        <v>#N/A Invalid Security</v>
      </c>
      <c r="S216" s="61" t="str">
        <f>_xll.BDH(D216,$Q$2,$Q$1,$Q$1)</f>
        <v>#N/A Invalid Security</v>
      </c>
      <c r="T216" s="61" t="str">
        <f>_xll.BDH(E216,$Q$2,$Q$1,$Q$1)</f>
        <v>#N/A Invalid Security</v>
      </c>
      <c r="U216" s="61" t="str">
        <f>_xll.BDH(F216,$Q$2,$Q$1,$Q$1)</f>
        <v>#N/A Invalid Security</v>
      </c>
      <c r="V216" s="61" t="str">
        <f>_xll.BDH(G216,$Q$2,$Q$1,$Q$1)</f>
        <v>#N/A Invalid Security</v>
      </c>
      <c r="W216" s="61" t="str">
        <f>_xll.BDH(H216,$Q$2,$Q$1,$Q$1)</f>
        <v>#N/A Invalid Security</v>
      </c>
      <c r="X216" s="61" t="str">
        <f>_xll.BDH(I216,$Q$2,$Q$1,$Q$1)</f>
        <v>#N/A Invalid Security</v>
      </c>
      <c r="Y216" s="61" t="str">
        <f>_xll.BDH(J216,$Q$2,$Q$1,$Q$1)</f>
        <v>#N/A Invalid Security</v>
      </c>
      <c r="Z216" s="61" t="str">
        <f>_xll.BDH(K216,$Q$2,$Q$1,$Q$1)</f>
        <v>#N/A Invalid Security</v>
      </c>
      <c r="AA216" s="61" t="str">
        <f>_xll.BDH(L216,$Q$2,$Q$1,$Q$1)</f>
        <v>#N/A Invalid Security</v>
      </c>
      <c r="AB216" s="61" t="str">
        <f>_xll.BDH(M216,$Q$2,$Q$1,$Q$1)</f>
        <v>#N/A Invalid Security</v>
      </c>
      <c r="AC216" s="61" t="str">
        <f>_xll.BDH(N216,$Q$2,$Q$1,$Q$1)</f>
        <v>#N/A Invalid Security</v>
      </c>
      <c r="AD216" s="61" t="str">
        <f>_xll.BDH(P216,$Q$2,$Q$1,$Q$1)</f>
        <v>#N/A Mandatory parameter [SECURITY] cannot be empty</v>
      </c>
      <c r="AE216" s="61" t="str">
        <f>_xll.BDH(Q216,$Q$2,$Q$1,$Q$1)</f>
        <v>#N/A Invalid Security</v>
      </c>
      <c r="AF216" s="61" t="str">
        <f>_xll.BDH(R216,$Q$2,$Q$1,$Q$1)</f>
        <v>#N/A Invalid Security</v>
      </c>
    </row>
    <row r="217" spans="1:32" ht="16.5" x14ac:dyDescent="0.3">
      <c r="A217" s="63"/>
      <c r="B217" s="61" t="str">
        <f t="shared" si="6"/>
        <v>KRWA2009 LCLS Curncy</v>
      </c>
      <c r="C217" s="61" t="str">
        <f t="shared" si="8"/>
        <v>KRWK2009 LCLS Curncy</v>
      </c>
      <c r="D217" s="61" t="str">
        <f t="shared" si="8"/>
        <v>KRWL2009 LCLS Curncy</v>
      </c>
      <c r="E217" s="61" t="str">
        <f t="shared" si="8"/>
        <v>KRWB2009 LCLS Curncy</v>
      </c>
      <c r="F217" s="61" t="str">
        <f t="shared" si="8"/>
        <v>KRWM2009 LCLS Curncy</v>
      </c>
      <c r="G217" s="61" t="str">
        <f t="shared" si="8"/>
        <v>KRWN2009 LCLS Curncy</v>
      </c>
      <c r="H217" s="61" t="str">
        <f t="shared" si="8"/>
        <v>KRWO2009 LCLS Curncy</v>
      </c>
      <c r="I217" s="61" t="str">
        <f t="shared" si="8"/>
        <v>KRWP2009 LCLS Curncy</v>
      </c>
      <c r="J217" s="61" t="str">
        <f t="shared" si="8"/>
        <v>KRWC2009 LCLS Curncy</v>
      </c>
      <c r="K217" s="61" t="str">
        <f t="shared" si="8"/>
        <v>KRWQ2009 LCLS Curncy</v>
      </c>
      <c r="L217" s="61" t="str">
        <f t="shared" si="8"/>
        <v>KRWR2009 LCLS Curncy</v>
      </c>
      <c r="M217" s="61" t="str">
        <f t="shared" si="8"/>
        <v>KRWD2009 LCLS Curncy</v>
      </c>
      <c r="N217" s="61" t="str">
        <f t="shared" si="8"/>
        <v>KRWD2009 LCLS Curncy</v>
      </c>
      <c r="O217" s="61" t="str">
        <f t="shared" si="8"/>
        <v xml:space="preserve"> LCLS Curncy</v>
      </c>
      <c r="Q217" s="61" t="str">
        <f>_xll.BDH(B217,$Q$2,$Q$1,$Q$1)</f>
        <v>#N/A Invalid Security</v>
      </c>
      <c r="R217" s="61" t="str">
        <f>_xll.BDH(C217,$Q$2,$Q$1,$Q$1)</f>
        <v>#N/A Invalid Security</v>
      </c>
      <c r="S217" s="61" t="str">
        <f>_xll.BDH(D217,$Q$2,$Q$1,$Q$1)</f>
        <v>#N/A Invalid Security</v>
      </c>
      <c r="T217" s="61" t="str">
        <f>_xll.BDH(E217,$Q$2,$Q$1,$Q$1)</f>
        <v>#N/A Invalid Security</v>
      </c>
      <c r="U217" s="61" t="str">
        <f>_xll.BDH(F217,$Q$2,$Q$1,$Q$1)</f>
        <v>#N/A Invalid Security</v>
      </c>
      <c r="V217" s="61" t="str">
        <f>_xll.BDH(G217,$Q$2,$Q$1,$Q$1)</f>
        <v>#N/A Invalid Security</v>
      </c>
      <c r="W217" s="61" t="str">
        <f>_xll.BDH(H217,$Q$2,$Q$1,$Q$1)</f>
        <v>#N/A Invalid Security</v>
      </c>
      <c r="X217" s="61" t="str">
        <f>_xll.BDH(I217,$Q$2,$Q$1,$Q$1)</f>
        <v>#N/A Invalid Security</v>
      </c>
      <c r="Y217" s="61" t="str">
        <f>_xll.BDH(J217,$Q$2,$Q$1,$Q$1)</f>
        <v>#N/A Invalid Security</v>
      </c>
      <c r="Z217" s="61" t="str">
        <f>_xll.BDH(K217,$Q$2,$Q$1,$Q$1)</f>
        <v>#N/A Invalid Security</v>
      </c>
      <c r="AA217" s="61" t="str">
        <f>_xll.BDH(L217,$Q$2,$Q$1,$Q$1)</f>
        <v>#N/A Invalid Security</v>
      </c>
      <c r="AB217" s="61" t="str">
        <f>_xll.BDH(M217,$Q$2,$Q$1,$Q$1)</f>
        <v>#N/A Invalid Security</v>
      </c>
      <c r="AC217" s="61" t="str">
        <f>_xll.BDH(N217,$Q$2,$Q$1,$Q$1)</f>
        <v>#N/A Invalid Security</v>
      </c>
      <c r="AD217" s="61" t="str">
        <f>_xll.BDH(P217,$Q$2,$Q$1,$Q$1)</f>
        <v>#N/A Mandatory parameter [SECURITY] cannot be empty</v>
      </c>
      <c r="AE217" s="61" t="str">
        <f>_xll.BDH(Q217,$Q$2,$Q$1,$Q$1)</f>
        <v>#N/A Invalid Security</v>
      </c>
      <c r="AF217" s="61" t="str">
        <f>_xll.BDH(R217,$Q$2,$Q$1,$Q$1)</f>
        <v>#N/A Invalid Security</v>
      </c>
    </row>
    <row r="218" spans="1:32" ht="16.5" x14ac:dyDescent="0.3">
      <c r="A218" s="63"/>
      <c r="B218" s="61" t="str">
        <f t="shared" si="6"/>
        <v>KRWA2010 LCLS Curncy</v>
      </c>
      <c r="C218" s="61" t="str">
        <f t="shared" si="8"/>
        <v>KRWK2010 LCLS Curncy</v>
      </c>
      <c r="D218" s="61" t="str">
        <f t="shared" si="8"/>
        <v>KRWL2010 LCLS Curncy</v>
      </c>
      <c r="E218" s="61" t="str">
        <f t="shared" si="8"/>
        <v>KRWB2010 LCLS Curncy</v>
      </c>
      <c r="F218" s="61" t="str">
        <f t="shared" si="8"/>
        <v>KRWM2010 LCLS Curncy</v>
      </c>
      <c r="G218" s="61" t="str">
        <f t="shared" si="8"/>
        <v>KRWN2010 LCLS Curncy</v>
      </c>
      <c r="H218" s="61" t="str">
        <f t="shared" si="8"/>
        <v>KRWO2010 LCLS Curncy</v>
      </c>
      <c r="I218" s="61" t="str">
        <f t="shared" si="8"/>
        <v>KRWP2010 LCLS Curncy</v>
      </c>
      <c r="J218" s="61" t="str">
        <f t="shared" si="8"/>
        <v>KRWC2010 LCLS Curncy</v>
      </c>
      <c r="K218" s="61" t="str">
        <f t="shared" si="8"/>
        <v>KRWQ2010 LCLS Curncy</v>
      </c>
      <c r="L218" s="61" t="str">
        <f t="shared" si="8"/>
        <v>KRWR2010 LCLS Curncy</v>
      </c>
      <c r="M218" s="61" t="str">
        <f t="shared" si="8"/>
        <v>KRWD2010 LCLS Curncy</v>
      </c>
      <c r="N218" s="61" t="str">
        <f t="shared" si="8"/>
        <v>KRWD2010 LCLS Curncy</v>
      </c>
      <c r="O218" s="61" t="str">
        <f t="shared" si="8"/>
        <v xml:space="preserve"> LCLS Curncy</v>
      </c>
      <c r="Q218" s="61" t="str">
        <f>_xll.BDH(B218,$Q$2,$Q$1,$Q$1)</f>
        <v>#N/A Invalid Security</v>
      </c>
      <c r="R218" s="61" t="str">
        <f>_xll.BDH(C218,$Q$2,$Q$1,$Q$1)</f>
        <v>#N/A Invalid Security</v>
      </c>
      <c r="S218" s="61" t="str">
        <f>_xll.BDH(D218,$Q$2,$Q$1,$Q$1)</f>
        <v>#N/A Invalid Security</v>
      </c>
      <c r="T218" s="61" t="str">
        <f>_xll.BDH(E218,$Q$2,$Q$1,$Q$1)</f>
        <v>#N/A Invalid Security</v>
      </c>
      <c r="U218" s="61" t="str">
        <f>_xll.BDH(F218,$Q$2,$Q$1,$Q$1)</f>
        <v>#N/A Invalid Security</v>
      </c>
      <c r="V218" s="61" t="str">
        <f>_xll.BDH(G218,$Q$2,$Q$1,$Q$1)</f>
        <v>#N/A Invalid Security</v>
      </c>
      <c r="W218" s="61" t="str">
        <f>_xll.BDH(H218,$Q$2,$Q$1,$Q$1)</f>
        <v>#N/A Invalid Security</v>
      </c>
      <c r="X218" s="61" t="str">
        <f>_xll.BDH(I218,$Q$2,$Q$1,$Q$1)</f>
        <v>#N/A Invalid Security</v>
      </c>
      <c r="Y218" s="61" t="str">
        <f>_xll.BDH(J218,$Q$2,$Q$1,$Q$1)</f>
        <v>#N/A Invalid Security</v>
      </c>
      <c r="Z218" s="61" t="str">
        <f>_xll.BDH(K218,$Q$2,$Q$1,$Q$1)</f>
        <v>#N/A Invalid Security</v>
      </c>
      <c r="AA218" s="61" t="str">
        <f>_xll.BDH(L218,$Q$2,$Q$1,$Q$1)</f>
        <v>#N/A Invalid Security</v>
      </c>
      <c r="AB218" s="61" t="str">
        <f>_xll.BDH(M218,$Q$2,$Q$1,$Q$1)</f>
        <v>#N/A Invalid Security</v>
      </c>
      <c r="AC218" s="61" t="str">
        <f>_xll.BDH(N218,$Q$2,$Q$1,$Q$1)</f>
        <v>#N/A Invalid Security</v>
      </c>
      <c r="AD218" s="61" t="str">
        <f>_xll.BDH(P218,$Q$2,$Q$1,$Q$1)</f>
        <v>#N/A Mandatory parameter [SECURITY] cannot be empty</v>
      </c>
      <c r="AE218" s="61" t="str">
        <f>_xll.BDH(Q218,$Q$2,$Q$1,$Q$1)</f>
        <v>#N/A Invalid Security</v>
      </c>
      <c r="AF218" s="61" t="str">
        <f>_xll.BDH(R218,$Q$2,$Q$1,$Q$1)</f>
        <v>#N/A Invalid Security</v>
      </c>
    </row>
    <row r="219" spans="1:32" ht="16.5" x14ac:dyDescent="0.3">
      <c r="A219" s="63"/>
      <c r="B219" s="61" t="str">
        <f t="shared" si="6"/>
        <v>KRWA2015 LCLS Curncy</v>
      </c>
      <c r="C219" s="61" t="str">
        <f t="shared" si="8"/>
        <v>KRWK2015 LCLS Curncy</v>
      </c>
      <c r="D219" s="61" t="str">
        <f t="shared" si="8"/>
        <v>KRWL2015 LCLS Curncy</v>
      </c>
      <c r="E219" s="61" t="str">
        <f t="shared" si="8"/>
        <v>KRWB2015 LCLS Curncy</v>
      </c>
      <c r="F219" s="61" t="str">
        <f t="shared" si="8"/>
        <v>KRWM2015 LCLS Curncy</v>
      </c>
      <c r="G219" s="61" t="str">
        <f t="shared" si="8"/>
        <v>KRWN2015 LCLS Curncy</v>
      </c>
      <c r="H219" s="61" t="str">
        <f t="shared" si="8"/>
        <v>KRWO2015 LCLS Curncy</v>
      </c>
      <c r="I219" s="61" t="str">
        <f t="shared" si="8"/>
        <v>KRWP2015 LCLS Curncy</v>
      </c>
      <c r="J219" s="61" t="str">
        <f t="shared" si="8"/>
        <v>KRWC2015 LCLS Curncy</v>
      </c>
      <c r="K219" s="61" t="str">
        <f t="shared" si="8"/>
        <v>KRWQ2015 LCLS Curncy</v>
      </c>
      <c r="L219" s="61" t="str">
        <f t="shared" si="8"/>
        <v>KRWR2015 LCLS Curncy</v>
      </c>
      <c r="M219" s="61" t="str">
        <f t="shared" si="8"/>
        <v>KRWD2015 LCLS Curncy</v>
      </c>
      <c r="N219" s="61" t="str">
        <f t="shared" si="8"/>
        <v>KRWD2015 LCLS Curncy</v>
      </c>
      <c r="O219" s="61" t="str">
        <f t="shared" si="8"/>
        <v xml:space="preserve"> LCLS Curncy</v>
      </c>
      <c r="Q219" s="61" t="str">
        <f>_xll.BDH(B219,$Q$2,$Q$1,$Q$1)</f>
        <v>#N/A Invalid Security</v>
      </c>
      <c r="R219" s="61" t="str">
        <f>_xll.BDH(C219,$Q$2,$Q$1,$Q$1)</f>
        <v>#N/A Invalid Security</v>
      </c>
      <c r="S219" s="61" t="str">
        <f>_xll.BDH(D219,$Q$2,$Q$1,$Q$1)</f>
        <v>#N/A Invalid Security</v>
      </c>
      <c r="T219" s="61" t="str">
        <f>_xll.BDH(E219,$Q$2,$Q$1,$Q$1)</f>
        <v>#N/A Invalid Security</v>
      </c>
      <c r="U219" s="61" t="str">
        <f>_xll.BDH(F219,$Q$2,$Q$1,$Q$1)</f>
        <v>#N/A Invalid Security</v>
      </c>
      <c r="V219" s="61" t="str">
        <f>_xll.BDH(G219,$Q$2,$Q$1,$Q$1)</f>
        <v>#N/A Invalid Security</v>
      </c>
      <c r="W219" s="61" t="str">
        <f>_xll.BDH(H219,$Q$2,$Q$1,$Q$1)</f>
        <v>#N/A Invalid Security</v>
      </c>
      <c r="X219" s="61" t="str">
        <f>_xll.BDH(I219,$Q$2,$Q$1,$Q$1)</f>
        <v>#N/A Invalid Security</v>
      </c>
      <c r="Y219" s="61" t="str">
        <f>_xll.BDH(J219,$Q$2,$Q$1,$Q$1)</f>
        <v>#N/A Invalid Security</v>
      </c>
      <c r="Z219" s="61" t="str">
        <f>_xll.BDH(K219,$Q$2,$Q$1,$Q$1)</f>
        <v>#N/A Invalid Security</v>
      </c>
      <c r="AA219" s="61" t="str">
        <f>_xll.BDH(L219,$Q$2,$Q$1,$Q$1)</f>
        <v>#N/A Invalid Security</v>
      </c>
      <c r="AB219" s="61" t="str">
        <f>_xll.BDH(M219,$Q$2,$Q$1,$Q$1)</f>
        <v>#N/A Invalid Security</v>
      </c>
      <c r="AC219" s="61" t="str">
        <f>_xll.BDH(N219,$Q$2,$Q$1,$Q$1)</f>
        <v>#N/A Invalid Security</v>
      </c>
      <c r="AD219" s="61" t="str">
        <f>_xll.BDH(P219,$Q$2,$Q$1,$Q$1)</f>
        <v>#N/A Mandatory parameter [SECURITY] cannot be empty</v>
      </c>
      <c r="AE219" s="61" t="str">
        <f>_xll.BDH(Q219,$Q$2,$Q$1,$Q$1)</f>
        <v>#N/A Invalid Security</v>
      </c>
      <c r="AF219" s="61" t="str">
        <f>_xll.BDH(R219,$Q$2,$Q$1,$Q$1)</f>
        <v>#N/A Invalid Security</v>
      </c>
    </row>
    <row r="220" spans="1:32" ht="16.5" x14ac:dyDescent="0.3">
      <c r="A220" s="63"/>
    </row>
    <row r="241" ht="14.25" customHeight="1" x14ac:dyDescent="0.3"/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79998168889431442"/>
  </sheetPr>
  <dimension ref="A1:CC37"/>
  <sheetViews>
    <sheetView topLeftCell="A16" zoomScale="55" zoomScaleNormal="55" workbookViewId="0">
      <selection activeCell="K66" sqref="K66"/>
    </sheetView>
  </sheetViews>
  <sheetFormatPr defaultRowHeight="16.5" x14ac:dyDescent="0.3"/>
  <cols>
    <col min="2" max="2" width="9.75" bestFit="1" customWidth="1"/>
    <col min="3" max="3" width="9" customWidth="1"/>
    <col min="42" max="42" width="27.625" bestFit="1" customWidth="1"/>
    <col min="43" max="43" width="25.625" bestFit="1" customWidth="1"/>
  </cols>
  <sheetData>
    <row r="1" spans="1:81" x14ac:dyDescent="0.3">
      <c r="B1" t="s">
        <v>567</v>
      </c>
      <c r="D1" t="s">
        <v>2798</v>
      </c>
      <c r="AP1" t="s">
        <v>2797</v>
      </c>
    </row>
    <row r="2" spans="1:81" x14ac:dyDescent="0.25">
      <c r="A2" s="1" t="s">
        <v>171</v>
      </c>
      <c r="B2" s="37" t="s">
        <v>530</v>
      </c>
      <c r="C2" s="37" t="s">
        <v>568</v>
      </c>
      <c r="D2" s="37" t="s">
        <v>569</v>
      </c>
      <c r="E2" s="37" t="s">
        <v>570</v>
      </c>
      <c r="F2" s="37" t="s">
        <v>571</v>
      </c>
      <c r="G2" s="37" t="s">
        <v>572</v>
      </c>
      <c r="H2" s="37" t="s">
        <v>531</v>
      </c>
      <c r="I2" s="37" t="s">
        <v>573</v>
      </c>
      <c r="J2" s="37" t="s">
        <v>574</v>
      </c>
      <c r="K2" s="37" t="s">
        <v>575</v>
      </c>
      <c r="L2" s="37" t="s">
        <v>538</v>
      </c>
      <c r="M2" s="37" t="s">
        <v>539</v>
      </c>
      <c r="N2" s="37" t="s">
        <v>540</v>
      </c>
      <c r="O2" s="37" t="s">
        <v>541</v>
      </c>
      <c r="P2" s="37" t="s">
        <v>542</v>
      </c>
      <c r="Q2" s="37" t="s">
        <v>543</v>
      </c>
      <c r="R2" s="37" t="s">
        <v>544</v>
      </c>
      <c r="S2" s="37" t="s">
        <v>545</v>
      </c>
      <c r="T2" s="37" t="s">
        <v>546</v>
      </c>
      <c r="U2" s="37" t="s">
        <v>547</v>
      </c>
      <c r="V2" s="37" t="s">
        <v>548</v>
      </c>
      <c r="W2" s="37" t="s">
        <v>549</v>
      </c>
      <c r="X2" s="37" t="s">
        <v>550</v>
      </c>
      <c r="Y2" s="37" t="s">
        <v>551</v>
      </c>
      <c r="Z2" s="37" t="s">
        <v>552</v>
      </c>
      <c r="AA2" s="37" t="s">
        <v>553</v>
      </c>
      <c r="AB2" s="37" t="s">
        <v>554</v>
      </c>
      <c r="AC2" s="37" t="s">
        <v>555</v>
      </c>
      <c r="AD2" s="37" t="s">
        <v>556</v>
      </c>
      <c r="AE2" s="37" t="s">
        <v>557</v>
      </c>
      <c r="AF2" s="37" t="s">
        <v>558</v>
      </c>
      <c r="AG2" s="37" t="s">
        <v>559</v>
      </c>
      <c r="AH2" s="37" t="s">
        <v>560</v>
      </c>
      <c r="AI2" s="37" t="s">
        <v>561</v>
      </c>
      <c r="AJ2" s="37" t="s">
        <v>562</v>
      </c>
      <c r="AK2" s="37" t="s">
        <v>563</v>
      </c>
      <c r="AL2" s="37" t="s">
        <v>564</v>
      </c>
      <c r="AM2" s="37" t="s">
        <v>565</v>
      </c>
      <c r="AN2" s="37" t="s">
        <v>566</v>
      </c>
      <c r="AO2" s="37"/>
      <c r="AP2" s="37" t="s">
        <v>568</v>
      </c>
      <c r="AQ2" s="37" t="s">
        <v>569</v>
      </c>
      <c r="AR2" s="37" t="s">
        <v>570</v>
      </c>
      <c r="AS2" s="37" t="s">
        <v>571</v>
      </c>
      <c r="AT2" s="37" t="s">
        <v>572</v>
      </c>
      <c r="AU2" s="37" t="s">
        <v>531</v>
      </c>
      <c r="AV2" s="37" t="s">
        <v>573</v>
      </c>
      <c r="AW2" s="37" t="s">
        <v>574</v>
      </c>
      <c r="AX2" s="37" t="s">
        <v>575</v>
      </c>
      <c r="AY2" s="37" t="s">
        <v>538</v>
      </c>
      <c r="AZ2" s="37" t="s">
        <v>539</v>
      </c>
      <c r="BA2" s="37" t="s">
        <v>540</v>
      </c>
      <c r="BB2" s="37" t="s">
        <v>541</v>
      </c>
      <c r="BC2" s="37" t="s">
        <v>542</v>
      </c>
      <c r="BD2" s="37" t="s">
        <v>543</v>
      </c>
      <c r="BE2" s="37" t="s">
        <v>544</v>
      </c>
      <c r="BF2" s="37" t="s">
        <v>545</v>
      </c>
      <c r="BG2" s="37" t="s">
        <v>546</v>
      </c>
      <c r="BH2" s="37" t="s">
        <v>547</v>
      </c>
      <c r="BI2" s="37" t="s">
        <v>548</v>
      </c>
      <c r="BJ2" s="37" t="s">
        <v>549</v>
      </c>
      <c r="BK2" s="37" t="s">
        <v>550</v>
      </c>
      <c r="BL2" s="37" t="s">
        <v>551</v>
      </c>
      <c r="BM2" s="37" t="s">
        <v>552</v>
      </c>
      <c r="BN2" s="37" t="s">
        <v>553</v>
      </c>
      <c r="BO2" s="37" t="s">
        <v>554</v>
      </c>
      <c r="BP2" s="37" t="s">
        <v>555</v>
      </c>
      <c r="BQ2" s="37" t="s">
        <v>556</v>
      </c>
      <c r="BR2" s="37" t="s">
        <v>557</v>
      </c>
      <c r="BS2" s="37" t="s">
        <v>558</v>
      </c>
      <c r="BT2" s="37" t="s">
        <v>559</v>
      </c>
      <c r="BU2" s="37" t="s">
        <v>560</v>
      </c>
      <c r="BV2" s="37" t="s">
        <v>561</v>
      </c>
      <c r="BW2" s="37" t="s">
        <v>562</v>
      </c>
      <c r="BX2" s="37" t="s">
        <v>563</v>
      </c>
      <c r="BY2" s="37" t="s">
        <v>564</v>
      </c>
      <c r="BZ2" s="37" t="s">
        <v>565</v>
      </c>
      <c r="CA2" s="37" t="s">
        <v>566</v>
      </c>
    </row>
    <row r="3" spans="1:81" x14ac:dyDescent="0.3">
      <c r="B3" s="38" t="s">
        <v>302</v>
      </c>
      <c r="C3" s="38" t="s">
        <v>2227</v>
      </c>
      <c r="D3" s="38" t="s">
        <v>2228</v>
      </c>
      <c r="E3" s="38" t="s">
        <v>2229</v>
      </c>
      <c r="F3" s="38" t="s">
        <v>2230</v>
      </c>
      <c r="G3" s="38" t="s">
        <v>2231</v>
      </c>
      <c r="H3" s="38" t="s">
        <v>2232</v>
      </c>
      <c r="I3" s="38" t="s">
        <v>2233</v>
      </c>
      <c r="J3" s="38" t="s">
        <v>2234</v>
      </c>
      <c r="K3" s="38" t="s">
        <v>2235</v>
      </c>
      <c r="L3" s="38" t="s">
        <v>2236</v>
      </c>
      <c r="M3" s="38" t="s">
        <v>2237</v>
      </c>
      <c r="N3" s="38" t="s">
        <v>2238</v>
      </c>
      <c r="O3" s="38" t="s">
        <v>2239</v>
      </c>
      <c r="P3" s="38" t="s">
        <v>2240</v>
      </c>
      <c r="Q3" s="38" t="s">
        <v>2241</v>
      </c>
      <c r="R3" s="38" t="s">
        <v>2242</v>
      </c>
      <c r="S3" s="38" t="s">
        <v>2243</v>
      </c>
      <c r="T3" s="38" t="s">
        <v>2244</v>
      </c>
      <c r="U3" s="38" t="s">
        <v>2245</v>
      </c>
      <c r="V3" s="38" t="s">
        <v>2246</v>
      </c>
      <c r="W3" s="38" t="s">
        <v>2247</v>
      </c>
      <c r="X3" s="38" t="s">
        <v>2248</v>
      </c>
      <c r="Y3" s="38" t="s">
        <v>2249</v>
      </c>
      <c r="Z3" s="38" t="s">
        <v>2250</v>
      </c>
      <c r="AA3" s="38" t="s">
        <v>2251</v>
      </c>
      <c r="AB3" s="38" t="s">
        <v>2252</v>
      </c>
      <c r="AC3" s="38" t="s">
        <v>2253</v>
      </c>
      <c r="AD3" s="38" t="s">
        <v>2254</v>
      </c>
      <c r="AE3" s="38" t="s">
        <v>2255</v>
      </c>
      <c r="AF3" s="38" t="s">
        <v>2256</v>
      </c>
      <c r="AG3" s="38" t="s">
        <v>2257</v>
      </c>
      <c r="AH3" s="38" t="s">
        <v>2258</v>
      </c>
      <c r="AI3" s="38" t="s">
        <v>2259</v>
      </c>
      <c r="AJ3" s="38" t="s">
        <v>2260</v>
      </c>
      <c r="AK3" s="38" t="s">
        <v>2261</v>
      </c>
      <c r="AL3" s="38" t="s">
        <v>2262</v>
      </c>
      <c r="AM3" s="38" t="s">
        <v>2263</v>
      </c>
      <c r="AN3" s="38" t="s">
        <v>2264</v>
      </c>
      <c r="AO3" s="38"/>
      <c r="AP3" s="38" t="str">
        <f>C3&amp;$D$1</f>
        <v>KWCIU0D  BBIR Curncy</v>
      </c>
      <c r="AQ3" s="38" t="str">
        <f t="shared" ref="AQ3:BU11" si="0">D3&amp;$D$1</f>
        <v>KWCIK0D  BBIR Curncy</v>
      </c>
      <c r="AR3" s="38" t="str">
        <f t="shared" si="0"/>
        <v>KWCIF0D  BBIR Curncy</v>
      </c>
      <c r="AS3" s="38" t="str">
        <f t="shared" si="0"/>
        <v>KWCIA0D  BBIR Curncy</v>
      </c>
      <c r="AT3" s="38" t="str">
        <f t="shared" si="0"/>
        <v>KWCI50D  BBIR Curncy</v>
      </c>
      <c r="AU3" s="38" t="str">
        <f t="shared" si="0"/>
        <v>KWNS01   BBIR Curncy</v>
      </c>
      <c r="AV3" s="38" t="str">
        <f t="shared" si="0"/>
        <v>KWC050D  BBIR Curncy</v>
      </c>
      <c r="AW3" s="38" t="str">
        <f t="shared" si="0"/>
        <v>KWC0A0D  BBIR Curncy</v>
      </c>
      <c r="AX3" s="38" t="str">
        <f t="shared" si="0"/>
        <v>KWC0F0D  BBIR Curncy</v>
      </c>
      <c r="AY3" s="38" t="str">
        <f t="shared" si="0"/>
        <v>KWC0K0D  BBIR Curncy</v>
      </c>
      <c r="AZ3" s="38" t="str">
        <f t="shared" si="0"/>
        <v>KWC0U0D  BBIR Curncy</v>
      </c>
      <c r="BA3" s="38" t="str">
        <f t="shared" si="0"/>
        <v>KWC140D  BBIR Curncy</v>
      </c>
      <c r="BB3" s="38" t="str">
        <f t="shared" si="0"/>
        <v>KWC1E0D  BBIR Curncy</v>
      </c>
      <c r="BC3" s="38" t="str">
        <f t="shared" si="0"/>
        <v>KWC1O0D  BBIR Curncy</v>
      </c>
      <c r="BD3" s="38" t="str">
        <f t="shared" si="0"/>
        <v>KWC1Y0D  BBIR Curncy</v>
      </c>
      <c r="BE3" s="38" t="str">
        <f t="shared" si="0"/>
        <v>KWC280D  BBIR Curncy</v>
      </c>
      <c r="BF3" s="38" t="str">
        <f t="shared" si="0"/>
        <v>KWC2I0D  BBIR Curncy</v>
      </c>
      <c r="BG3" s="38" t="str">
        <f t="shared" si="0"/>
        <v>KWC2S0D  BBIR Curncy</v>
      </c>
      <c r="BH3" s="38" t="str">
        <f t="shared" si="0"/>
        <v>KWC320D  BBIR Curncy</v>
      </c>
      <c r="BI3" s="38" t="str">
        <f t="shared" si="0"/>
        <v>KWC3C0D  BBIR Curncy</v>
      </c>
      <c r="BJ3" s="38" t="str">
        <f t="shared" si="0"/>
        <v>KWC3M0D  BBIR Curncy</v>
      </c>
      <c r="BK3" s="38" t="str">
        <f t="shared" si="0"/>
        <v>KWC3W0D  BBIR Curncy</v>
      </c>
      <c r="BL3" s="38" t="str">
        <f t="shared" si="0"/>
        <v>KWC460D  BBIR Curncy</v>
      </c>
      <c r="BM3" s="38" t="str">
        <f t="shared" si="0"/>
        <v>KWC4G0D  BBIR Curncy</v>
      </c>
      <c r="BN3" s="38" t="str">
        <f t="shared" si="0"/>
        <v>KWC4Q0D  BBIR Curncy</v>
      </c>
      <c r="BO3" s="38" t="str">
        <f t="shared" si="0"/>
        <v>KWC500D  BBIR Curncy</v>
      </c>
      <c r="BP3" s="38" t="str">
        <f t="shared" si="0"/>
        <v>KWC5A0D  BBIR Curncy</v>
      </c>
      <c r="BQ3" s="38" t="str">
        <f t="shared" si="0"/>
        <v>KWC5K0D  BBIR Curncy</v>
      </c>
      <c r="BR3" s="38" t="str">
        <f t="shared" si="0"/>
        <v>KWC5U0D  BBIR Curncy</v>
      </c>
      <c r="BS3" s="38" t="str">
        <f t="shared" si="0"/>
        <v>KWC640D  BBIR Curncy</v>
      </c>
      <c r="BT3" s="38" t="str">
        <f t="shared" si="0"/>
        <v>KWC6E0D  BBIR Curncy</v>
      </c>
      <c r="BU3" s="38" t="str">
        <f t="shared" si="0"/>
        <v>KWC6O0D  BBIR Curncy</v>
      </c>
      <c r="BV3" s="38" t="str">
        <f>AI3&amp;$D$1</f>
        <v>KWC6Y0D  BBIR Curncy</v>
      </c>
      <c r="BW3" s="38" t="str">
        <f t="shared" ref="BW3:CA17" si="1">AJ3&amp;$D$1</f>
        <v>KWC780D  BBIR Curncy</v>
      </c>
      <c r="BX3" s="38" t="str">
        <f t="shared" si="1"/>
        <v>KWC7I0D  BBIR Curncy</v>
      </c>
      <c r="BY3" s="38" t="str">
        <f t="shared" si="1"/>
        <v>KWC7S0D  BBIR Curncy</v>
      </c>
      <c r="BZ3" s="38" t="str">
        <f t="shared" si="1"/>
        <v>KWC820D  BBIR Curncy</v>
      </c>
      <c r="CA3" s="38" t="str">
        <f t="shared" si="1"/>
        <v>KWC8C0D  BBIR Curncy</v>
      </c>
      <c r="CB3" s="38"/>
      <c r="CC3" s="38"/>
    </row>
    <row r="4" spans="1:81" x14ac:dyDescent="0.3">
      <c r="B4" s="38" t="s">
        <v>303</v>
      </c>
      <c r="C4" s="38" t="s">
        <v>2265</v>
      </c>
      <c r="D4" s="38" t="s">
        <v>2266</v>
      </c>
      <c r="E4" s="38" t="s">
        <v>2267</v>
      </c>
      <c r="F4" s="38" t="s">
        <v>2268</v>
      </c>
      <c r="G4" s="38" t="s">
        <v>2269</v>
      </c>
      <c r="H4" s="38" t="s">
        <v>2270</v>
      </c>
      <c r="I4" s="38" t="s">
        <v>2271</v>
      </c>
      <c r="J4" s="38" t="s">
        <v>2272</v>
      </c>
      <c r="K4" s="38" t="s">
        <v>2273</v>
      </c>
      <c r="L4" s="38" t="s">
        <v>2274</v>
      </c>
      <c r="M4" s="38" t="s">
        <v>2275</v>
      </c>
      <c r="N4" s="38" t="s">
        <v>2276</v>
      </c>
      <c r="O4" s="38" t="s">
        <v>2277</v>
      </c>
      <c r="P4" s="38" t="s">
        <v>2278</v>
      </c>
      <c r="Q4" s="38" t="s">
        <v>2279</v>
      </c>
      <c r="R4" s="38" t="s">
        <v>2280</v>
      </c>
      <c r="S4" s="38" t="s">
        <v>2281</v>
      </c>
      <c r="T4" s="38" t="s">
        <v>2282</v>
      </c>
      <c r="U4" s="38" t="s">
        <v>2283</v>
      </c>
      <c r="V4" s="38" t="s">
        <v>2284</v>
      </c>
      <c r="W4" s="38" t="s">
        <v>2285</v>
      </c>
      <c r="X4" s="38" t="s">
        <v>2286</v>
      </c>
      <c r="Y4" s="38" t="s">
        <v>2287</v>
      </c>
      <c r="Z4" s="38" t="s">
        <v>2288</v>
      </c>
      <c r="AA4" s="38" t="s">
        <v>2289</v>
      </c>
      <c r="AB4" s="38" t="s">
        <v>2290</v>
      </c>
      <c r="AC4" s="38" t="s">
        <v>2291</v>
      </c>
      <c r="AD4" s="38" t="s">
        <v>2292</v>
      </c>
      <c r="AE4" s="38" t="s">
        <v>2293</v>
      </c>
      <c r="AF4" s="38" t="s">
        <v>2294</v>
      </c>
      <c r="AG4" s="38" t="s">
        <v>2295</v>
      </c>
      <c r="AH4" s="38" t="s">
        <v>2296</v>
      </c>
      <c r="AI4" s="38" t="s">
        <v>2297</v>
      </c>
      <c r="AJ4" s="38" t="s">
        <v>2298</v>
      </c>
      <c r="AK4" s="38" t="s">
        <v>2299</v>
      </c>
      <c r="AL4" s="38" t="s">
        <v>2300</v>
      </c>
      <c r="AM4" s="38" t="s">
        <v>2301</v>
      </c>
      <c r="AN4" s="38" t="s">
        <v>2302</v>
      </c>
      <c r="AO4" s="38"/>
      <c r="AP4" s="38" t="str">
        <f t="shared" ref="AP4:AP17" si="2">C4&amp;$D$1</f>
        <v>KWCIU0G  BBIR Curncy</v>
      </c>
      <c r="AQ4" s="38" t="str">
        <f t="shared" si="0"/>
        <v>KWCIK0G  BBIR Curncy</v>
      </c>
      <c r="AR4" s="38" t="str">
        <f t="shared" si="0"/>
        <v>KWCIF0G  BBIR Curncy</v>
      </c>
      <c r="AS4" s="38" t="str">
        <f t="shared" si="0"/>
        <v>KWCIA0G  BBIR Curncy</v>
      </c>
      <c r="AT4" s="38" t="str">
        <f t="shared" si="0"/>
        <v>KWCI50G  BBIR Curncy</v>
      </c>
      <c r="AU4" s="38" t="str">
        <f t="shared" si="0"/>
        <v>KWNS02   BBIR Curncy</v>
      </c>
      <c r="AV4" s="38" t="str">
        <f t="shared" si="0"/>
        <v>KWC050G  BBIR Curncy</v>
      </c>
      <c r="AW4" s="38" t="str">
        <f t="shared" si="0"/>
        <v>KWC0A0G  BBIR Curncy</v>
      </c>
      <c r="AX4" s="38" t="str">
        <f t="shared" si="0"/>
        <v>KWC0F0G  BBIR Curncy</v>
      </c>
      <c r="AY4" s="38" t="str">
        <f t="shared" si="0"/>
        <v>KWC0K0G  BBIR Curncy</v>
      </c>
      <c r="AZ4" s="38" t="str">
        <f t="shared" si="0"/>
        <v>KWC0U0G  BBIR Curncy</v>
      </c>
      <c r="BA4" s="38" t="str">
        <f t="shared" si="0"/>
        <v>KWC140G  BBIR Curncy</v>
      </c>
      <c r="BB4" s="38" t="str">
        <f t="shared" si="0"/>
        <v>KWC1E0G  BBIR Curncy</v>
      </c>
      <c r="BC4" s="38" t="str">
        <f t="shared" si="0"/>
        <v>KWC1O0G  BBIR Curncy</v>
      </c>
      <c r="BD4" s="38" t="str">
        <f t="shared" si="0"/>
        <v>KWC1Y0G  BBIR Curncy</v>
      </c>
      <c r="BE4" s="38" t="str">
        <f t="shared" si="0"/>
        <v>KWC280G  BBIR Curncy</v>
      </c>
      <c r="BF4" s="38" t="str">
        <f t="shared" si="0"/>
        <v>KWC2I0G  BBIR Curncy</v>
      </c>
      <c r="BG4" s="38" t="str">
        <f t="shared" si="0"/>
        <v>KWC2S0G  BBIR Curncy</v>
      </c>
      <c r="BH4" s="38" t="str">
        <f t="shared" si="0"/>
        <v>KWC320G  BBIR Curncy</v>
      </c>
      <c r="BI4" s="38" t="str">
        <f t="shared" si="0"/>
        <v>KWC3C0G  BBIR Curncy</v>
      </c>
      <c r="BJ4" s="38" t="str">
        <f t="shared" si="0"/>
        <v>KWC3M0G  BBIR Curncy</v>
      </c>
      <c r="BK4" s="38" t="str">
        <f t="shared" si="0"/>
        <v>KWC3W0G  BBIR Curncy</v>
      </c>
      <c r="BL4" s="38" t="str">
        <f t="shared" si="0"/>
        <v>KWC460G  BBIR Curncy</v>
      </c>
      <c r="BM4" s="38" t="str">
        <f t="shared" si="0"/>
        <v>KWC4G0G  BBIR Curncy</v>
      </c>
      <c r="BN4" s="38" t="str">
        <f t="shared" si="0"/>
        <v>KWC4Q0G  BBIR Curncy</v>
      </c>
      <c r="BO4" s="38" t="str">
        <f t="shared" si="0"/>
        <v>KWC500G  BBIR Curncy</v>
      </c>
      <c r="BP4" s="38" t="str">
        <f t="shared" si="0"/>
        <v>KWC5A0G  BBIR Curncy</v>
      </c>
      <c r="BQ4" s="38" t="str">
        <f t="shared" si="0"/>
        <v>KWC5K0G  BBIR Curncy</v>
      </c>
      <c r="BR4" s="38" t="str">
        <f t="shared" si="0"/>
        <v>KWC5U0G  BBIR Curncy</v>
      </c>
      <c r="BS4" s="38" t="str">
        <f t="shared" si="0"/>
        <v>KWC640G  BBIR Curncy</v>
      </c>
      <c r="BT4" s="38" t="str">
        <f t="shared" si="0"/>
        <v>KWC6E0G  BBIR Curncy</v>
      </c>
      <c r="BU4" s="38" t="str">
        <f t="shared" si="0"/>
        <v>KWC6O0G  BBIR Curncy</v>
      </c>
      <c r="BV4" s="38" t="str">
        <f t="shared" ref="BV4:BV17" si="3">AI4&amp;$D$1</f>
        <v>KWC6Y0G  BBIR Curncy</v>
      </c>
      <c r="BW4" s="38" t="str">
        <f t="shared" si="1"/>
        <v>KWC780G  BBIR Curncy</v>
      </c>
      <c r="BX4" s="38" t="str">
        <f t="shared" si="1"/>
        <v>KWC7I0G  BBIR Curncy</v>
      </c>
      <c r="BY4" s="38" t="str">
        <f t="shared" si="1"/>
        <v>KWC7S0G  BBIR Curncy</v>
      </c>
      <c r="BZ4" s="38" t="str">
        <f t="shared" si="1"/>
        <v>KWC820G  BBIR Curncy</v>
      </c>
      <c r="CA4" s="38" t="str">
        <f t="shared" si="1"/>
        <v>KWC8C0G  BBIR Curncy</v>
      </c>
      <c r="CB4" s="38"/>
      <c r="CC4" s="38"/>
    </row>
    <row r="5" spans="1:81" x14ac:dyDescent="0.3">
      <c r="B5" s="38" t="s">
        <v>304</v>
      </c>
      <c r="C5" s="38" t="s">
        <v>2303</v>
      </c>
      <c r="D5" s="38" t="s">
        <v>2304</v>
      </c>
      <c r="E5" s="38" t="s">
        <v>2305</v>
      </c>
      <c r="F5" s="38" t="s">
        <v>2306</v>
      </c>
      <c r="G5" s="38" t="s">
        <v>2307</v>
      </c>
      <c r="H5" s="38" t="s">
        <v>2308</v>
      </c>
      <c r="I5" s="38" t="s">
        <v>2309</v>
      </c>
      <c r="J5" s="38" t="s">
        <v>2310</v>
      </c>
      <c r="K5" s="38" t="s">
        <v>2311</v>
      </c>
      <c r="L5" s="38" t="s">
        <v>2312</v>
      </c>
      <c r="M5" s="38" t="s">
        <v>2313</v>
      </c>
      <c r="N5" s="38" t="s">
        <v>2314</v>
      </c>
      <c r="O5" s="38" t="s">
        <v>2315</v>
      </c>
      <c r="P5" s="38" t="s">
        <v>2316</v>
      </c>
      <c r="Q5" s="38" t="s">
        <v>2317</v>
      </c>
      <c r="R5" s="38" t="s">
        <v>2318</v>
      </c>
      <c r="S5" s="38" t="s">
        <v>2319</v>
      </c>
      <c r="T5" s="38" t="s">
        <v>2320</v>
      </c>
      <c r="U5" s="38" t="s">
        <v>2321</v>
      </c>
      <c r="V5" s="38" t="s">
        <v>2322</v>
      </c>
      <c r="W5" s="38" t="s">
        <v>2323</v>
      </c>
      <c r="X5" s="38" t="s">
        <v>2324</v>
      </c>
      <c r="Y5" s="38" t="s">
        <v>2325</v>
      </c>
      <c r="Z5" s="38" t="s">
        <v>2326</v>
      </c>
      <c r="AA5" s="38" t="s">
        <v>2327</v>
      </c>
      <c r="AB5" s="38" t="s">
        <v>2328</v>
      </c>
      <c r="AC5" s="38" t="s">
        <v>2329</v>
      </c>
      <c r="AD5" s="38" t="s">
        <v>2330</v>
      </c>
      <c r="AE5" s="38" t="s">
        <v>2331</v>
      </c>
      <c r="AF5" s="38" t="s">
        <v>2332</v>
      </c>
      <c r="AG5" s="38" t="s">
        <v>2333</v>
      </c>
      <c r="AH5" s="38" t="s">
        <v>2334</v>
      </c>
      <c r="AI5" s="38" t="s">
        <v>2335</v>
      </c>
      <c r="AJ5" s="38" t="s">
        <v>2336</v>
      </c>
      <c r="AK5" s="38" t="s">
        <v>2337</v>
      </c>
      <c r="AL5" s="38" t="s">
        <v>2338</v>
      </c>
      <c r="AM5" s="38" t="s">
        <v>2339</v>
      </c>
      <c r="AN5" s="38" t="s">
        <v>2340</v>
      </c>
      <c r="AO5" s="38"/>
      <c r="AP5" s="38" t="str">
        <f t="shared" si="2"/>
        <v>KWCIU0H  BBIR Curncy</v>
      </c>
      <c r="AQ5" s="38" t="str">
        <f t="shared" si="0"/>
        <v>KWCIK0H  BBIR Curncy</v>
      </c>
      <c r="AR5" s="38" t="str">
        <f t="shared" si="0"/>
        <v>KWCIF0H  BBIR Curncy</v>
      </c>
      <c r="AS5" s="38" t="str">
        <f t="shared" si="0"/>
        <v>KWCIA0H  BBIR Curncy</v>
      </c>
      <c r="AT5" s="38" t="str">
        <f t="shared" si="0"/>
        <v>KWCI50H  BBIR Curncy</v>
      </c>
      <c r="AU5" s="38" t="str">
        <f t="shared" si="0"/>
        <v>KWNS03   BBIR Curncy</v>
      </c>
      <c r="AV5" s="38" t="str">
        <f t="shared" si="0"/>
        <v>KWC050H  BBIR Curncy</v>
      </c>
      <c r="AW5" s="38" t="str">
        <f t="shared" si="0"/>
        <v>KWC0A0H  BBIR Curncy</v>
      </c>
      <c r="AX5" s="38" t="str">
        <f t="shared" si="0"/>
        <v>KWC0F0H  BBIR Curncy</v>
      </c>
      <c r="AY5" s="38" t="str">
        <f t="shared" si="0"/>
        <v>KWC0K0H  BBIR Curncy</v>
      </c>
      <c r="AZ5" s="38" t="str">
        <f t="shared" si="0"/>
        <v>KWC0U0H  BBIR Curncy</v>
      </c>
      <c r="BA5" s="38" t="str">
        <f t="shared" si="0"/>
        <v>KWC140H  BBIR Curncy</v>
      </c>
      <c r="BB5" s="38" t="str">
        <f t="shared" si="0"/>
        <v>KWC1E0H  BBIR Curncy</v>
      </c>
      <c r="BC5" s="38" t="str">
        <f t="shared" si="0"/>
        <v>KWC1O0H  BBIR Curncy</v>
      </c>
      <c r="BD5" s="38" t="str">
        <f t="shared" si="0"/>
        <v>KWC1Y0H  BBIR Curncy</v>
      </c>
      <c r="BE5" s="38" t="str">
        <f t="shared" si="0"/>
        <v>KWC280H  BBIR Curncy</v>
      </c>
      <c r="BF5" s="38" t="str">
        <f t="shared" si="0"/>
        <v>KWC2I0H  BBIR Curncy</v>
      </c>
      <c r="BG5" s="38" t="str">
        <f t="shared" si="0"/>
        <v>KWC2S0H  BBIR Curncy</v>
      </c>
      <c r="BH5" s="38" t="str">
        <f t="shared" si="0"/>
        <v>KWC320H  BBIR Curncy</v>
      </c>
      <c r="BI5" s="38" t="str">
        <f t="shared" si="0"/>
        <v>KWC3C0H  BBIR Curncy</v>
      </c>
      <c r="BJ5" s="38" t="str">
        <f t="shared" si="0"/>
        <v>KWC3M0H  BBIR Curncy</v>
      </c>
      <c r="BK5" s="38" t="str">
        <f t="shared" si="0"/>
        <v>KWC3W0H  BBIR Curncy</v>
      </c>
      <c r="BL5" s="38" t="str">
        <f t="shared" si="0"/>
        <v>KWC460H  BBIR Curncy</v>
      </c>
      <c r="BM5" s="38" t="str">
        <f t="shared" si="0"/>
        <v>KWC4G0H  BBIR Curncy</v>
      </c>
      <c r="BN5" s="38" t="str">
        <f t="shared" si="0"/>
        <v>KWC4Q0H  BBIR Curncy</v>
      </c>
      <c r="BO5" s="38" t="str">
        <f t="shared" si="0"/>
        <v>KWC500H  BBIR Curncy</v>
      </c>
      <c r="BP5" s="38" t="str">
        <f t="shared" si="0"/>
        <v>KWC5A0H  BBIR Curncy</v>
      </c>
      <c r="BQ5" s="38" t="str">
        <f t="shared" si="0"/>
        <v>KWC5K0H  BBIR Curncy</v>
      </c>
      <c r="BR5" s="38" t="str">
        <f t="shared" si="0"/>
        <v>KWC5U0H  BBIR Curncy</v>
      </c>
      <c r="BS5" s="38" t="str">
        <f t="shared" si="0"/>
        <v>KWC640H  BBIR Curncy</v>
      </c>
      <c r="BT5" s="38" t="str">
        <f t="shared" si="0"/>
        <v>KWC6E0H  BBIR Curncy</v>
      </c>
      <c r="BU5" s="38" t="str">
        <f t="shared" si="0"/>
        <v>KWC6O0H  BBIR Curncy</v>
      </c>
      <c r="BV5" s="38" t="str">
        <f t="shared" si="3"/>
        <v>KWC6Y0H  BBIR Curncy</v>
      </c>
      <c r="BW5" s="38" t="str">
        <f t="shared" si="1"/>
        <v>KWC780H  BBIR Curncy</v>
      </c>
      <c r="BX5" s="38" t="str">
        <f t="shared" si="1"/>
        <v>KWC7I0H  BBIR Curncy</v>
      </c>
      <c r="BY5" s="38" t="str">
        <f t="shared" si="1"/>
        <v>KWC7S0H  BBIR Curncy</v>
      </c>
      <c r="BZ5" s="38" t="str">
        <f t="shared" si="1"/>
        <v>KWC820H  BBIR Curncy</v>
      </c>
      <c r="CA5" s="38" t="str">
        <f t="shared" si="1"/>
        <v>KWC8C0H  BBIR Curncy</v>
      </c>
      <c r="CB5" s="38"/>
      <c r="CC5" s="38"/>
    </row>
    <row r="6" spans="1:81" x14ac:dyDescent="0.3">
      <c r="B6" s="38" t="s">
        <v>305</v>
      </c>
      <c r="C6" s="38" t="s">
        <v>2341</v>
      </c>
      <c r="D6" s="38" t="s">
        <v>2342</v>
      </c>
      <c r="E6" s="38" t="s">
        <v>2343</v>
      </c>
      <c r="F6" s="38" t="s">
        <v>2344</v>
      </c>
      <c r="G6" s="38" t="s">
        <v>2345</v>
      </c>
      <c r="H6" s="38" t="s">
        <v>2346</v>
      </c>
      <c r="I6" s="38" t="s">
        <v>2347</v>
      </c>
      <c r="J6" s="38" t="s">
        <v>2348</v>
      </c>
      <c r="K6" s="38" t="s">
        <v>2349</v>
      </c>
      <c r="L6" s="38" t="s">
        <v>2350</v>
      </c>
      <c r="M6" s="38" t="s">
        <v>2351</v>
      </c>
      <c r="N6" s="38" t="s">
        <v>2352</v>
      </c>
      <c r="O6" s="38" t="s">
        <v>2353</v>
      </c>
      <c r="P6" s="38" t="s">
        <v>2354</v>
      </c>
      <c r="Q6" s="38" t="s">
        <v>2355</v>
      </c>
      <c r="R6" s="38" t="s">
        <v>2356</v>
      </c>
      <c r="S6" s="38" t="s">
        <v>2357</v>
      </c>
      <c r="T6" s="38" t="s">
        <v>2358</v>
      </c>
      <c r="U6" s="38" t="s">
        <v>2359</v>
      </c>
      <c r="V6" s="38" t="s">
        <v>2360</v>
      </c>
      <c r="W6" s="38" t="s">
        <v>2361</v>
      </c>
      <c r="X6" s="38" t="s">
        <v>2362</v>
      </c>
      <c r="Y6" s="38" t="s">
        <v>2363</v>
      </c>
      <c r="Z6" s="38" t="s">
        <v>2364</v>
      </c>
      <c r="AA6" s="38" t="s">
        <v>2365</v>
      </c>
      <c r="AB6" s="38" t="s">
        <v>2366</v>
      </c>
      <c r="AC6" s="38" t="s">
        <v>2367</v>
      </c>
      <c r="AD6" s="38" t="s">
        <v>2368</v>
      </c>
      <c r="AE6" s="38" t="s">
        <v>2369</v>
      </c>
      <c r="AF6" s="38" t="s">
        <v>2370</v>
      </c>
      <c r="AG6" s="38" t="s">
        <v>2371</v>
      </c>
      <c r="AH6" s="38" t="s">
        <v>2372</v>
      </c>
      <c r="AI6" s="38" t="s">
        <v>2373</v>
      </c>
      <c r="AJ6" s="38" t="s">
        <v>2374</v>
      </c>
      <c r="AK6" s="38" t="s">
        <v>2375</v>
      </c>
      <c r="AL6" s="38" t="s">
        <v>2376</v>
      </c>
      <c r="AM6" s="38" t="s">
        <v>2377</v>
      </c>
      <c r="AN6" s="38" t="s">
        <v>2378</v>
      </c>
      <c r="AO6" s="38"/>
      <c r="AP6" s="38" t="str">
        <f t="shared" si="2"/>
        <v>KWCIU0I  BBIR Curncy</v>
      </c>
      <c r="AQ6" s="38" t="str">
        <f t="shared" si="0"/>
        <v>KWCIK0I  BBIR Curncy</v>
      </c>
      <c r="AR6" s="38" t="str">
        <f t="shared" si="0"/>
        <v>KWCIF0I  BBIR Curncy</v>
      </c>
      <c r="AS6" s="38" t="str">
        <f t="shared" si="0"/>
        <v>KWCIA0I  BBIR Curncy</v>
      </c>
      <c r="AT6" s="38" t="str">
        <f t="shared" si="0"/>
        <v>KWCI50I  BBIR Curncy</v>
      </c>
      <c r="AU6" s="38" t="str">
        <f t="shared" si="0"/>
        <v>KWNS04   BBIR Curncy</v>
      </c>
      <c r="AV6" s="38" t="str">
        <f t="shared" si="0"/>
        <v>KWC050I  BBIR Curncy</v>
      </c>
      <c r="AW6" s="38" t="str">
        <f t="shared" si="0"/>
        <v>KWC0A0I  BBIR Curncy</v>
      </c>
      <c r="AX6" s="38" t="str">
        <f t="shared" si="0"/>
        <v>KWC0F0I  BBIR Curncy</v>
      </c>
      <c r="AY6" s="38" t="str">
        <f t="shared" si="0"/>
        <v>KWC0K0I  BBIR Curncy</v>
      </c>
      <c r="AZ6" s="38" t="str">
        <f t="shared" si="0"/>
        <v>KWC0U0I  BBIR Curncy</v>
      </c>
      <c r="BA6" s="38" t="str">
        <f t="shared" si="0"/>
        <v>KWC140I  BBIR Curncy</v>
      </c>
      <c r="BB6" s="38" t="str">
        <f t="shared" si="0"/>
        <v>KWC1E0I  BBIR Curncy</v>
      </c>
      <c r="BC6" s="38" t="str">
        <f t="shared" si="0"/>
        <v>KWC1O0I  BBIR Curncy</v>
      </c>
      <c r="BD6" s="38" t="str">
        <f t="shared" si="0"/>
        <v>KWC1Y0I  BBIR Curncy</v>
      </c>
      <c r="BE6" s="38" t="str">
        <f t="shared" si="0"/>
        <v>KWC280I  BBIR Curncy</v>
      </c>
      <c r="BF6" s="38" t="str">
        <f t="shared" si="0"/>
        <v>KWC2I0I  BBIR Curncy</v>
      </c>
      <c r="BG6" s="38" t="str">
        <f t="shared" si="0"/>
        <v>KWC2S0I  BBIR Curncy</v>
      </c>
      <c r="BH6" s="38" t="str">
        <f t="shared" si="0"/>
        <v>KWC320I  BBIR Curncy</v>
      </c>
      <c r="BI6" s="38" t="str">
        <f t="shared" si="0"/>
        <v>KWC3C0I  BBIR Curncy</v>
      </c>
      <c r="BJ6" s="38" t="str">
        <f t="shared" si="0"/>
        <v>KWC3M0I  BBIR Curncy</v>
      </c>
      <c r="BK6" s="38" t="str">
        <f t="shared" si="0"/>
        <v>KWC3W0I  BBIR Curncy</v>
      </c>
      <c r="BL6" s="38" t="str">
        <f t="shared" si="0"/>
        <v>KWC460I  BBIR Curncy</v>
      </c>
      <c r="BM6" s="38" t="str">
        <f t="shared" si="0"/>
        <v>KWC4G0I  BBIR Curncy</v>
      </c>
      <c r="BN6" s="38" t="str">
        <f t="shared" si="0"/>
        <v>KWC4Q0I  BBIR Curncy</v>
      </c>
      <c r="BO6" s="38" t="str">
        <f t="shared" si="0"/>
        <v>KWC500I  BBIR Curncy</v>
      </c>
      <c r="BP6" s="38" t="str">
        <f t="shared" si="0"/>
        <v>KWC5A0I  BBIR Curncy</v>
      </c>
      <c r="BQ6" s="38" t="str">
        <f t="shared" si="0"/>
        <v>KWC5K0I  BBIR Curncy</v>
      </c>
      <c r="BR6" s="38" t="str">
        <f t="shared" si="0"/>
        <v>KWC5U0I  BBIR Curncy</v>
      </c>
      <c r="BS6" s="38" t="str">
        <f t="shared" si="0"/>
        <v>KWC640I  BBIR Curncy</v>
      </c>
      <c r="BT6" s="38" t="str">
        <f t="shared" si="0"/>
        <v>KWC6E0I  BBIR Curncy</v>
      </c>
      <c r="BU6" s="38" t="str">
        <f t="shared" si="0"/>
        <v>KWC6O0I  BBIR Curncy</v>
      </c>
      <c r="BV6" s="38" t="str">
        <f t="shared" si="3"/>
        <v>KWC6Y0I  BBIR Curncy</v>
      </c>
      <c r="BW6" s="38" t="str">
        <f t="shared" si="1"/>
        <v>KWC780I  BBIR Curncy</v>
      </c>
      <c r="BX6" s="38" t="str">
        <f t="shared" si="1"/>
        <v>KWC7I0I  BBIR Curncy</v>
      </c>
      <c r="BY6" s="38" t="str">
        <f t="shared" si="1"/>
        <v>KWC7S0I  BBIR Curncy</v>
      </c>
      <c r="BZ6" s="38" t="str">
        <f t="shared" si="1"/>
        <v>KWC820I  BBIR Curncy</v>
      </c>
      <c r="CA6" s="38" t="str">
        <f t="shared" si="1"/>
        <v>KWC8C0I  BBIR Curncy</v>
      </c>
      <c r="CB6" s="38"/>
      <c r="CC6" s="38"/>
    </row>
    <row r="7" spans="1:81" x14ac:dyDescent="0.3">
      <c r="B7" s="38" t="s">
        <v>306</v>
      </c>
      <c r="C7" s="38" t="s">
        <v>2379</v>
      </c>
      <c r="D7" s="38" t="s">
        <v>2380</v>
      </c>
      <c r="E7" s="38" t="s">
        <v>2381</v>
      </c>
      <c r="F7" s="38" t="s">
        <v>2382</v>
      </c>
      <c r="G7" s="38" t="s">
        <v>2383</v>
      </c>
      <c r="H7" s="38" t="s">
        <v>2384</v>
      </c>
      <c r="I7" s="38" t="s">
        <v>2385</v>
      </c>
      <c r="J7" s="38" t="s">
        <v>2386</v>
      </c>
      <c r="K7" s="38" t="s">
        <v>2387</v>
      </c>
      <c r="L7" s="38" t="s">
        <v>2388</v>
      </c>
      <c r="M7" s="38" t="s">
        <v>2389</v>
      </c>
      <c r="N7" s="38" t="s">
        <v>2390</v>
      </c>
      <c r="O7" s="38" t="s">
        <v>2391</v>
      </c>
      <c r="P7" s="38" t="s">
        <v>2392</v>
      </c>
      <c r="Q7" s="38" t="s">
        <v>2393</v>
      </c>
      <c r="R7" s="38" t="s">
        <v>2394</v>
      </c>
      <c r="S7" s="38" t="s">
        <v>2395</v>
      </c>
      <c r="T7" s="38" t="s">
        <v>2396</v>
      </c>
      <c r="U7" s="38" t="s">
        <v>2397</v>
      </c>
      <c r="V7" s="38" t="s">
        <v>2398</v>
      </c>
      <c r="W7" s="38" t="s">
        <v>2399</v>
      </c>
      <c r="X7" s="38" t="s">
        <v>2400</v>
      </c>
      <c r="Y7" s="38" t="s">
        <v>2401</v>
      </c>
      <c r="Z7" s="38" t="s">
        <v>2402</v>
      </c>
      <c r="AA7" s="38" t="s">
        <v>2403</v>
      </c>
      <c r="AB7" s="38" t="s">
        <v>2404</v>
      </c>
      <c r="AC7" s="38" t="s">
        <v>2405</v>
      </c>
      <c r="AD7" s="38" t="s">
        <v>2406</v>
      </c>
      <c r="AE7" s="38" t="s">
        <v>2407</v>
      </c>
      <c r="AF7" s="38" t="s">
        <v>2408</v>
      </c>
      <c r="AG7" s="38" t="s">
        <v>2409</v>
      </c>
      <c r="AH7" s="38" t="s">
        <v>2410</v>
      </c>
      <c r="AI7" s="38" t="s">
        <v>2411</v>
      </c>
      <c r="AJ7" s="38" t="s">
        <v>2412</v>
      </c>
      <c r="AK7" s="38" t="s">
        <v>2413</v>
      </c>
      <c r="AL7" s="38" t="s">
        <v>2414</v>
      </c>
      <c r="AM7" s="38" t="s">
        <v>2415</v>
      </c>
      <c r="AN7" s="38" t="s">
        <v>2416</v>
      </c>
      <c r="AO7" s="38"/>
      <c r="AP7" s="38" t="str">
        <f t="shared" si="2"/>
        <v>KWCIU0J  BBIR Curncy</v>
      </c>
      <c r="AQ7" s="38" t="str">
        <f t="shared" si="0"/>
        <v>KWCIK0J  BBIR Curncy</v>
      </c>
      <c r="AR7" s="38" t="str">
        <f t="shared" si="0"/>
        <v>KWCIF0J  BBIR Curncy</v>
      </c>
      <c r="AS7" s="38" t="str">
        <f t="shared" si="0"/>
        <v>KWCIA0J  BBIR Curncy</v>
      </c>
      <c r="AT7" s="38" t="str">
        <f t="shared" si="0"/>
        <v>KWCI50J  BBIR Curncy</v>
      </c>
      <c r="AU7" s="38" t="str">
        <f t="shared" si="0"/>
        <v>KWNS05   BBIR Curncy</v>
      </c>
      <c r="AV7" s="38" t="str">
        <f t="shared" si="0"/>
        <v>KWC050J  BBIR Curncy</v>
      </c>
      <c r="AW7" s="38" t="str">
        <f t="shared" si="0"/>
        <v>KWC0A0J  BBIR Curncy</v>
      </c>
      <c r="AX7" s="38" t="str">
        <f t="shared" si="0"/>
        <v>KWC0F0J  BBIR Curncy</v>
      </c>
      <c r="AY7" s="38" t="str">
        <f t="shared" si="0"/>
        <v>KWC0K0J  BBIR Curncy</v>
      </c>
      <c r="AZ7" s="38" t="str">
        <f t="shared" si="0"/>
        <v>KWC0U0J  BBIR Curncy</v>
      </c>
      <c r="BA7" s="38" t="str">
        <f t="shared" si="0"/>
        <v>KWC140J  BBIR Curncy</v>
      </c>
      <c r="BB7" s="38" t="str">
        <f t="shared" si="0"/>
        <v>KWC1E0J  BBIR Curncy</v>
      </c>
      <c r="BC7" s="38" t="str">
        <f t="shared" si="0"/>
        <v>KWC1O0J  BBIR Curncy</v>
      </c>
      <c r="BD7" s="38" t="str">
        <f t="shared" si="0"/>
        <v>KWC1Y0J  BBIR Curncy</v>
      </c>
      <c r="BE7" s="38" t="str">
        <f t="shared" si="0"/>
        <v>KWC280J  BBIR Curncy</v>
      </c>
      <c r="BF7" s="38" t="str">
        <f t="shared" si="0"/>
        <v>KWC2I0J  BBIR Curncy</v>
      </c>
      <c r="BG7" s="38" t="str">
        <f t="shared" si="0"/>
        <v>KWC2S0J  BBIR Curncy</v>
      </c>
      <c r="BH7" s="38" t="str">
        <f t="shared" si="0"/>
        <v>KWC320J  BBIR Curncy</v>
      </c>
      <c r="BI7" s="38" t="str">
        <f t="shared" si="0"/>
        <v>KWC3C0J  BBIR Curncy</v>
      </c>
      <c r="BJ7" s="38" t="str">
        <f t="shared" si="0"/>
        <v>KWC3M0J  BBIR Curncy</v>
      </c>
      <c r="BK7" s="38" t="str">
        <f t="shared" si="0"/>
        <v>KWC3W0J  BBIR Curncy</v>
      </c>
      <c r="BL7" s="38" t="str">
        <f t="shared" si="0"/>
        <v>KWC460J  BBIR Curncy</v>
      </c>
      <c r="BM7" s="38" t="str">
        <f t="shared" si="0"/>
        <v>KWC4G0J  BBIR Curncy</v>
      </c>
      <c r="BN7" s="38" t="str">
        <f t="shared" si="0"/>
        <v>KWC4Q0J  BBIR Curncy</v>
      </c>
      <c r="BO7" s="38" t="str">
        <f t="shared" si="0"/>
        <v>KWC500J  BBIR Curncy</v>
      </c>
      <c r="BP7" s="38" t="str">
        <f t="shared" si="0"/>
        <v>KWC5A0J  BBIR Curncy</v>
      </c>
      <c r="BQ7" s="38" t="str">
        <f t="shared" si="0"/>
        <v>KWC5K0J  BBIR Curncy</v>
      </c>
      <c r="BR7" s="38" t="str">
        <f t="shared" si="0"/>
        <v>KWC5U0J  BBIR Curncy</v>
      </c>
      <c r="BS7" s="38" t="str">
        <f t="shared" si="0"/>
        <v>KWC640J  BBIR Curncy</v>
      </c>
      <c r="BT7" s="38" t="str">
        <f t="shared" si="0"/>
        <v>KWC6E0J  BBIR Curncy</v>
      </c>
      <c r="BU7" s="38" t="str">
        <f t="shared" si="0"/>
        <v>KWC6O0J  BBIR Curncy</v>
      </c>
      <c r="BV7" s="38" t="str">
        <f t="shared" si="3"/>
        <v>KWC6Y0J  BBIR Curncy</v>
      </c>
      <c r="BW7" s="38" t="str">
        <f t="shared" si="1"/>
        <v>KWC780J  BBIR Curncy</v>
      </c>
      <c r="BX7" s="38" t="str">
        <f t="shared" si="1"/>
        <v>KWC7I0J  BBIR Curncy</v>
      </c>
      <c r="BY7" s="38" t="str">
        <f t="shared" si="1"/>
        <v>KWC7S0J  BBIR Curncy</v>
      </c>
      <c r="BZ7" s="38" t="str">
        <f t="shared" si="1"/>
        <v>KWC820J  BBIR Curncy</v>
      </c>
      <c r="CA7" s="38" t="str">
        <f t="shared" si="1"/>
        <v>KWC8C0J  BBIR Curncy</v>
      </c>
      <c r="CB7" s="38"/>
      <c r="CC7" s="38"/>
    </row>
    <row r="8" spans="1:81" x14ac:dyDescent="0.3">
      <c r="B8" s="38" t="s">
        <v>307</v>
      </c>
      <c r="C8" s="38" t="s">
        <v>2417</v>
      </c>
      <c r="D8" s="38" t="s">
        <v>2418</v>
      </c>
      <c r="E8" s="38" t="s">
        <v>2419</v>
      </c>
      <c r="F8" s="38" t="s">
        <v>2420</v>
      </c>
      <c r="G8" s="38" t="s">
        <v>2421</v>
      </c>
      <c r="H8" s="38" t="s">
        <v>2422</v>
      </c>
      <c r="I8" s="38" t="s">
        <v>2423</v>
      </c>
      <c r="J8" s="38" t="s">
        <v>2424</v>
      </c>
      <c r="K8" s="38" t="s">
        <v>2425</v>
      </c>
      <c r="L8" s="38" t="s">
        <v>2426</v>
      </c>
      <c r="M8" s="38" t="s">
        <v>2427</v>
      </c>
      <c r="N8" s="38" t="s">
        <v>2428</v>
      </c>
      <c r="O8" s="38" t="s">
        <v>2429</v>
      </c>
      <c r="P8" s="38" t="s">
        <v>2430</v>
      </c>
      <c r="Q8" s="38" t="s">
        <v>2431</v>
      </c>
      <c r="R8" s="38" t="s">
        <v>2432</v>
      </c>
      <c r="S8" s="38" t="s">
        <v>2433</v>
      </c>
      <c r="T8" s="38" t="s">
        <v>2434</v>
      </c>
      <c r="U8" s="38" t="s">
        <v>2435</v>
      </c>
      <c r="V8" s="38" t="s">
        <v>2436</v>
      </c>
      <c r="W8" s="38" t="s">
        <v>2437</v>
      </c>
      <c r="X8" s="38" t="s">
        <v>2438</v>
      </c>
      <c r="Y8" s="38" t="s">
        <v>2439</v>
      </c>
      <c r="Z8" s="38" t="s">
        <v>2440</v>
      </c>
      <c r="AA8" s="38" t="s">
        <v>2441</v>
      </c>
      <c r="AB8" s="38" t="s">
        <v>2442</v>
      </c>
      <c r="AC8" s="38" t="s">
        <v>2443</v>
      </c>
      <c r="AD8" s="38" t="s">
        <v>2444</v>
      </c>
      <c r="AE8" s="38" t="s">
        <v>2445</v>
      </c>
      <c r="AF8" s="38" t="s">
        <v>2446</v>
      </c>
      <c r="AG8" s="38" t="s">
        <v>2447</v>
      </c>
      <c r="AH8" s="38" t="s">
        <v>2448</v>
      </c>
      <c r="AI8" s="38" t="s">
        <v>2449</v>
      </c>
      <c r="AJ8" s="38" t="s">
        <v>2450</v>
      </c>
      <c r="AK8" s="38" t="s">
        <v>2451</v>
      </c>
      <c r="AL8" s="38" t="s">
        <v>2452</v>
      </c>
      <c r="AM8" s="38" t="s">
        <v>2453</v>
      </c>
      <c r="AN8" s="38" t="s">
        <v>2454</v>
      </c>
      <c r="AO8" s="38"/>
      <c r="AP8" s="38" t="str">
        <f t="shared" si="2"/>
        <v>KWCIU0K  BBIR Curncy</v>
      </c>
      <c r="AQ8" s="38" t="str">
        <f t="shared" si="0"/>
        <v>KWCIK0K  BBIR Curncy</v>
      </c>
      <c r="AR8" s="38" t="str">
        <f t="shared" si="0"/>
        <v>KWCIF0K  BBIR Curncy</v>
      </c>
      <c r="AS8" s="38" t="str">
        <f t="shared" si="0"/>
        <v>KWCIA0K  BBIR Curncy</v>
      </c>
      <c r="AT8" s="38" t="str">
        <f t="shared" si="0"/>
        <v>KWCI50K  BBIR Curncy</v>
      </c>
      <c r="AU8" s="38" t="str">
        <f t="shared" si="0"/>
        <v>KWNS06   BBIR Curncy</v>
      </c>
      <c r="AV8" s="38" t="str">
        <f t="shared" si="0"/>
        <v>KWC050K  BBIR Curncy</v>
      </c>
      <c r="AW8" s="38" t="str">
        <f t="shared" si="0"/>
        <v>KWC0A0K  BBIR Curncy</v>
      </c>
      <c r="AX8" s="38" t="str">
        <f t="shared" si="0"/>
        <v>KWC0F0K  BBIR Curncy</v>
      </c>
      <c r="AY8" s="38" t="str">
        <f t="shared" si="0"/>
        <v>KWC0K0K  BBIR Curncy</v>
      </c>
      <c r="AZ8" s="38" t="str">
        <f t="shared" si="0"/>
        <v>KWC0U0K  BBIR Curncy</v>
      </c>
      <c r="BA8" s="38" t="str">
        <f t="shared" si="0"/>
        <v>KWC140K  BBIR Curncy</v>
      </c>
      <c r="BB8" s="38" t="str">
        <f t="shared" si="0"/>
        <v>KWC1E0K  BBIR Curncy</v>
      </c>
      <c r="BC8" s="38" t="str">
        <f t="shared" si="0"/>
        <v>KWC1O0K  BBIR Curncy</v>
      </c>
      <c r="BD8" s="38" t="str">
        <f t="shared" si="0"/>
        <v>KWC1Y0K  BBIR Curncy</v>
      </c>
      <c r="BE8" s="38" t="str">
        <f t="shared" si="0"/>
        <v>KWC280K  BBIR Curncy</v>
      </c>
      <c r="BF8" s="38" t="str">
        <f t="shared" si="0"/>
        <v>KWC2I0K  BBIR Curncy</v>
      </c>
      <c r="BG8" s="38" t="str">
        <f t="shared" si="0"/>
        <v>KWC2S0K  BBIR Curncy</v>
      </c>
      <c r="BH8" s="38" t="str">
        <f t="shared" si="0"/>
        <v>KWC320K  BBIR Curncy</v>
      </c>
      <c r="BI8" s="38" t="str">
        <f t="shared" si="0"/>
        <v>KWC3C0K  BBIR Curncy</v>
      </c>
      <c r="BJ8" s="38" t="str">
        <f t="shared" si="0"/>
        <v>KWC3M0K  BBIR Curncy</v>
      </c>
      <c r="BK8" s="38" t="str">
        <f t="shared" si="0"/>
        <v>KWC3W0K  BBIR Curncy</v>
      </c>
      <c r="BL8" s="38" t="str">
        <f t="shared" si="0"/>
        <v>KWC460K  BBIR Curncy</v>
      </c>
      <c r="BM8" s="38" t="str">
        <f t="shared" si="0"/>
        <v>KWC4G0K  BBIR Curncy</v>
      </c>
      <c r="BN8" s="38" t="str">
        <f t="shared" si="0"/>
        <v>KWC4Q0K  BBIR Curncy</v>
      </c>
      <c r="BO8" s="38" t="str">
        <f t="shared" si="0"/>
        <v>KWC500K  BBIR Curncy</v>
      </c>
      <c r="BP8" s="38" t="str">
        <f t="shared" si="0"/>
        <v>KWC5A0K  BBIR Curncy</v>
      </c>
      <c r="BQ8" s="38" t="str">
        <f t="shared" si="0"/>
        <v>KWC5K0K  BBIR Curncy</v>
      </c>
      <c r="BR8" s="38" t="str">
        <f t="shared" si="0"/>
        <v>KWC5U0K  BBIR Curncy</v>
      </c>
      <c r="BS8" s="38" t="str">
        <f t="shared" si="0"/>
        <v>KWC640K  BBIR Curncy</v>
      </c>
      <c r="BT8" s="38" t="str">
        <f t="shared" si="0"/>
        <v>KWC6E0K  BBIR Curncy</v>
      </c>
      <c r="BU8" s="38" t="str">
        <f t="shared" si="0"/>
        <v>KWC6O0K  BBIR Curncy</v>
      </c>
      <c r="BV8" s="38" t="str">
        <f t="shared" si="3"/>
        <v>KWC6Y0K  BBIR Curncy</v>
      </c>
      <c r="BW8" s="38" t="str">
        <f t="shared" si="1"/>
        <v>KWC780K  BBIR Curncy</v>
      </c>
      <c r="BX8" s="38" t="str">
        <f t="shared" si="1"/>
        <v>KWC7I0K  BBIR Curncy</v>
      </c>
      <c r="BY8" s="38" t="str">
        <f t="shared" si="1"/>
        <v>KWC7S0K  BBIR Curncy</v>
      </c>
      <c r="BZ8" s="38" t="str">
        <f t="shared" si="1"/>
        <v>KWC820K  BBIR Curncy</v>
      </c>
      <c r="CA8" s="38" t="str">
        <f t="shared" si="1"/>
        <v>KWC8C0K  BBIR Curncy</v>
      </c>
      <c r="CB8" s="38"/>
      <c r="CC8" s="38"/>
    </row>
    <row r="9" spans="1:81" x14ac:dyDescent="0.3">
      <c r="B9" s="38" t="s">
        <v>308</v>
      </c>
      <c r="C9" s="38" t="s">
        <v>2455</v>
      </c>
      <c r="D9" s="38" t="s">
        <v>2456</v>
      </c>
      <c r="E9" s="38" t="s">
        <v>2457</v>
      </c>
      <c r="F9" s="38" t="s">
        <v>2458</v>
      </c>
      <c r="G9" s="38" t="s">
        <v>2459</v>
      </c>
      <c r="H9" s="38" t="s">
        <v>2460</v>
      </c>
      <c r="I9" s="38" t="s">
        <v>2461</v>
      </c>
      <c r="J9" s="38" t="s">
        <v>2462</v>
      </c>
      <c r="K9" s="38" t="s">
        <v>2463</v>
      </c>
      <c r="L9" s="38" t="s">
        <v>2464</v>
      </c>
      <c r="M9" s="38" t="s">
        <v>2465</v>
      </c>
      <c r="N9" s="38" t="s">
        <v>2466</v>
      </c>
      <c r="O9" s="38" t="s">
        <v>2467</v>
      </c>
      <c r="P9" s="38" t="s">
        <v>2468</v>
      </c>
      <c r="Q9" s="38" t="s">
        <v>2469</v>
      </c>
      <c r="R9" s="38" t="s">
        <v>2470</v>
      </c>
      <c r="S9" s="38" t="s">
        <v>2471</v>
      </c>
      <c r="T9" s="38" t="s">
        <v>2472</v>
      </c>
      <c r="U9" s="38" t="s">
        <v>2473</v>
      </c>
      <c r="V9" s="38" t="s">
        <v>2474</v>
      </c>
      <c r="W9" s="38" t="s">
        <v>2475</v>
      </c>
      <c r="X9" s="38" t="s">
        <v>2476</v>
      </c>
      <c r="Y9" s="38" t="s">
        <v>2477</v>
      </c>
      <c r="Z9" s="38" t="s">
        <v>2478</v>
      </c>
      <c r="AA9" s="38" t="s">
        <v>2479</v>
      </c>
      <c r="AB9" s="38" t="s">
        <v>2480</v>
      </c>
      <c r="AC9" s="38" t="s">
        <v>2481</v>
      </c>
      <c r="AD9" s="38" t="s">
        <v>2482</v>
      </c>
      <c r="AE9" s="38" t="s">
        <v>2483</v>
      </c>
      <c r="AF9" s="38" t="s">
        <v>2484</v>
      </c>
      <c r="AG9" s="38" t="s">
        <v>2485</v>
      </c>
      <c r="AH9" s="38" t="s">
        <v>2486</v>
      </c>
      <c r="AI9" s="38" t="s">
        <v>2487</v>
      </c>
      <c r="AJ9" s="38" t="s">
        <v>2488</v>
      </c>
      <c r="AK9" s="38" t="s">
        <v>2489</v>
      </c>
      <c r="AL9" s="38" t="s">
        <v>2490</v>
      </c>
      <c r="AM9" s="38" t="s">
        <v>2491</v>
      </c>
      <c r="AN9" s="38" t="s">
        <v>2492</v>
      </c>
      <c r="AO9" s="38"/>
      <c r="AP9" s="38" t="str">
        <f t="shared" si="2"/>
        <v>KWCIU0L  BBIR Curncy</v>
      </c>
      <c r="AQ9" s="38" t="str">
        <f t="shared" si="0"/>
        <v>KWCIK0L  BBIR Curncy</v>
      </c>
      <c r="AR9" s="38" t="str">
        <f t="shared" si="0"/>
        <v>KWCIF0L  BBIR Curncy</v>
      </c>
      <c r="AS9" s="38" t="str">
        <f t="shared" si="0"/>
        <v>KWCIA0L  BBIR Curncy</v>
      </c>
      <c r="AT9" s="38" t="str">
        <f t="shared" si="0"/>
        <v>KWCI50L  BBIR Curncy</v>
      </c>
      <c r="AU9" s="38" t="str">
        <f t="shared" si="0"/>
        <v>KWNS07   BBIR Curncy</v>
      </c>
      <c r="AV9" s="38" t="str">
        <f t="shared" si="0"/>
        <v>KWC050L  BBIR Curncy</v>
      </c>
      <c r="AW9" s="38" t="str">
        <f t="shared" si="0"/>
        <v>KWC0A0L  BBIR Curncy</v>
      </c>
      <c r="AX9" s="38" t="str">
        <f t="shared" si="0"/>
        <v>KWC0F0L  BBIR Curncy</v>
      </c>
      <c r="AY9" s="38" t="str">
        <f t="shared" si="0"/>
        <v>KWC0K0L  BBIR Curncy</v>
      </c>
      <c r="AZ9" s="38" t="str">
        <f t="shared" si="0"/>
        <v>KWC0U0L  BBIR Curncy</v>
      </c>
      <c r="BA9" s="38" t="str">
        <f t="shared" si="0"/>
        <v>KWC140L  BBIR Curncy</v>
      </c>
      <c r="BB9" s="38" t="str">
        <f t="shared" si="0"/>
        <v>KWC1E0L  BBIR Curncy</v>
      </c>
      <c r="BC9" s="38" t="str">
        <f t="shared" si="0"/>
        <v>KWC1O0L  BBIR Curncy</v>
      </c>
      <c r="BD9" s="38" t="str">
        <f t="shared" si="0"/>
        <v>KWC1Y0L  BBIR Curncy</v>
      </c>
      <c r="BE9" s="38" t="str">
        <f t="shared" si="0"/>
        <v>KWC280L  BBIR Curncy</v>
      </c>
      <c r="BF9" s="38" t="str">
        <f t="shared" si="0"/>
        <v>KWC2I0L  BBIR Curncy</v>
      </c>
      <c r="BG9" s="38" t="str">
        <f t="shared" si="0"/>
        <v>KWC2S0L  BBIR Curncy</v>
      </c>
      <c r="BH9" s="38" t="str">
        <f t="shared" si="0"/>
        <v>KWC320L  BBIR Curncy</v>
      </c>
      <c r="BI9" s="38" t="str">
        <f t="shared" si="0"/>
        <v>KWC3C0L  BBIR Curncy</v>
      </c>
      <c r="BJ9" s="38" t="str">
        <f t="shared" si="0"/>
        <v>KWC3M0L  BBIR Curncy</v>
      </c>
      <c r="BK9" s="38" t="str">
        <f t="shared" si="0"/>
        <v>KWC3W0L  BBIR Curncy</v>
      </c>
      <c r="BL9" s="38" t="str">
        <f t="shared" si="0"/>
        <v>KWC460L  BBIR Curncy</v>
      </c>
      <c r="BM9" s="38" t="str">
        <f t="shared" si="0"/>
        <v>KWC4G0L  BBIR Curncy</v>
      </c>
      <c r="BN9" s="38" t="str">
        <f t="shared" si="0"/>
        <v>KWC4Q0L  BBIR Curncy</v>
      </c>
      <c r="BO9" s="38" t="str">
        <f t="shared" si="0"/>
        <v>KWC500L  BBIR Curncy</v>
      </c>
      <c r="BP9" s="38" t="str">
        <f t="shared" si="0"/>
        <v>KWC5A0L  BBIR Curncy</v>
      </c>
      <c r="BQ9" s="38" t="str">
        <f t="shared" si="0"/>
        <v>KWC5K0L  BBIR Curncy</v>
      </c>
      <c r="BR9" s="38" t="str">
        <f t="shared" si="0"/>
        <v>KWC5U0L  BBIR Curncy</v>
      </c>
      <c r="BS9" s="38" t="str">
        <f t="shared" si="0"/>
        <v>KWC640L  BBIR Curncy</v>
      </c>
      <c r="BT9" s="38" t="str">
        <f t="shared" si="0"/>
        <v>KWC6E0L  BBIR Curncy</v>
      </c>
      <c r="BU9" s="38" t="str">
        <f t="shared" si="0"/>
        <v>KWC6O0L  BBIR Curncy</v>
      </c>
      <c r="BV9" s="38" t="str">
        <f t="shared" si="3"/>
        <v>KWC6Y0L  BBIR Curncy</v>
      </c>
      <c r="BW9" s="38" t="str">
        <f t="shared" si="1"/>
        <v>KWC780L  BBIR Curncy</v>
      </c>
      <c r="BX9" s="38" t="str">
        <f t="shared" si="1"/>
        <v>KWC7I0L  BBIR Curncy</v>
      </c>
      <c r="BY9" s="38" t="str">
        <f t="shared" si="1"/>
        <v>KWC7S0L  BBIR Curncy</v>
      </c>
      <c r="BZ9" s="38" t="str">
        <f t="shared" si="1"/>
        <v>KWC820L  BBIR Curncy</v>
      </c>
      <c r="CA9" s="38" t="str">
        <f t="shared" si="1"/>
        <v>KWC8C0L  BBIR Curncy</v>
      </c>
      <c r="CB9" s="38"/>
      <c r="CC9" s="38"/>
    </row>
    <row r="10" spans="1:81" x14ac:dyDescent="0.3">
      <c r="B10" s="38" t="s">
        <v>309</v>
      </c>
      <c r="C10" s="38" t="s">
        <v>2493</v>
      </c>
      <c r="D10" s="38" t="s">
        <v>2494</v>
      </c>
      <c r="E10" s="38" t="s">
        <v>2495</v>
      </c>
      <c r="F10" s="38" t="s">
        <v>2496</v>
      </c>
      <c r="G10" s="38" t="s">
        <v>2497</v>
      </c>
      <c r="H10" s="38" t="s">
        <v>2498</v>
      </c>
      <c r="I10" s="38" t="s">
        <v>2499</v>
      </c>
      <c r="J10" s="38" t="s">
        <v>2500</v>
      </c>
      <c r="K10" s="38" t="s">
        <v>2501</v>
      </c>
      <c r="L10" s="38" t="s">
        <v>2502</v>
      </c>
      <c r="M10" s="38" t="s">
        <v>2503</v>
      </c>
      <c r="N10" s="38" t="s">
        <v>2504</v>
      </c>
      <c r="O10" s="38" t="s">
        <v>2505</v>
      </c>
      <c r="P10" s="38" t="s">
        <v>2506</v>
      </c>
      <c r="Q10" s="38" t="s">
        <v>2507</v>
      </c>
      <c r="R10" s="38" t="s">
        <v>2508</v>
      </c>
      <c r="S10" s="38" t="s">
        <v>2509</v>
      </c>
      <c r="T10" s="38" t="s">
        <v>2510</v>
      </c>
      <c r="U10" s="38" t="s">
        <v>2511</v>
      </c>
      <c r="V10" s="38" t="s">
        <v>2512</v>
      </c>
      <c r="W10" s="38" t="s">
        <v>2513</v>
      </c>
      <c r="X10" s="38" t="s">
        <v>2514</v>
      </c>
      <c r="Y10" s="38" t="s">
        <v>2515</v>
      </c>
      <c r="Z10" s="38" t="s">
        <v>2516</v>
      </c>
      <c r="AA10" s="38" t="s">
        <v>2517</v>
      </c>
      <c r="AB10" s="38" t="s">
        <v>2518</v>
      </c>
      <c r="AC10" s="38" t="s">
        <v>2519</v>
      </c>
      <c r="AD10" s="38" t="s">
        <v>2520</v>
      </c>
      <c r="AE10" s="38" t="s">
        <v>2521</v>
      </c>
      <c r="AF10" s="38" t="s">
        <v>2522</v>
      </c>
      <c r="AG10" s="38" t="s">
        <v>2523</v>
      </c>
      <c r="AH10" s="38" t="s">
        <v>2524</v>
      </c>
      <c r="AI10" s="38" t="s">
        <v>2525</v>
      </c>
      <c r="AJ10" s="38" t="s">
        <v>2526</v>
      </c>
      <c r="AK10" s="38" t="s">
        <v>2527</v>
      </c>
      <c r="AL10" s="38" t="s">
        <v>2528</v>
      </c>
      <c r="AM10" s="38" t="s">
        <v>2529</v>
      </c>
      <c r="AN10" s="38" t="s">
        <v>2530</v>
      </c>
      <c r="AO10" s="38"/>
      <c r="AP10" s="38" t="str">
        <f t="shared" si="2"/>
        <v>KWCIU0M  BBIR Curncy</v>
      </c>
      <c r="AQ10" s="38" t="str">
        <f t="shared" si="0"/>
        <v>KWCIK0M  BBIR Curncy</v>
      </c>
      <c r="AR10" s="38" t="str">
        <f t="shared" si="0"/>
        <v>KWCIF0M  BBIR Curncy</v>
      </c>
      <c r="AS10" s="38" t="str">
        <f t="shared" si="0"/>
        <v>KWCIA0M  BBIR Curncy</v>
      </c>
      <c r="AT10" s="38" t="str">
        <f t="shared" si="0"/>
        <v>KWCI50M  BBIR Curncy</v>
      </c>
      <c r="AU10" s="38" t="str">
        <f t="shared" si="0"/>
        <v>KWNS08   BBIR Curncy</v>
      </c>
      <c r="AV10" s="38" t="str">
        <f t="shared" si="0"/>
        <v>KWC050M  BBIR Curncy</v>
      </c>
      <c r="AW10" s="38" t="str">
        <f t="shared" si="0"/>
        <v>KWC0A0M  BBIR Curncy</v>
      </c>
      <c r="AX10" s="38" t="str">
        <f t="shared" si="0"/>
        <v>KWC0F0M  BBIR Curncy</v>
      </c>
      <c r="AY10" s="38" t="str">
        <f t="shared" si="0"/>
        <v>KWC0K0M  BBIR Curncy</v>
      </c>
      <c r="AZ10" s="38" t="str">
        <f t="shared" si="0"/>
        <v>KWC0U0M  BBIR Curncy</v>
      </c>
      <c r="BA10" s="38" t="str">
        <f t="shared" si="0"/>
        <v>KWC140M  BBIR Curncy</v>
      </c>
      <c r="BB10" s="38" t="str">
        <f t="shared" si="0"/>
        <v>KWC1E0M  BBIR Curncy</v>
      </c>
      <c r="BC10" s="38" t="str">
        <f t="shared" si="0"/>
        <v>KWC1O0M  BBIR Curncy</v>
      </c>
      <c r="BD10" s="38" t="str">
        <f t="shared" si="0"/>
        <v>KWC1Y0M  BBIR Curncy</v>
      </c>
      <c r="BE10" s="38" t="str">
        <f t="shared" si="0"/>
        <v>KWC280M  BBIR Curncy</v>
      </c>
      <c r="BF10" s="38" t="str">
        <f t="shared" si="0"/>
        <v>KWC2I0M  BBIR Curncy</v>
      </c>
      <c r="BG10" s="38" t="str">
        <f t="shared" si="0"/>
        <v>KWC2S0M  BBIR Curncy</v>
      </c>
      <c r="BH10" s="38" t="str">
        <f t="shared" si="0"/>
        <v>KWC320M  BBIR Curncy</v>
      </c>
      <c r="BI10" s="38" t="str">
        <f t="shared" si="0"/>
        <v>KWC3C0M  BBIR Curncy</v>
      </c>
      <c r="BJ10" s="38" t="str">
        <f t="shared" si="0"/>
        <v>KWC3M0M  BBIR Curncy</v>
      </c>
      <c r="BK10" s="38" t="str">
        <f t="shared" si="0"/>
        <v>KWC3W0M  BBIR Curncy</v>
      </c>
      <c r="BL10" s="38" t="str">
        <f t="shared" si="0"/>
        <v>KWC460M  BBIR Curncy</v>
      </c>
      <c r="BM10" s="38" t="str">
        <f t="shared" si="0"/>
        <v>KWC4G0M  BBIR Curncy</v>
      </c>
      <c r="BN10" s="38" t="str">
        <f t="shared" si="0"/>
        <v>KWC4Q0M  BBIR Curncy</v>
      </c>
      <c r="BO10" s="38" t="str">
        <f t="shared" si="0"/>
        <v>KWC500M  BBIR Curncy</v>
      </c>
      <c r="BP10" s="38" t="str">
        <f t="shared" si="0"/>
        <v>KWC5A0M  BBIR Curncy</v>
      </c>
      <c r="BQ10" s="38" t="str">
        <f t="shared" si="0"/>
        <v>KWC5K0M  BBIR Curncy</v>
      </c>
      <c r="BR10" s="38" t="str">
        <f t="shared" si="0"/>
        <v>KWC5U0M  BBIR Curncy</v>
      </c>
      <c r="BS10" s="38" t="str">
        <f t="shared" si="0"/>
        <v>KWC640M  BBIR Curncy</v>
      </c>
      <c r="BT10" s="38" t="str">
        <f t="shared" si="0"/>
        <v>KWC6E0M  BBIR Curncy</v>
      </c>
      <c r="BU10" s="38" t="str">
        <f t="shared" si="0"/>
        <v>KWC6O0M  BBIR Curncy</v>
      </c>
      <c r="BV10" s="38" t="str">
        <f t="shared" si="3"/>
        <v>KWC6Y0M  BBIR Curncy</v>
      </c>
      <c r="BW10" s="38" t="str">
        <f t="shared" si="1"/>
        <v>KWC780M  BBIR Curncy</v>
      </c>
      <c r="BX10" s="38" t="str">
        <f t="shared" si="1"/>
        <v>KWC7I0M  BBIR Curncy</v>
      </c>
      <c r="BY10" s="38" t="str">
        <f t="shared" si="1"/>
        <v>KWC7S0M  BBIR Curncy</v>
      </c>
      <c r="BZ10" s="38" t="str">
        <f t="shared" si="1"/>
        <v>KWC820M  BBIR Curncy</v>
      </c>
      <c r="CA10" s="38" t="str">
        <f t="shared" si="1"/>
        <v>KWC8C0M  BBIR Curncy</v>
      </c>
      <c r="CB10" s="38"/>
      <c r="CC10" s="38"/>
    </row>
    <row r="11" spans="1:81" x14ac:dyDescent="0.3">
      <c r="B11" s="38" t="s">
        <v>310</v>
      </c>
      <c r="C11" s="38" t="s">
        <v>2531</v>
      </c>
      <c r="D11" s="38" t="s">
        <v>2532</v>
      </c>
      <c r="E11" s="38" t="s">
        <v>2533</v>
      </c>
      <c r="F11" s="38" t="s">
        <v>2534</v>
      </c>
      <c r="G11" s="38" t="s">
        <v>2535</v>
      </c>
      <c r="H11" s="38" t="s">
        <v>2536</v>
      </c>
      <c r="I11" s="38" t="s">
        <v>2537</v>
      </c>
      <c r="J11" s="38" t="s">
        <v>2538</v>
      </c>
      <c r="K11" s="38" t="s">
        <v>2539</v>
      </c>
      <c r="L11" s="38" t="s">
        <v>2540</v>
      </c>
      <c r="M11" s="38" t="s">
        <v>2541</v>
      </c>
      <c r="N11" s="38" t="s">
        <v>2542</v>
      </c>
      <c r="O11" s="38" t="s">
        <v>2543</v>
      </c>
      <c r="P11" s="38" t="s">
        <v>2544</v>
      </c>
      <c r="Q11" s="38" t="s">
        <v>2545</v>
      </c>
      <c r="R11" s="38" t="s">
        <v>2546</v>
      </c>
      <c r="S11" s="38" t="s">
        <v>2547</v>
      </c>
      <c r="T11" s="38" t="s">
        <v>2548</v>
      </c>
      <c r="U11" s="38" t="s">
        <v>2549</v>
      </c>
      <c r="V11" s="38" t="s">
        <v>2550</v>
      </c>
      <c r="W11" s="38" t="s">
        <v>2551</v>
      </c>
      <c r="X11" s="38" t="s">
        <v>2552</v>
      </c>
      <c r="Y11" s="38" t="s">
        <v>2553</v>
      </c>
      <c r="Z11" s="38" t="s">
        <v>2554</v>
      </c>
      <c r="AA11" s="38" t="s">
        <v>2555</v>
      </c>
      <c r="AB11" s="38" t="s">
        <v>2556</v>
      </c>
      <c r="AC11" s="38" t="s">
        <v>2557</v>
      </c>
      <c r="AD11" s="38" t="s">
        <v>2558</v>
      </c>
      <c r="AE11" s="38" t="s">
        <v>2559</v>
      </c>
      <c r="AF11" s="38" t="s">
        <v>2560</v>
      </c>
      <c r="AG11" s="38" t="s">
        <v>2561</v>
      </c>
      <c r="AH11" s="38" t="s">
        <v>2562</v>
      </c>
      <c r="AI11" s="38" t="s">
        <v>2563</v>
      </c>
      <c r="AJ11" s="38" t="s">
        <v>2564</v>
      </c>
      <c r="AK11" s="38" t="s">
        <v>2565</v>
      </c>
      <c r="AL11" s="38" t="s">
        <v>2566</v>
      </c>
      <c r="AM11" s="38" t="s">
        <v>2567</v>
      </c>
      <c r="AN11" s="38" t="s">
        <v>2568</v>
      </c>
      <c r="AO11" s="38"/>
      <c r="AP11" s="38" t="str">
        <f t="shared" si="2"/>
        <v>KWCIU0N  BBIR Curncy</v>
      </c>
      <c r="AQ11" s="38" t="str">
        <f t="shared" si="0"/>
        <v>KWCIK0N  BBIR Curncy</v>
      </c>
      <c r="AR11" s="38" t="str">
        <f t="shared" si="0"/>
        <v>KWCIF0N  BBIR Curncy</v>
      </c>
      <c r="AS11" s="38" t="str">
        <f t="shared" si="0"/>
        <v>KWCIA0N  BBIR Curncy</v>
      </c>
      <c r="AT11" s="38" t="str">
        <f t="shared" si="0"/>
        <v>KWCI50N  BBIR Curncy</v>
      </c>
      <c r="AU11" s="38" t="str">
        <f t="shared" si="0"/>
        <v>KWNS09   BBIR Curncy</v>
      </c>
      <c r="AV11" s="38" t="str">
        <f t="shared" si="0"/>
        <v>KWC050N  BBIR Curncy</v>
      </c>
      <c r="AW11" s="38" t="str">
        <f t="shared" si="0"/>
        <v>KWC0A0N  BBIR Curncy</v>
      </c>
      <c r="AX11" s="38" t="str">
        <f t="shared" ref="AX11:AX17" si="4">K11&amp;$D$1</f>
        <v>KWC0F0N  BBIR Curncy</v>
      </c>
      <c r="AY11" s="38" t="str">
        <f t="shared" ref="AY11:AY17" si="5">L11&amp;$D$1</f>
        <v>KWC0K0N  BBIR Curncy</v>
      </c>
      <c r="AZ11" s="38" t="str">
        <f t="shared" ref="AZ11:AZ17" si="6">M11&amp;$D$1</f>
        <v>KWC0U0N  BBIR Curncy</v>
      </c>
      <c r="BA11" s="38" t="str">
        <f t="shared" ref="BA11:BA17" si="7">N11&amp;$D$1</f>
        <v>KWC140N  BBIR Curncy</v>
      </c>
      <c r="BB11" s="38" t="str">
        <f t="shared" ref="BB11:BB17" si="8">O11&amp;$D$1</f>
        <v>KWC1E0N  BBIR Curncy</v>
      </c>
      <c r="BC11" s="38" t="str">
        <f t="shared" ref="BC11:BC17" si="9">P11&amp;$D$1</f>
        <v>KWC1O0N  BBIR Curncy</v>
      </c>
      <c r="BD11" s="38" t="str">
        <f t="shared" ref="BD11:BD17" si="10">Q11&amp;$D$1</f>
        <v>KWC1Y0N  BBIR Curncy</v>
      </c>
      <c r="BE11" s="38" t="str">
        <f t="shared" ref="BE11:BE17" si="11">R11&amp;$D$1</f>
        <v>KWC280N  BBIR Curncy</v>
      </c>
      <c r="BF11" s="38" t="str">
        <f t="shared" ref="BF11:BF17" si="12">S11&amp;$D$1</f>
        <v>KWC2I0N  BBIR Curncy</v>
      </c>
      <c r="BG11" s="38" t="str">
        <f t="shared" ref="BG11:BG17" si="13">T11&amp;$D$1</f>
        <v>KWC2S0N  BBIR Curncy</v>
      </c>
      <c r="BH11" s="38" t="str">
        <f t="shared" ref="BH11:BH17" si="14">U11&amp;$D$1</f>
        <v>KWC320N  BBIR Curncy</v>
      </c>
      <c r="BI11" s="38" t="str">
        <f t="shared" ref="BI11:BI17" si="15">V11&amp;$D$1</f>
        <v>KWC3C0N  BBIR Curncy</v>
      </c>
      <c r="BJ11" s="38" t="str">
        <f t="shared" ref="BJ11:BJ17" si="16">W11&amp;$D$1</f>
        <v>KWC3M0N  BBIR Curncy</v>
      </c>
      <c r="BK11" s="38" t="str">
        <f t="shared" ref="BK11:BK17" si="17">X11&amp;$D$1</f>
        <v>KWC3W0N  BBIR Curncy</v>
      </c>
      <c r="BL11" s="38" t="str">
        <f t="shared" ref="BL11:BL17" si="18">Y11&amp;$D$1</f>
        <v>KWC460N  BBIR Curncy</v>
      </c>
      <c r="BM11" s="38" t="str">
        <f t="shared" ref="BM11:BM17" si="19">Z11&amp;$D$1</f>
        <v>KWC4G0N  BBIR Curncy</v>
      </c>
      <c r="BN11" s="38" t="str">
        <f t="shared" ref="BN11:BN17" si="20">AA11&amp;$D$1</f>
        <v>KWC4Q0N  BBIR Curncy</v>
      </c>
      <c r="BO11" s="38" t="str">
        <f t="shared" ref="BO11:BO17" si="21">AB11&amp;$D$1</f>
        <v>KWC500N  BBIR Curncy</v>
      </c>
      <c r="BP11" s="38" t="str">
        <f t="shared" ref="BP11:BP17" si="22">AC11&amp;$D$1</f>
        <v>KWC5A0N  BBIR Curncy</v>
      </c>
      <c r="BQ11" s="38" t="str">
        <f t="shared" ref="BQ11:BQ17" si="23">AD11&amp;$D$1</f>
        <v>KWC5K0N  BBIR Curncy</v>
      </c>
      <c r="BR11" s="38" t="str">
        <f t="shared" ref="BR11:BR17" si="24">AE11&amp;$D$1</f>
        <v>KWC5U0N  BBIR Curncy</v>
      </c>
      <c r="BS11" s="38" t="str">
        <f t="shared" ref="BS11:BS17" si="25">AF11&amp;$D$1</f>
        <v>KWC640N  BBIR Curncy</v>
      </c>
      <c r="BT11" s="38" t="str">
        <f t="shared" ref="BT11:BT17" si="26">AG11&amp;$D$1</f>
        <v>KWC6E0N  BBIR Curncy</v>
      </c>
      <c r="BU11" s="38" t="str">
        <f t="shared" ref="BU11:BU17" si="27">AH11&amp;$D$1</f>
        <v>KWC6O0N  BBIR Curncy</v>
      </c>
      <c r="BV11" s="38" t="str">
        <f t="shared" si="3"/>
        <v>KWC6Y0N  BBIR Curncy</v>
      </c>
      <c r="BW11" s="38" t="str">
        <f t="shared" si="1"/>
        <v>KWC780N  BBIR Curncy</v>
      </c>
      <c r="BX11" s="38" t="str">
        <f t="shared" si="1"/>
        <v>KWC7I0N  BBIR Curncy</v>
      </c>
      <c r="BY11" s="38" t="str">
        <f t="shared" si="1"/>
        <v>KWC7S0N  BBIR Curncy</v>
      </c>
      <c r="BZ11" s="38" t="str">
        <f t="shared" si="1"/>
        <v>KWC820N  BBIR Curncy</v>
      </c>
      <c r="CA11" s="38" t="str">
        <f t="shared" si="1"/>
        <v>KWC8C0N  BBIR Curncy</v>
      </c>
      <c r="CB11" s="38"/>
      <c r="CC11" s="38"/>
    </row>
    <row r="12" spans="1:81" x14ac:dyDescent="0.3">
      <c r="B12" s="38" t="s">
        <v>311</v>
      </c>
      <c r="C12" s="38" t="s">
        <v>2569</v>
      </c>
      <c r="D12" s="38" t="s">
        <v>2570</v>
      </c>
      <c r="E12" s="38" t="s">
        <v>2571</v>
      </c>
      <c r="F12" s="38" t="s">
        <v>2572</v>
      </c>
      <c r="G12" s="38" t="s">
        <v>2573</v>
      </c>
      <c r="H12" s="38" t="s">
        <v>2574</v>
      </c>
      <c r="I12" s="38" t="s">
        <v>2575</v>
      </c>
      <c r="J12" s="38" t="s">
        <v>2576</v>
      </c>
      <c r="K12" s="38" t="s">
        <v>2577</v>
      </c>
      <c r="L12" s="38" t="s">
        <v>2578</v>
      </c>
      <c r="M12" s="38" t="s">
        <v>2579</v>
      </c>
      <c r="N12" s="38" t="s">
        <v>2580</v>
      </c>
      <c r="O12" s="38" t="s">
        <v>2581</v>
      </c>
      <c r="P12" s="38" t="s">
        <v>2582</v>
      </c>
      <c r="Q12" s="38" t="s">
        <v>2583</v>
      </c>
      <c r="R12" s="38" t="s">
        <v>2584</v>
      </c>
      <c r="S12" s="38" t="s">
        <v>2585</v>
      </c>
      <c r="T12" s="38" t="s">
        <v>2586</v>
      </c>
      <c r="U12" s="38" t="s">
        <v>2587</v>
      </c>
      <c r="V12" s="38" t="s">
        <v>2588</v>
      </c>
      <c r="W12" s="38" t="s">
        <v>2589</v>
      </c>
      <c r="X12" s="38" t="s">
        <v>2590</v>
      </c>
      <c r="Y12" s="38" t="s">
        <v>2591</v>
      </c>
      <c r="Z12" s="38" t="s">
        <v>2592</v>
      </c>
      <c r="AA12" s="38" t="s">
        <v>2593</v>
      </c>
      <c r="AB12" s="38" t="s">
        <v>2594</v>
      </c>
      <c r="AC12" s="38" t="s">
        <v>2595</v>
      </c>
      <c r="AD12" s="38" t="s">
        <v>2596</v>
      </c>
      <c r="AE12" s="38" t="s">
        <v>2597</v>
      </c>
      <c r="AF12" s="38" t="s">
        <v>2598</v>
      </c>
      <c r="AG12" s="38" t="s">
        <v>2599</v>
      </c>
      <c r="AH12" s="38" t="s">
        <v>2600</v>
      </c>
      <c r="AI12" s="38" t="s">
        <v>2601</v>
      </c>
      <c r="AJ12" s="38" t="s">
        <v>2602</v>
      </c>
      <c r="AK12" s="38" t="s">
        <v>2603</v>
      </c>
      <c r="AL12" s="38" t="s">
        <v>2604</v>
      </c>
      <c r="AM12" s="38" t="s">
        <v>2605</v>
      </c>
      <c r="AN12" s="38" t="s">
        <v>2606</v>
      </c>
      <c r="AO12" s="38"/>
      <c r="AP12" s="38" t="str">
        <f t="shared" si="2"/>
        <v>KWCIU0O  BBIR Curncy</v>
      </c>
      <c r="AQ12" s="38" t="str">
        <f t="shared" ref="AQ12:AQ17" si="28">D12&amp;$D$1</f>
        <v>KWCIK0O  BBIR Curncy</v>
      </c>
      <c r="AR12" s="38" t="str">
        <f t="shared" ref="AR12:AR17" si="29">E12&amp;$D$1</f>
        <v>KWCIF0O  BBIR Curncy</v>
      </c>
      <c r="AS12" s="38" t="str">
        <f t="shared" ref="AS12:AS17" si="30">F12&amp;$D$1</f>
        <v>KWCIA0O  BBIR Curncy</v>
      </c>
      <c r="AT12" s="38" t="str">
        <f t="shared" ref="AT12:AT17" si="31">G12&amp;$D$1</f>
        <v>KWCI50O  BBIR Curncy</v>
      </c>
      <c r="AU12" s="38" t="str">
        <f t="shared" ref="AU12:AU17" si="32">H12&amp;$D$1</f>
        <v>KWNS10   BBIR Curncy</v>
      </c>
      <c r="AV12" s="38" t="str">
        <f t="shared" ref="AV12:AV17" si="33">I12&amp;$D$1</f>
        <v>KWC050O  BBIR Curncy</v>
      </c>
      <c r="AW12" s="38" t="str">
        <f t="shared" ref="AW12:AW17" si="34">J12&amp;$D$1</f>
        <v>KWC0A0O  BBIR Curncy</v>
      </c>
      <c r="AX12" s="38" t="str">
        <f t="shared" si="4"/>
        <v>KWC0F0O  BBIR Curncy</v>
      </c>
      <c r="AY12" s="38" t="str">
        <f t="shared" si="5"/>
        <v>KWC0K0O  BBIR Curncy</v>
      </c>
      <c r="AZ12" s="38" t="str">
        <f t="shared" si="6"/>
        <v>KWC0U0O  BBIR Curncy</v>
      </c>
      <c r="BA12" s="38" t="str">
        <f t="shared" si="7"/>
        <v>KWC140O  BBIR Curncy</v>
      </c>
      <c r="BB12" s="38" t="str">
        <f t="shared" si="8"/>
        <v>KWC1E0O  BBIR Curncy</v>
      </c>
      <c r="BC12" s="38" t="str">
        <f t="shared" si="9"/>
        <v>KWC1O0O  BBIR Curncy</v>
      </c>
      <c r="BD12" s="38" t="str">
        <f t="shared" si="10"/>
        <v>KWC1Y0O  BBIR Curncy</v>
      </c>
      <c r="BE12" s="38" t="str">
        <f t="shared" si="11"/>
        <v>KWC280O  BBIR Curncy</v>
      </c>
      <c r="BF12" s="38" t="str">
        <f t="shared" si="12"/>
        <v>KWC2I0O  BBIR Curncy</v>
      </c>
      <c r="BG12" s="38" t="str">
        <f t="shared" si="13"/>
        <v>KWC2S0O  BBIR Curncy</v>
      </c>
      <c r="BH12" s="38" t="str">
        <f t="shared" si="14"/>
        <v>KWC320O  BBIR Curncy</v>
      </c>
      <c r="BI12" s="38" t="str">
        <f t="shared" si="15"/>
        <v>KWC3C0O  BBIR Curncy</v>
      </c>
      <c r="BJ12" s="38" t="str">
        <f t="shared" si="16"/>
        <v>KWC3M0O  BBIR Curncy</v>
      </c>
      <c r="BK12" s="38" t="str">
        <f t="shared" si="17"/>
        <v>KWC3W0O  BBIR Curncy</v>
      </c>
      <c r="BL12" s="38" t="str">
        <f t="shared" si="18"/>
        <v>KWC460O  BBIR Curncy</v>
      </c>
      <c r="BM12" s="38" t="str">
        <f t="shared" si="19"/>
        <v>KWC4G0O  BBIR Curncy</v>
      </c>
      <c r="BN12" s="38" t="str">
        <f t="shared" si="20"/>
        <v>KWC4Q0O  BBIR Curncy</v>
      </c>
      <c r="BO12" s="38" t="str">
        <f t="shared" si="21"/>
        <v>KWC500O  BBIR Curncy</v>
      </c>
      <c r="BP12" s="38" t="str">
        <f t="shared" si="22"/>
        <v>KWC5A0O  BBIR Curncy</v>
      </c>
      <c r="BQ12" s="38" t="str">
        <f t="shared" si="23"/>
        <v>KWC5K0O  BBIR Curncy</v>
      </c>
      <c r="BR12" s="38" t="str">
        <f t="shared" si="24"/>
        <v>KWC5U0O  BBIR Curncy</v>
      </c>
      <c r="BS12" s="38" t="str">
        <f t="shared" si="25"/>
        <v>KWC640O  BBIR Curncy</v>
      </c>
      <c r="BT12" s="38" t="str">
        <f t="shared" si="26"/>
        <v>KWC6E0O  BBIR Curncy</v>
      </c>
      <c r="BU12" s="38" t="str">
        <f t="shared" si="27"/>
        <v>KWC6O0O  BBIR Curncy</v>
      </c>
      <c r="BV12" s="38" t="str">
        <f t="shared" si="3"/>
        <v>KWC6Y0O  BBIR Curncy</v>
      </c>
      <c r="BW12" s="38" t="str">
        <f t="shared" si="1"/>
        <v>KWC780O  BBIR Curncy</v>
      </c>
      <c r="BX12" s="38" t="str">
        <f t="shared" si="1"/>
        <v>KWC7I0O  BBIR Curncy</v>
      </c>
      <c r="BY12" s="38" t="str">
        <f t="shared" si="1"/>
        <v>KWC7S0O  BBIR Curncy</v>
      </c>
      <c r="BZ12" s="38" t="str">
        <f t="shared" si="1"/>
        <v>KWC820O  BBIR Curncy</v>
      </c>
      <c r="CA12" s="38" t="str">
        <f t="shared" si="1"/>
        <v>KWC8C0O  BBIR Curncy</v>
      </c>
      <c r="CB12" s="38"/>
      <c r="CC12" s="38"/>
    </row>
    <row r="13" spans="1:81" x14ac:dyDescent="0.3">
      <c r="B13" s="38" t="s">
        <v>532</v>
      </c>
      <c r="C13" s="38" t="s">
        <v>2607</v>
      </c>
      <c r="D13" s="38" t="s">
        <v>2608</v>
      </c>
      <c r="E13" s="38" t="s">
        <v>2609</v>
      </c>
      <c r="F13" s="38" t="s">
        <v>2610</v>
      </c>
      <c r="G13" s="38" t="s">
        <v>2611</v>
      </c>
      <c r="H13" s="38" t="s">
        <v>2612</v>
      </c>
      <c r="I13" s="38" t="s">
        <v>2613</v>
      </c>
      <c r="J13" s="38" t="s">
        <v>2614</v>
      </c>
      <c r="K13" s="38" t="s">
        <v>2615</v>
      </c>
      <c r="L13" s="38" t="s">
        <v>2616</v>
      </c>
      <c r="M13" s="38" t="s">
        <v>2617</v>
      </c>
      <c r="N13" s="38" t="s">
        <v>2618</v>
      </c>
      <c r="O13" s="38" t="s">
        <v>2619</v>
      </c>
      <c r="P13" s="38" t="s">
        <v>2620</v>
      </c>
      <c r="Q13" s="38" t="s">
        <v>2621</v>
      </c>
      <c r="R13" s="38" t="s">
        <v>2622</v>
      </c>
      <c r="S13" s="38" t="s">
        <v>2623</v>
      </c>
      <c r="T13" s="38" t="s">
        <v>2624</v>
      </c>
      <c r="U13" s="38" t="s">
        <v>2625</v>
      </c>
      <c r="V13" s="38" t="s">
        <v>2626</v>
      </c>
      <c r="W13" s="38" t="s">
        <v>2627</v>
      </c>
      <c r="X13" s="38" t="s">
        <v>2628</v>
      </c>
      <c r="Y13" s="38" t="s">
        <v>2629</v>
      </c>
      <c r="Z13" s="38" t="s">
        <v>2630</v>
      </c>
      <c r="AA13" s="38" t="s">
        <v>2631</v>
      </c>
      <c r="AB13" s="38" t="s">
        <v>2632</v>
      </c>
      <c r="AC13" s="38" t="s">
        <v>2633</v>
      </c>
      <c r="AD13" s="38" t="s">
        <v>2634</v>
      </c>
      <c r="AE13" s="38" t="s">
        <v>2635</v>
      </c>
      <c r="AF13" s="38" t="s">
        <v>2636</v>
      </c>
      <c r="AG13" s="38" t="s">
        <v>2637</v>
      </c>
      <c r="AH13" s="38" t="s">
        <v>2638</v>
      </c>
      <c r="AI13" s="38" t="s">
        <v>2639</v>
      </c>
      <c r="AJ13" s="38" t="s">
        <v>2640</v>
      </c>
      <c r="AK13" s="38" t="s">
        <v>2641</v>
      </c>
      <c r="AL13" s="38" t="s">
        <v>2642</v>
      </c>
      <c r="AM13" s="38" t="s">
        <v>2643</v>
      </c>
      <c r="AN13" s="38" t="s">
        <v>2644</v>
      </c>
      <c r="AO13" s="38"/>
      <c r="AP13" s="38" t="str">
        <f t="shared" si="2"/>
        <v>KWCIU0Q  BBIR Curncy</v>
      </c>
      <c r="AQ13" s="38" t="str">
        <f t="shared" si="28"/>
        <v>KWCIK0Q  BBIR Curncy</v>
      </c>
      <c r="AR13" s="38" t="str">
        <f t="shared" si="29"/>
        <v>KWCIF0Q  BBIR Curncy</v>
      </c>
      <c r="AS13" s="38" t="str">
        <f t="shared" si="30"/>
        <v>KWCIA0Q  BBIR Curncy</v>
      </c>
      <c r="AT13" s="38" t="str">
        <f t="shared" si="31"/>
        <v>KWCI50Q  BBIR Curncy</v>
      </c>
      <c r="AU13" s="38" t="str">
        <f t="shared" si="32"/>
        <v>KWNS12   BBIR Curncy</v>
      </c>
      <c r="AV13" s="38" t="str">
        <f t="shared" si="33"/>
        <v>KWC050Q  BBIR Curncy</v>
      </c>
      <c r="AW13" s="38" t="str">
        <f t="shared" si="34"/>
        <v>KWC0A0Q  BBIR Curncy</v>
      </c>
      <c r="AX13" s="38" t="str">
        <f t="shared" si="4"/>
        <v>KWC0F0Q  BBIR Curncy</v>
      </c>
      <c r="AY13" s="38" t="str">
        <f t="shared" si="5"/>
        <v>KWC0K0Q  BBIR Curncy</v>
      </c>
      <c r="AZ13" s="38" t="str">
        <f t="shared" si="6"/>
        <v>KWC0U0Q  BBIR Curncy</v>
      </c>
      <c r="BA13" s="38" t="str">
        <f t="shared" si="7"/>
        <v>KWC140Q  BBIR Curncy</v>
      </c>
      <c r="BB13" s="38" t="str">
        <f t="shared" si="8"/>
        <v>KWC1E0Q  BBIR Curncy</v>
      </c>
      <c r="BC13" s="38" t="str">
        <f t="shared" si="9"/>
        <v>KWC1O0Q  BBIR Curncy</v>
      </c>
      <c r="BD13" s="38" t="str">
        <f t="shared" si="10"/>
        <v>KWC1Y0Q  BBIR Curncy</v>
      </c>
      <c r="BE13" s="38" t="str">
        <f t="shared" si="11"/>
        <v>KWC280Q  BBIR Curncy</v>
      </c>
      <c r="BF13" s="38" t="str">
        <f t="shared" si="12"/>
        <v>KWC2I0Q  BBIR Curncy</v>
      </c>
      <c r="BG13" s="38" t="str">
        <f t="shared" si="13"/>
        <v>KWC2S0Q  BBIR Curncy</v>
      </c>
      <c r="BH13" s="38" t="str">
        <f t="shared" si="14"/>
        <v>KWC320Q  BBIR Curncy</v>
      </c>
      <c r="BI13" s="38" t="str">
        <f t="shared" si="15"/>
        <v>KWC3C0Q  BBIR Curncy</v>
      </c>
      <c r="BJ13" s="38" t="str">
        <f t="shared" si="16"/>
        <v>KWC3M0Q  BBIR Curncy</v>
      </c>
      <c r="BK13" s="38" t="str">
        <f t="shared" si="17"/>
        <v>KWC3W0Q  BBIR Curncy</v>
      </c>
      <c r="BL13" s="38" t="str">
        <f t="shared" si="18"/>
        <v>KWC460Q  BBIR Curncy</v>
      </c>
      <c r="BM13" s="38" t="str">
        <f t="shared" si="19"/>
        <v>KWC4G0Q  BBIR Curncy</v>
      </c>
      <c r="BN13" s="38" t="str">
        <f t="shared" si="20"/>
        <v>KWC4Q0Q  BBIR Curncy</v>
      </c>
      <c r="BO13" s="38" t="str">
        <f t="shared" si="21"/>
        <v>KWC500Q  BBIR Curncy</v>
      </c>
      <c r="BP13" s="38" t="str">
        <f t="shared" si="22"/>
        <v>KWC5A0Q  BBIR Curncy</v>
      </c>
      <c r="BQ13" s="38" t="str">
        <f t="shared" si="23"/>
        <v>KWC5K0Q  BBIR Curncy</v>
      </c>
      <c r="BR13" s="38" t="str">
        <f t="shared" si="24"/>
        <v>KWC5U0Q  BBIR Curncy</v>
      </c>
      <c r="BS13" s="38" t="str">
        <f t="shared" si="25"/>
        <v>KWC640Q  BBIR Curncy</v>
      </c>
      <c r="BT13" s="38" t="str">
        <f t="shared" si="26"/>
        <v>KWC6E0Q  BBIR Curncy</v>
      </c>
      <c r="BU13" s="38" t="str">
        <f t="shared" si="27"/>
        <v>KWC6O0Q  BBIR Curncy</v>
      </c>
      <c r="BV13" s="38" t="str">
        <f t="shared" si="3"/>
        <v>KWC6Y0Q  BBIR Curncy</v>
      </c>
      <c r="BW13" s="38" t="str">
        <f t="shared" si="1"/>
        <v>KWC780Q  BBIR Curncy</v>
      </c>
      <c r="BX13" s="38" t="str">
        <f t="shared" si="1"/>
        <v>KWC7I0Q  BBIR Curncy</v>
      </c>
      <c r="BY13" s="38" t="str">
        <f t="shared" si="1"/>
        <v>KWC7S0Q  BBIR Curncy</v>
      </c>
      <c r="BZ13" s="38" t="str">
        <f t="shared" si="1"/>
        <v>KWC820Q  BBIR Curncy</v>
      </c>
      <c r="CA13" s="38" t="str">
        <f t="shared" si="1"/>
        <v>KWC8C0Q  BBIR Curncy</v>
      </c>
      <c r="CB13" s="38"/>
      <c r="CC13" s="38"/>
    </row>
    <row r="14" spans="1:81" x14ac:dyDescent="0.3">
      <c r="B14" s="38" t="s">
        <v>312</v>
      </c>
      <c r="C14" s="38" t="s">
        <v>2645</v>
      </c>
      <c r="D14" s="38" t="s">
        <v>2646</v>
      </c>
      <c r="E14" s="38" t="s">
        <v>2647</v>
      </c>
      <c r="F14" s="38" t="s">
        <v>2648</v>
      </c>
      <c r="G14" s="38" t="s">
        <v>2649</v>
      </c>
      <c r="H14" s="38" t="s">
        <v>2650</v>
      </c>
      <c r="I14" s="38" t="s">
        <v>2651</v>
      </c>
      <c r="J14" s="38" t="s">
        <v>2652</v>
      </c>
      <c r="K14" s="38" t="s">
        <v>2653</v>
      </c>
      <c r="L14" s="38" t="s">
        <v>2654</v>
      </c>
      <c r="M14" s="38" t="s">
        <v>2655</v>
      </c>
      <c r="N14" s="38" t="s">
        <v>2656</v>
      </c>
      <c r="O14" s="38" t="s">
        <v>2657</v>
      </c>
      <c r="P14" s="38" t="s">
        <v>2658</v>
      </c>
      <c r="Q14" s="38" t="s">
        <v>2659</v>
      </c>
      <c r="R14" s="38" t="s">
        <v>2660</v>
      </c>
      <c r="S14" s="38" t="s">
        <v>2661</v>
      </c>
      <c r="T14" s="38" t="s">
        <v>2662</v>
      </c>
      <c r="U14" s="38" t="s">
        <v>2663</v>
      </c>
      <c r="V14" s="38" t="s">
        <v>2664</v>
      </c>
      <c r="W14" s="38" t="s">
        <v>2665</v>
      </c>
      <c r="X14" s="38" t="s">
        <v>2666</v>
      </c>
      <c r="Y14" s="38" t="s">
        <v>2667</v>
      </c>
      <c r="Z14" s="38" t="s">
        <v>2668</v>
      </c>
      <c r="AA14" s="38" t="s">
        <v>2669</v>
      </c>
      <c r="AB14" s="38" t="s">
        <v>2670</v>
      </c>
      <c r="AC14" s="38" t="s">
        <v>2671</v>
      </c>
      <c r="AD14" s="38" t="s">
        <v>2672</v>
      </c>
      <c r="AE14" s="38" t="s">
        <v>2673</v>
      </c>
      <c r="AF14" s="38" t="s">
        <v>2674</v>
      </c>
      <c r="AG14" s="38" t="s">
        <v>2675</v>
      </c>
      <c r="AH14" s="38" t="s">
        <v>2676</v>
      </c>
      <c r="AI14" s="38" t="s">
        <v>2677</v>
      </c>
      <c r="AJ14" s="38" t="s">
        <v>2678</v>
      </c>
      <c r="AK14" s="38" t="s">
        <v>2679</v>
      </c>
      <c r="AL14" s="38" t="s">
        <v>2680</v>
      </c>
      <c r="AM14" s="38" t="s">
        <v>2681</v>
      </c>
      <c r="AN14" s="38" t="s">
        <v>2682</v>
      </c>
      <c r="AO14" s="38"/>
      <c r="AP14" s="38" t="str">
        <f t="shared" si="2"/>
        <v>KWCIU0T  BBIR Curncy</v>
      </c>
      <c r="AQ14" s="38" t="str">
        <f t="shared" si="28"/>
        <v>KWCIK0T  BBIR Curncy</v>
      </c>
      <c r="AR14" s="38" t="str">
        <f t="shared" si="29"/>
        <v>KWCIF0T  BBIR Curncy</v>
      </c>
      <c r="AS14" s="38" t="str">
        <f t="shared" si="30"/>
        <v>KWCIA0T  BBIR Curncy</v>
      </c>
      <c r="AT14" s="38" t="str">
        <f t="shared" si="31"/>
        <v>KWCI50T  BBIR Curncy</v>
      </c>
      <c r="AU14" s="38" t="str">
        <f t="shared" si="32"/>
        <v>KWNS15   BBIR Curncy</v>
      </c>
      <c r="AV14" s="38" t="str">
        <f t="shared" si="33"/>
        <v>KWC050T  BBIR Curncy</v>
      </c>
      <c r="AW14" s="38" t="str">
        <f t="shared" si="34"/>
        <v>KWC0A0T  BBIR Curncy</v>
      </c>
      <c r="AX14" s="38" t="str">
        <f t="shared" si="4"/>
        <v>KWC0F0T  BBIR Curncy</v>
      </c>
      <c r="AY14" s="38" t="str">
        <f t="shared" si="5"/>
        <v>KWC0K0T  BBIR Curncy</v>
      </c>
      <c r="AZ14" s="38" t="str">
        <f t="shared" si="6"/>
        <v>KWC0U0T  BBIR Curncy</v>
      </c>
      <c r="BA14" s="38" t="str">
        <f t="shared" si="7"/>
        <v>KWC140T  BBIR Curncy</v>
      </c>
      <c r="BB14" s="38" t="str">
        <f t="shared" si="8"/>
        <v>KWC1E0T  BBIR Curncy</v>
      </c>
      <c r="BC14" s="38" t="str">
        <f t="shared" si="9"/>
        <v>KWC1O0T  BBIR Curncy</v>
      </c>
      <c r="BD14" s="38" t="str">
        <f t="shared" si="10"/>
        <v>KWC1Y0T  BBIR Curncy</v>
      </c>
      <c r="BE14" s="38" t="str">
        <f t="shared" si="11"/>
        <v>KWC280T  BBIR Curncy</v>
      </c>
      <c r="BF14" s="38" t="str">
        <f t="shared" si="12"/>
        <v>KWC2I0T  BBIR Curncy</v>
      </c>
      <c r="BG14" s="38" t="str">
        <f t="shared" si="13"/>
        <v>KWC2S0T  BBIR Curncy</v>
      </c>
      <c r="BH14" s="38" t="str">
        <f t="shared" si="14"/>
        <v>KWC320T  BBIR Curncy</v>
      </c>
      <c r="BI14" s="38" t="str">
        <f t="shared" si="15"/>
        <v>KWC3C0T  BBIR Curncy</v>
      </c>
      <c r="BJ14" s="38" t="str">
        <f t="shared" si="16"/>
        <v>KWC3M0T  BBIR Curncy</v>
      </c>
      <c r="BK14" s="38" t="str">
        <f t="shared" si="17"/>
        <v>KWC3W0T  BBIR Curncy</v>
      </c>
      <c r="BL14" s="38" t="str">
        <f t="shared" si="18"/>
        <v>KWC460T  BBIR Curncy</v>
      </c>
      <c r="BM14" s="38" t="str">
        <f t="shared" si="19"/>
        <v>KWC4G0T  BBIR Curncy</v>
      </c>
      <c r="BN14" s="38" t="str">
        <f t="shared" si="20"/>
        <v>KWC4Q0T  BBIR Curncy</v>
      </c>
      <c r="BO14" s="38" t="str">
        <f t="shared" si="21"/>
        <v>KWC500T  BBIR Curncy</v>
      </c>
      <c r="BP14" s="38" t="str">
        <f t="shared" si="22"/>
        <v>KWC5A0T  BBIR Curncy</v>
      </c>
      <c r="BQ14" s="38" t="str">
        <f t="shared" si="23"/>
        <v>KWC5K0T  BBIR Curncy</v>
      </c>
      <c r="BR14" s="38" t="str">
        <f t="shared" si="24"/>
        <v>KWC5U0T  BBIR Curncy</v>
      </c>
      <c r="BS14" s="38" t="str">
        <f t="shared" si="25"/>
        <v>KWC640T  BBIR Curncy</v>
      </c>
      <c r="BT14" s="38" t="str">
        <f t="shared" si="26"/>
        <v>KWC6E0T  BBIR Curncy</v>
      </c>
      <c r="BU14" s="38" t="str">
        <f t="shared" si="27"/>
        <v>KWC6O0T  BBIR Curncy</v>
      </c>
      <c r="BV14" s="38" t="str">
        <f t="shared" si="3"/>
        <v>KWC6Y0T  BBIR Curncy</v>
      </c>
      <c r="BW14" s="38" t="str">
        <f t="shared" si="1"/>
        <v>KWC780T  BBIR Curncy</v>
      </c>
      <c r="BX14" s="38" t="str">
        <f t="shared" si="1"/>
        <v>KWC7I0T  BBIR Curncy</v>
      </c>
      <c r="BY14" s="38" t="str">
        <f t="shared" si="1"/>
        <v>KWC7S0T  BBIR Curncy</v>
      </c>
      <c r="BZ14" s="38" t="str">
        <f t="shared" si="1"/>
        <v>KWC820T  BBIR Curncy</v>
      </c>
      <c r="CA14" s="38" t="str">
        <f t="shared" si="1"/>
        <v>KWC8C0T  BBIR Curncy</v>
      </c>
      <c r="CB14" s="38"/>
      <c r="CC14" s="38"/>
    </row>
    <row r="15" spans="1:81" x14ac:dyDescent="0.3">
      <c r="B15" s="38" t="s">
        <v>313</v>
      </c>
      <c r="C15" s="38" t="s">
        <v>2683</v>
      </c>
      <c r="D15" s="38" t="s">
        <v>2684</v>
      </c>
      <c r="E15" s="38" t="s">
        <v>2685</v>
      </c>
      <c r="F15" s="38" t="s">
        <v>2686</v>
      </c>
      <c r="G15" s="38" t="s">
        <v>2687</v>
      </c>
      <c r="H15" s="38" t="s">
        <v>2688</v>
      </c>
      <c r="I15" s="38" t="s">
        <v>2689</v>
      </c>
      <c r="J15" s="38" t="s">
        <v>2690</v>
      </c>
      <c r="K15" s="38" t="s">
        <v>2691</v>
      </c>
      <c r="L15" s="38" t="s">
        <v>2692</v>
      </c>
      <c r="M15" s="38" t="s">
        <v>2693</v>
      </c>
      <c r="N15" s="38" t="s">
        <v>2694</v>
      </c>
      <c r="O15" s="38" t="s">
        <v>2695</v>
      </c>
      <c r="P15" s="38" t="s">
        <v>2696</v>
      </c>
      <c r="Q15" s="38" t="s">
        <v>2697</v>
      </c>
      <c r="R15" s="38" t="s">
        <v>2698</v>
      </c>
      <c r="S15" s="38" t="s">
        <v>2699</v>
      </c>
      <c r="T15" s="38" t="s">
        <v>2700</v>
      </c>
      <c r="U15" s="38" t="s">
        <v>2701</v>
      </c>
      <c r="V15" s="38" t="s">
        <v>2702</v>
      </c>
      <c r="W15" s="38" t="s">
        <v>2703</v>
      </c>
      <c r="X15" s="38" t="s">
        <v>2704</v>
      </c>
      <c r="Y15" s="38" t="s">
        <v>2705</v>
      </c>
      <c r="Z15" s="38" t="s">
        <v>2706</v>
      </c>
      <c r="AA15" s="38" t="s">
        <v>2707</v>
      </c>
      <c r="AB15" s="38" t="s">
        <v>2708</v>
      </c>
      <c r="AC15" s="38" t="s">
        <v>2709</v>
      </c>
      <c r="AD15" s="38" t="s">
        <v>2710</v>
      </c>
      <c r="AE15" s="38" t="s">
        <v>2711</v>
      </c>
      <c r="AF15" s="38" t="s">
        <v>2712</v>
      </c>
      <c r="AG15" s="38" t="s">
        <v>2713</v>
      </c>
      <c r="AH15" s="38" t="s">
        <v>2714</v>
      </c>
      <c r="AI15" s="38" t="s">
        <v>2715</v>
      </c>
      <c r="AJ15" s="38" t="s">
        <v>2716</v>
      </c>
      <c r="AK15" s="38" t="s">
        <v>2717</v>
      </c>
      <c r="AL15" s="38" t="s">
        <v>2718</v>
      </c>
      <c r="AM15" s="38" t="s">
        <v>2719</v>
      </c>
      <c r="AN15" s="38" t="s">
        <v>2720</v>
      </c>
      <c r="AO15" s="38"/>
      <c r="AP15" s="38" t="str">
        <f t="shared" si="2"/>
        <v>KWCIU0Y  BBIR Curncy</v>
      </c>
      <c r="AQ15" s="38" t="str">
        <f t="shared" si="28"/>
        <v>KWCIK0Y  BBIR Curncy</v>
      </c>
      <c r="AR15" s="38" t="str">
        <f t="shared" si="29"/>
        <v>KWCIF0Y  BBIR Curncy</v>
      </c>
      <c r="AS15" s="38" t="str">
        <f t="shared" si="30"/>
        <v>KWCIA0Y  BBIR Curncy</v>
      </c>
      <c r="AT15" s="38" t="str">
        <f t="shared" si="31"/>
        <v>KWCI50Y  BBIR Curncy</v>
      </c>
      <c r="AU15" s="38" t="str">
        <f t="shared" si="32"/>
        <v>KWNS20   BBIR Curncy</v>
      </c>
      <c r="AV15" s="38" t="str">
        <f t="shared" si="33"/>
        <v>KWC050Y  BBIR Curncy</v>
      </c>
      <c r="AW15" s="38" t="str">
        <f t="shared" si="34"/>
        <v>KWC0A0Y  BBIR Curncy</v>
      </c>
      <c r="AX15" s="38" t="str">
        <f t="shared" si="4"/>
        <v>KWC0F0Y  BBIR Curncy</v>
      </c>
      <c r="AY15" s="38" t="str">
        <f t="shared" si="5"/>
        <v>KWC0K0Y  BBIR Curncy</v>
      </c>
      <c r="AZ15" s="38" t="str">
        <f t="shared" si="6"/>
        <v>KWC0U0Y  BBIR Curncy</v>
      </c>
      <c r="BA15" s="38" t="str">
        <f t="shared" si="7"/>
        <v>KWC140Y  BBIR Curncy</v>
      </c>
      <c r="BB15" s="38" t="str">
        <f t="shared" si="8"/>
        <v>KWC1E0Y  BBIR Curncy</v>
      </c>
      <c r="BC15" s="38" t="str">
        <f t="shared" si="9"/>
        <v>KWC1O0Y  BBIR Curncy</v>
      </c>
      <c r="BD15" s="38" t="str">
        <f t="shared" si="10"/>
        <v>KWC1Y0Y  BBIR Curncy</v>
      </c>
      <c r="BE15" s="38" t="str">
        <f t="shared" si="11"/>
        <v>KWC280Y  BBIR Curncy</v>
      </c>
      <c r="BF15" s="38" t="str">
        <f t="shared" si="12"/>
        <v>KWC2I0Y  BBIR Curncy</v>
      </c>
      <c r="BG15" s="38" t="str">
        <f t="shared" si="13"/>
        <v>KWC2S0Y  BBIR Curncy</v>
      </c>
      <c r="BH15" s="38" t="str">
        <f t="shared" si="14"/>
        <v>KWC320Y  BBIR Curncy</v>
      </c>
      <c r="BI15" s="38" t="str">
        <f t="shared" si="15"/>
        <v>KWC3C0Y  BBIR Curncy</v>
      </c>
      <c r="BJ15" s="38" t="str">
        <f t="shared" si="16"/>
        <v>KWC3M0Y  BBIR Curncy</v>
      </c>
      <c r="BK15" s="38" t="str">
        <f t="shared" si="17"/>
        <v>KWC3W0Y  BBIR Curncy</v>
      </c>
      <c r="BL15" s="38" t="str">
        <f t="shared" si="18"/>
        <v>KWC460Y  BBIR Curncy</v>
      </c>
      <c r="BM15" s="38" t="str">
        <f t="shared" si="19"/>
        <v>KWC4G0Y  BBIR Curncy</v>
      </c>
      <c r="BN15" s="38" t="str">
        <f t="shared" si="20"/>
        <v>KWC4Q0Y  BBIR Curncy</v>
      </c>
      <c r="BO15" s="38" t="str">
        <f t="shared" si="21"/>
        <v>KWC500Y  BBIR Curncy</v>
      </c>
      <c r="BP15" s="38" t="str">
        <f t="shared" si="22"/>
        <v>KWC5A0Y  BBIR Curncy</v>
      </c>
      <c r="BQ15" s="38" t="str">
        <f t="shared" si="23"/>
        <v>KWC5K0Y  BBIR Curncy</v>
      </c>
      <c r="BR15" s="38" t="str">
        <f t="shared" si="24"/>
        <v>KWC5U0Y  BBIR Curncy</v>
      </c>
      <c r="BS15" s="38" t="str">
        <f t="shared" si="25"/>
        <v>KWC640Y  BBIR Curncy</v>
      </c>
      <c r="BT15" s="38" t="str">
        <f t="shared" si="26"/>
        <v>KWC6E0Y  BBIR Curncy</v>
      </c>
      <c r="BU15" s="38" t="str">
        <f t="shared" si="27"/>
        <v>KWC6O0Y  BBIR Curncy</v>
      </c>
      <c r="BV15" s="38" t="str">
        <f t="shared" si="3"/>
        <v>KWC6Y0Y  BBIR Curncy</v>
      </c>
      <c r="BW15" s="38" t="str">
        <f t="shared" si="1"/>
        <v>KWC780Y  BBIR Curncy</v>
      </c>
      <c r="BX15" s="38" t="str">
        <f t="shared" si="1"/>
        <v>KWC7I0Y  BBIR Curncy</v>
      </c>
      <c r="BY15" s="38" t="str">
        <f t="shared" si="1"/>
        <v>KWC7S0Y  BBIR Curncy</v>
      </c>
      <c r="BZ15" s="38" t="str">
        <f t="shared" si="1"/>
        <v>KWC820Y  BBIR Curncy</v>
      </c>
      <c r="CA15" s="38" t="str">
        <f t="shared" si="1"/>
        <v>KWC8C0Y  BBIR Curncy</v>
      </c>
      <c r="CB15" s="38"/>
      <c r="CC15" s="38"/>
    </row>
    <row r="16" spans="1:81" x14ac:dyDescent="0.3">
      <c r="B16" s="38" t="s">
        <v>533</v>
      </c>
      <c r="C16" s="38" t="s">
        <v>2721</v>
      </c>
      <c r="D16" s="38" t="s">
        <v>2722</v>
      </c>
      <c r="E16" s="38" t="s">
        <v>2723</v>
      </c>
      <c r="F16" s="38" t="s">
        <v>2724</v>
      </c>
      <c r="G16" s="38" t="s">
        <v>2725</v>
      </c>
      <c r="H16" s="38" t="s">
        <v>2726</v>
      </c>
      <c r="I16" s="38" t="s">
        <v>2727</v>
      </c>
      <c r="J16" s="38" t="s">
        <v>2728</v>
      </c>
      <c r="K16" s="38" t="s">
        <v>2729</v>
      </c>
      <c r="L16" s="38" t="s">
        <v>2730</v>
      </c>
      <c r="M16" s="38" t="s">
        <v>2731</v>
      </c>
      <c r="N16" s="38" t="s">
        <v>2732</v>
      </c>
      <c r="O16" s="38" t="s">
        <v>2733</v>
      </c>
      <c r="P16" s="38" t="s">
        <v>2734</v>
      </c>
      <c r="Q16" s="38" t="s">
        <v>2735</v>
      </c>
      <c r="R16" s="38" t="s">
        <v>2736</v>
      </c>
      <c r="S16" s="38" t="s">
        <v>2737</v>
      </c>
      <c r="T16" s="38" t="s">
        <v>2738</v>
      </c>
      <c r="U16" s="38" t="s">
        <v>2739</v>
      </c>
      <c r="V16" s="38" t="s">
        <v>2740</v>
      </c>
      <c r="W16" s="38" t="s">
        <v>2741</v>
      </c>
      <c r="X16" s="38" t="s">
        <v>2742</v>
      </c>
      <c r="Y16" s="38" t="s">
        <v>2743</v>
      </c>
      <c r="Z16" s="38" t="s">
        <v>2744</v>
      </c>
      <c r="AA16" s="38" t="s">
        <v>2745</v>
      </c>
      <c r="AB16" s="38" t="s">
        <v>2746</v>
      </c>
      <c r="AC16" s="38" t="s">
        <v>2747</v>
      </c>
      <c r="AD16" s="38" t="s">
        <v>2748</v>
      </c>
      <c r="AE16" s="38" t="s">
        <v>2749</v>
      </c>
      <c r="AF16" s="38" t="s">
        <v>2750</v>
      </c>
      <c r="AG16" s="38" t="s">
        <v>2751</v>
      </c>
      <c r="AH16" s="38" t="s">
        <v>2752</v>
      </c>
      <c r="AI16" s="38" t="s">
        <v>2753</v>
      </c>
      <c r="AJ16" s="38" t="s">
        <v>2754</v>
      </c>
      <c r="AK16" s="38" t="s">
        <v>2755</v>
      </c>
      <c r="AL16" s="38" t="s">
        <v>2756</v>
      </c>
      <c r="AM16" s="38" t="s">
        <v>2757</v>
      </c>
      <c r="AN16" s="38" t="s">
        <v>2758</v>
      </c>
      <c r="AO16" s="38"/>
      <c r="AP16" s="38" t="str">
        <f t="shared" si="2"/>
        <v>KWCIU13  BBIR Curncy</v>
      </c>
      <c r="AQ16" s="38" t="str">
        <f t="shared" si="28"/>
        <v>KWCIK13  BBIR Curncy</v>
      </c>
      <c r="AR16" s="38" t="str">
        <f t="shared" si="29"/>
        <v>KWCIF13  BBIR Curncy</v>
      </c>
      <c r="AS16" s="38" t="str">
        <f t="shared" si="30"/>
        <v>KWCIA13  BBIR Curncy</v>
      </c>
      <c r="AT16" s="38" t="str">
        <f t="shared" si="31"/>
        <v>KWCI513  BBIR Curncy</v>
      </c>
      <c r="AU16" s="38" t="str">
        <f t="shared" si="32"/>
        <v>KWNS25   BBIR Curncy</v>
      </c>
      <c r="AV16" s="38" t="str">
        <f t="shared" si="33"/>
        <v>KWC0513  BBIR Curncy</v>
      </c>
      <c r="AW16" s="38" t="str">
        <f t="shared" si="34"/>
        <v>KWC0A13  BBIR Curncy</v>
      </c>
      <c r="AX16" s="38" t="str">
        <f t="shared" si="4"/>
        <v>KWC0F13  BBIR Curncy</v>
      </c>
      <c r="AY16" s="38" t="str">
        <f t="shared" si="5"/>
        <v>KWC0K13  BBIR Curncy</v>
      </c>
      <c r="AZ16" s="38" t="str">
        <f t="shared" si="6"/>
        <v>KWC0U13  BBIR Curncy</v>
      </c>
      <c r="BA16" s="38" t="str">
        <f t="shared" si="7"/>
        <v>KWC1413  BBIR Curncy</v>
      </c>
      <c r="BB16" s="38" t="str">
        <f t="shared" si="8"/>
        <v>KWC1E13  BBIR Curncy</v>
      </c>
      <c r="BC16" s="38" t="str">
        <f t="shared" si="9"/>
        <v>KWC1O13  BBIR Curncy</v>
      </c>
      <c r="BD16" s="38" t="str">
        <f t="shared" si="10"/>
        <v>KWC1Y13  BBIR Curncy</v>
      </c>
      <c r="BE16" s="38" t="str">
        <f t="shared" si="11"/>
        <v>KWC2813  BBIR Curncy</v>
      </c>
      <c r="BF16" s="38" t="str">
        <f t="shared" si="12"/>
        <v>KWC2I13  BBIR Curncy</v>
      </c>
      <c r="BG16" s="38" t="str">
        <f t="shared" si="13"/>
        <v>KWC2S13  BBIR Curncy</v>
      </c>
      <c r="BH16" s="38" t="str">
        <f t="shared" si="14"/>
        <v>KWC3213  BBIR Curncy</v>
      </c>
      <c r="BI16" s="38" t="str">
        <f t="shared" si="15"/>
        <v>KWC3C13  BBIR Curncy</v>
      </c>
      <c r="BJ16" s="38" t="str">
        <f t="shared" si="16"/>
        <v>KWC3M13  BBIR Curncy</v>
      </c>
      <c r="BK16" s="38" t="str">
        <f t="shared" si="17"/>
        <v>KWC3W13  BBIR Curncy</v>
      </c>
      <c r="BL16" s="38" t="str">
        <f t="shared" si="18"/>
        <v>KWC4613  BBIR Curncy</v>
      </c>
      <c r="BM16" s="38" t="str">
        <f t="shared" si="19"/>
        <v>KWC4G13  BBIR Curncy</v>
      </c>
      <c r="BN16" s="38" t="str">
        <f t="shared" si="20"/>
        <v>KWC4Q13  BBIR Curncy</v>
      </c>
      <c r="BO16" s="38" t="str">
        <f t="shared" si="21"/>
        <v>KWC5013  BBIR Curncy</v>
      </c>
      <c r="BP16" s="38" t="str">
        <f t="shared" si="22"/>
        <v>KWC5A13  BBIR Curncy</v>
      </c>
      <c r="BQ16" s="38" t="str">
        <f t="shared" si="23"/>
        <v>KWC5K13  BBIR Curncy</v>
      </c>
      <c r="BR16" s="38" t="str">
        <f t="shared" si="24"/>
        <v>KWC5U13  BBIR Curncy</v>
      </c>
      <c r="BS16" s="38" t="str">
        <f t="shared" si="25"/>
        <v>KWC6413  BBIR Curncy</v>
      </c>
      <c r="BT16" s="38" t="str">
        <f t="shared" si="26"/>
        <v>KWC6E13  BBIR Curncy</v>
      </c>
      <c r="BU16" s="38" t="str">
        <f t="shared" si="27"/>
        <v>KWC6O13  BBIR Curncy</v>
      </c>
      <c r="BV16" s="38" t="str">
        <f t="shared" si="3"/>
        <v>KWC6Y13  BBIR Curncy</v>
      </c>
      <c r="BW16" s="38" t="str">
        <f t="shared" si="1"/>
        <v>KWC7813  BBIR Curncy</v>
      </c>
      <c r="BX16" s="38" t="str">
        <f t="shared" si="1"/>
        <v>KWC7I13  BBIR Curncy</v>
      </c>
      <c r="BY16" s="38" t="str">
        <f t="shared" si="1"/>
        <v>KWC7S13  BBIR Curncy</v>
      </c>
      <c r="BZ16" s="38" t="str">
        <f t="shared" si="1"/>
        <v>KWC8213  BBIR Curncy</v>
      </c>
      <c r="CA16" s="38" t="str">
        <f t="shared" si="1"/>
        <v>KWC8C13  BBIR Curncy</v>
      </c>
      <c r="CB16" s="38"/>
      <c r="CC16" s="38"/>
    </row>
    <row r="17" spans="1:81" x14ac:dyDescent="0.3">
      <c r="B17" s="38" t="s">
        <v>534</v>
      </c>
      <c r="C17" s="38" t="s">
        <v>2759</v>
      </c>
      <c r="D17" s="38" t="s">
        <v>2760</v>
      </c>
      <c r="E17" s="38" t="s">
        <v>2761</v>
      </c>
      <c r="F17" s="38" t="s">
        <v>2762</v>
      </c>
      <c r="G17" s="38" t="s">
        <v>2763</v>
      </c>
      <c r="H17" s="38" t="s">
        <v>2764</v>
      </c>
      <c r="I17" s="38" t="s">
        <v>2765</v>
      </c>
      <c r="J17" s="38" t="s">
        <v>2766</v>
      </c>
      <c r="K17" s="38" t="s">
        <v>2767</v>
      </c>
      <c r="L17" s="38" t="s">
        <v>2768</v>
      </c>
      <c r="M17" s="38" t="s">
        <v>2769</v>
      </c>
      <c r="N17" s="38" t="s">
        <v>2770</v>
      </c>
      <c r="O17" s="38" t="s">
        <v>2771</v>
      </c>
      <c r="P17" s="38" t="s">
        <v>2772</v>
      </c>
      <c r="Q17" s="38" t="s">
        <v>2773</v>
      </c>
      <c r="R17" s="38" t="s">
        <v>2774</v>
      </c>
      <c r="S17" s="38" t="s">
        <v>2775</v>
      </c>
      <c r="T17" s="38" t="s">
        <v>2776</v>
      </c>
      <c r="U17" s="38" t="s">
        <v>2777</v>
      </c>
      <c r="V17" s="38" t="s">
        <v>2778</v>
      </c>
      <c r="W17" s="38" t="s">
        <v>2779</v>
      </c>
      <c r="X17" s="38" t="s">
        <v>2780</v>
      </c>
      <c r="Y17" s="38" t="s">
        <v>2781</v>
      </c>
      <c r="Z17" s="38" t="s">
        <v>2782</v>
      </c>
      <c r="AA17" s="38" t="s">
        <v>2783</v>
      </c>
      <c r="AB17" s="38" t="s">
        <v>2784</v>
      </c>
      <c r="AC17" s="38" t="s">
        <v>2785</v>
      </c>
      <c r="AD17" s="38" t="s">
        <v>2786</v>
      </c>
      <c r="AE17" s="38" t="s">
        <v>2787</v>
      </c>
      <c r="AF17" s="38" t="s">
        <v>2788</v>
      </c>
      <c r="AG17" s="38" t="s">
        <v>2789</v>
      </c>
      <c r="AH17" s="38" t="s">
        <v>2790</v>
      </c>
      <c r="AI17" s="38" t="s">
        <v>2791</v>
      </c>
      <c r="AJ17" s="38" t="s">
        <v>2792</v>
      </c>
      <c r="AK17" s="38" t="s">
        <v>2793</v>
      </c>
      <c r="AL17" s="38" t="s">
        <v>2794</v>
      </c>
      <c r="AM17" s="38" t="s">
        <v>2795</v>
      </c>
      <c r="AN17" s="38" t="s">
        <v>2796</v>
      </c>
      <c r="AO17" s="38"/>
      <c r="AP17" s="38" t="str">
        <f t="shared" si="2"/>
        <v>KWCIU18  BBIR Curncy</v>
      </c>
      <c r="AQ17" s="38" t="str">
        <f t="shared" si="28"/>
        <v>KWCIK18  BBIR Curncy</v>
      </c>
      <c r="AR17" s="38" t="str">
        <f t="shared" si="29"/>
        <v>KWCIF18  BBIR Curncy</v>
      </c>
      <c r="AS17" s="38" t="str">
        <f t="shared" si="30"/>
        <v>KWCIA18  BBIR Curncy</v>
      </c>
      <c r="AT17" s="38" t="str">
        <f t="shared" si="31"/>
        <v>KWCI518  BBIR Curncy</v>
      </c>
      <c r="AU17" s="38" t="str">
        <f t="shared" si="32"/>
        <v>KWNS30   BBIR Curncy</v>
      </c>
      <c r="AV17" s="38" t="str">
        <f t="shared" si="33"/>
        <v>KWC0518  BBIR Curncy</v>
      </c>
      <c r="AW17" s="38" t="str">
        <f t="shared" si="34"/>
        <v>KWC0A18  BBIR Curncy</v>
      </c>
      <c r="AX17" s="38" t="str">
        <f t="shared" si="4"/>
        <v>KWC0F18  BBIR Curncy</v>
      </c>
      <c r="AY17" s="38" t="str">
        <f t="shared" si="5"/>
        <v>KWC0K18  BBIR Curncy</v>
      </c>
      <c r="AZ17" s="38" t="str">
        <f t="shared" si="6"/>
        <v>KWC0U18  BBIR Curncy</v>
      </c>
      <c r="BA17" s="38" t="str">
        <f t="shared" si="7"/>
        <v>KWC1418  BBIR Curncy</v>
      </c>
      <c r="BB17" s="38" t="str">
        <f t="shared" si="8"/>
        <v>KWC1E18  BBIR Curncy</v>
      </c>
      <c r="BC17" s="38" t="str">
        <f t="shared" si="9"/>
        <v>KWC1O18  BBIR Curncy</v>
      </c>
      <c r="BD17" s="38" t="str">
        <f t="shared" si="10"/>
        <v>KWC1Y18  BBIR Curncy</v>
      </c>
      <c r="BE17" s="38" t="str">
        <f t="shared" si="11"/>
        <v>KWC2818  BBIR Curncy</v>
      </c>
      <c r="BF17" s="38" t="str">
        <f t="shared" si="12"/>
        <v>KWC2I18  BBIR Curncy</v>
      </c>
      <c r="BG17" s="38" t="str">
        <f t="shared" si="13"/>
        <v>KWC2S18  BBIR Curncy</v>
      </c>
      <c r="BH17" s="38" t="str">
        <f t="shared" si="14"/>
        <v>KWC3218  BBIR Curncy</v>
      </c>
      <c r="BI17" s="38" t="str">
        <f t="shared" si="15"/>
        <v>KWC3C18  BBIR Curncy</v>
      </c>
      <c r="BJ17" s="38" t="str">
        <f t="shared" si="16"/>
        <v>KWC3M18  BBIR Curncy</v>
      </c>
      <c r="BK17" s="38" t="str">
        <f t="shared" si="17"/>
        <v>KWC3W18  BBIR Curncy</v>
      </c>
      <c r="BL17" s="38" t="str">
        <f t="shared" si="18"/>
        <v>KWC4618  BBIR Curncy</v>
      </c>
      <c r="BM17" s="38" t="str">
        <f t="shared" si="19"/>
        <v>KWC4G18  BBIR Curncy</v>
      </c>
      <c r="BN17" s="38" t="str">
        <f t="shared" si="20"/>
        <v>KWC4Q18  BBIR Curncy</v>
      </c>
      <c r="BO17" s="38" t="str">
        <f t="shared" si="21"/>
        <v>KWC5018  BBIR Curncy</v>
      </c>
      <c r="BP17" s="38" t="str">
        <f t="shared" si="22"/>
        <v>KWC5A18  BBIR Curncy</v>
      </c>
      <c r="BQ17" s="38" t="str">
        <f t="shared" si="23"/>
        <v>KWC5K18  BBIR Curncy</v>
      </c>
      <c r="BR17" s="38" t="str">
        <f t="shared" si="24"/>
        <v>KWC5U18  BBIR Curncy</v>
      </c>
      <c r="BS17" s="38" t="str">
        <f t="shared" si="25"/>
        <v>KWC6418  BBIR Curncy</v>
      </c>
      <c r="BT17" s="38" t="str">
        <f t="shared" si="26"/>
        <v>KWC6E18  BBIR Curncy</v>
      </c>
      <c r="BU17" s="38" t="str">
        <f t="shared" si="27"/>
        <v>KWC6O18  BBIR Curncy</v>
      </c>
      <c r="BV17" s="38" t="str">
        <f t="shared" si="3"/>
        <v>KWC6Y18  BBIR Curncy</v>
      </c>
      <c r="BW17" s="38" t="str">
        <f t="shared" si="1"/>
        <v>KWC7818  BBIR Curncy</v>
      </c>
      <c r="BX17" s="38" t="str">
        <f t="shared" si="1"/>
        <v>KWC7I18  BBIR Curncy</v>
      </c>
      <c r="BY17" s="38" t="str">
        <f t="shared" si="1"/>
        <v>KWC7S18  BBIR Curncy</v>
      </c>
      <c r="BZ17" s="38" t="str">
        <f t="shared" si="1"/>
        <v>KWC8218  BBIR Curncy</v>
      </c>
      <c r="CA17" s="38" t="str">
        <f t="shared" si="1"/>
        <v>KWC8C18  BBIR Curncy</v>
      </c>
      <c r="CB17" s="38"/>
      <c r="CC17" s="38"/>
    </row>
    <row r="18" spans="1:81" x14ac:dyDescent="0.3"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</row>
    <row r="19" spans="1:81" x14ac:dyDescent="0.3"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</row>
    <row r="21" spans="1:81" x14ac:dyDescent="0.3">
      <c r="B21" s="4">
        <v>44606</v>
      </c>
    </row>
    <row r="22" spans="1:81" x14ac:dyDescent="0.25">
      <c r="A22" s="39" t="s">
        <v>300</v>
      </c>
      <c r="B22" s="37" t="s">
        <v>530</v>
      </c>
      <c r="C22" s="37" t="s">
        <v>568</v>
      </c>
      <c r="D22" s="37" t="s">
        <v>569</v>
      </c>
      <c r="E22" s="37" t="s">
        <v>570</v>
      </c>
      <c r="F22" s="37" t="s">
        <v>571</v>
      </c>
      <c r="G22" s="37" t="s">
        <v>572</v>
      </c>
      <c r="H22" s="37" t="s">
        <v>531</v>
      </c>
      <c r="I22" s="37" t="s">
        <v>573</v>
      </c>
      <c r="J22" s="37" t="s">
        <v>574</v>
      </c>
      <c r="K22" s="37" t="s">
        <v>575</v>
      </c>
      <c r="L22" s="37" t="s">
        <v>538</v>
      </c>
      <c r="M22" s="37" t="s">
        <v>539</v>
      </c>
      <c r="N22" s="37" t="s">
        <v>540</v>
      </c>
      <c r="O22" s="37" t="s">
        <v>541</v>
      </c>
      <c r="P22" s="37" t="s">
        <v>542</v>
      </c>
      <c r="Q22" s="37" t="s">
        <v>543</v>
      </c>
      <c r="R22" s="37" t="s">
        <v>544</v>
      </c>
      <c r="S22" s="37" t="s">
        <v>545</v>
      </c>
      <c r="T22" s="37" t="s">
        <v>546</v>
      </c>
      <c r="U22" s="37" t="s">
        <v>547</v>
      </c>
      <c r="V22" s="37" t="s">
        <v>548</v>
      </c>
      <c r="W22" s="37" t="s">
        <v>549</v>
      </c>
      <c r="X22" s="37" t="s">
        <v>550</v>
      </c>
      <c r="Y22" s="37" t="s">
        <v>551</v>
      </c>
      <c r="Z22" s="37" t="s">
        <v>552</v>
      </c>
      <c r="AA22" s="37" t="s">
        <v>553</v>
      </c>
      <c r="AB22" s="37" t="s">
        <v>554</v>
      </c>
      <c r="AC22" s="37" t="s">
        <v>555</v>
      </c>
      <c r="AD22" s="37" t="s">
        <v>556</v>
      </c>
      <c r="AE22" s="37" t="s">
        <v>557</v>
      </c>
      <c r="AF22" s="37" t="s">
        <v>558</v>
      </c>
      <c r="AG22" s="37" t="s">
        <v>559</v>
      </c>
      <c r="AH22" s="37" t="s">
        <v>560</v>
      </c>
      <c r="AI22" s="37" t="s">
        <v>561</v>
      </c>
      <c r="AJ22" s="37" t="s">
        <v>562</v>
      </c>
      <c r="AK22" s="37" t="s">
        <v>563</v>
      </c>
      <c r="AL22" s="37" t="s">
        <v>564</v>
      </c>
      <c r="AM22" s="37" t="s">
        <v>565</v>
      </c>
      <c r="AN22" s="37" t="s">
        <v>566</v>
      </c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</row>
    <row r="23" spans="1:81" x14ac:dyDescent="0.3">
      <c r="B23" s="38" t="s">
        <v>302</v>
      </c>
      <c r="C23" s="9">
        <f>_xll.BDH(AP3,$A$2,$B$21,$B$21)</f>
        <v>57.777099999999997</v>
      </c>
      <c r="D23" s="9">
        <f>_xll.BDH(AQ3,$A$2,$B$21,$B$21)</f>
        <v>57.777099999999997</v>
      </c>
      <c r="E23" s="9">
        <f>_xll.BDH(AR3,$A$2,$B$21,$B$21)</f>
        <v>57.777099999999997</v>
      </c>
      <c r="F23" s="9">
        <f>_xll.BDH(AS3,$A$2,$B$21,$B$21)</f>
        <v>57.777099999999997</v>
      </c>
      <c r="G23" s="9">
        <f>_xll.BDH(AT3,$A$2,$B$21,$B$21)</f>
        <v>57.777099999999997</v>
      </c>
      <c r="H23" s="9">
        <f>_xll.BDH(AU3,$A$2,$B$21,$B$21)</f>
        <v>47.019199999999998</v>
      </c>
      <c r="I23" s="9">
        <f>_xll.BDH(AV3,$A$2,$B$21,$B$21)</f>
        <v>53.924500000000002</v>
      </c>
      <c r="J23" s="9">
        <f>_xll.BDH(AW3,$A$2,$B$21,$B$21)</f>
        <v>47.581299999999999</v>
      </c>
      <c r="K23" s="9">
        <f>_xll.BDH(AX3,$A$2,$B$21,$B$21)</f>
        <v>44.401899999999998</v>
      </c>
      <c r="L23" s="9">
        <f>_xll.BDH(AY3,$A$2,$B$21,$B$21)</f>
        <v>44.058</v>
      </c>
      <c r="M23" s="9">
        <f>_xll.BDH(AZ3,$A$2,$B$21,$B$21)</f>
        <v>43.412700000000001</v>
      </c>
      <c r="N23" s="9">
        <f>_xll.BDH(BA3,$A$2,$B$21,$B$21)</f>
        <v>45.972999999999999</v>
      </c>
      <c r="O23" s="9">
        <f>_xll.BDH(BB3,$A$2,$B$21,$B$21)</f>
        <v>49.238700000000001</v>
      </c>
      <c r="P23" s="9">
        <f>_xll.BDH(BC3,$A$2,$B$21,$B$21)</f>
        <v>51.366</v>
      </c>
      <c r="Q23" s="9">
        <f>_xll.BDH(BD3,$A$2,$B$21,$B$21)</f>
        <v>52.8979</v>
      </c>
      <c r="R23" s="9">
        <f>_xll.BDH(BE3,$A$2,$B$21,$B$21)</f>
        <v>54.170900000000003</v>
      </c>
      <c r="S23" s="9">
        <f>_xll.BDH(BF3,$A$2,$B$21,$B$21)</f>
        <v>55.363999999999997</v>
      </c>
      <c r="T23" s="9">
        <f>_xll.BDH(BG3,$A$2,$B$21,$B$21)</f>
        <v>56.509900000000002</v>
      </c>
      <c r="U23" s="9">
        <f>_xll.BDH(BH3,$A$2,$B$21,$B$21)</f>
        <v>57.616500000000002</v>
      </c>
      <c r="V23" s="9">
        <f>_xll.BDH(BI3,$A$2,$B$21,$B$21)</f>
        <v>58.683999999999997</v>
      </c>
      <c r="W23" s="9">
        <f>_xll.BDH(BJ3,$A$2,$B$21,$B$21)</f>
        <v>59.718600000000002</v>
      </c>
      <c r="X23" s="9">
        <f>_xll.BDH(BK3,$A$2,$B$21,$B$21)</f>
        <v>60.7256</v>
      </c>
      <c r="Y23" s="9">
        <f>_xll.BDH(BL3,$A$2,$B$21,$B$21)</f>
        <v>61.705199999999998</v>
      </c>
      <c r="Z23" s="9">
        <f>_xll.BDH(BM3,$A$2,$B$21,$B$21)</f>
        <v>62.657600000000002</v>
      </c>
      <c r="AA23" s="9">
        <f>_xll.BDH(BN3,$A$2,$B$21,$B$21)</f>
        <v>63.587800000000001</v>
      </c>
      <c r="AB23" s="9">
        <f>_xll.BDH(BO3,$A$2,$B$21,$B$21)</f>
        <v>64.495099999999994</v>
      </c>
      <c r="AC23" s="9">
        <f>_xll.BDH(BP3,$A$2,$B$21,$B$21)</f>
        <v>65.381699999999995</v>
      </c>
      <c r="AD23" s="9">
        <f>_xll.BDH(BQ3,$A$2,$B$21,$B$21)</f>
        <v>66.25</v>
      </c>
      <c r="AE23" s="9">
        <f>_xll.BDH(BR3,$A$2,$B$21,$B$21)</f>
        <v>67.102900000000005</v>
      </c>
      <c r="AF23" s="9">
        <f>_xll.BDH(BS3,$A$2,$B$21,$B$21)</f>
        <v>67.935500000000005</v>
      </c>
      <c r="AG23" s="9">
        <f>_xll.BDH(BT3,$A$2,$B$21,$B$21)</f>
        <v>68.750200000000007</v>
      </c>
      <c r="AH23" s="9">
        <f>_xll.BDH(BU3,$A$2,$B$21,$B$21)</f>
        <v>69.552999999999997</v>
      </c>
      <c r="AI23" s="9">
        <f>_xll.BDH(BV3,$A$2,$B$21,$B$21)</f>
        <v>70.3429</v>
      </c>
      <c r="AJ23" s="9">
        <f>_xll.BDH(BW3,$A$2,$B$21,$B$21)</f>
        <v>71.1173</v>
      </c>
      <c r="AK23" s="9">
        <f>_xll.BDH(BX3,$A$2,$B$21,$B$21)</f>
        <v>71.881399999999999</v>
      </c>
      <c r="AL23" s="9">
        <f>_xll.BDH(BY3,$A$2,$B$21,$B$21)</f>
        <v>72.630600000000001</v>
      </c>
      <c r="AM23" s="9">
        <f>_xll.BDH(BZ3,$A$2,$B$21,$B$21)</f>
        <v>73.365200000000002</v>
      </c>
      <c r="AN23" s="9">
        <f>_xll.BDH(CA3,$A$2,$B$21,$B$21)</f>
        <v>74.096000000000004</v>
      </c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</row>
    <row r="24" spans="1:81" x14ac:dyDescent="0.3">
      <c r="B24" s="38" t="s">
        <v>303</v>
      </c>
      <c r="C24" s="9">
        <f>_xll.BDH(AP4,$A$2,$B$21,$B$21)</f>
        <v>40.756599999999999</v>
      </c>
      <c r="D24" s="9">
        <f>_xll.BDH(AQ4,$A$2,$B$21,$B$21)</f>
        <v>40.756599999999999</v>
      </c>
      <c r="E24" s="9">
        <f>_xll.BDH(AR4,$A$2,$B$21,$B$21)</f>
        <v>40.756599999999999</v>
      </c>
      <c r="F24" s="9">
        <f>_xll.BDH(AS4,$A$2,$B$21,$B$21)</f>
        <v>40.756599999999999</v>
      </c>
      <c r="G24" s="9">
        <f>_xll.BDH(AT4,$A$2,$B$21,$B$21)</f>
        <v>40.756599999999999</v>
      </c>
      <c r="H24" s="9">
        <f>_xll.BDH(AU4,$A$2,$B$21,$B$21)</f>
        <v>46.615499999999997</v>
      </c>
      <c r="I24" s="9">
        <f>_xll.BDH(AV4,$A$2,$B$21,$B$21)</f>
        <v>40.460099999999997</v>
      </c>
      <c r="J24" s="9">
        <f>_xll.BDH(AW4,$A$2,$B$21,$B$21)</f>
        <v>40.364100000000001</v>
      </c>
      <c r="K24" s="9">
        <f>_xll.BDH(AX4,$A$2,$B$21,$B$21)</f>
        <v>41.171900000000001</v>
      </c>
      <c r="L24" s="9">
        <f>_xll.BDH(AY4,$A$2,$B$21,$B$21)</f>
        <v>42.038499999999999</v>
      </c>
      <c r="M24" s="9">
        <f>_xll.BDH(AZ4,$A$2,$B$21,$B$21)</f>
        <v>43.441099999999999</v>
      </c>
      <c r="N24" s="9">
        <f>_xll.BDH(BA4,$A$2,$B$21,$B$21)</f>
        <v>45.297499999999999</v>
      </c>
      <c r="O24" s="9">
        <f>_xll.BDH(BB4,$A$2,$B$21,$B$21)</f>
        <v>46.848399999999998</v>
      </c>
      <c r="P24" s="9">
        <f>_xll.BDH(BC4,$A$2,$B$21,$B$21)</f>
        <v>47.809399999999997</v>
      </c>
      <c r="Q24" s="9">
        <f>_xll.BDH(BD4,$A$2,$B$21,$B$21)</f>
        <v>48.737499999999997</v>
      </c>
      <c r="R24" s="9">
        <f>_xll.BDH(BE4,$A$2,$B$21,$B$21)</f>
        <v>49.753700000000002</v>
      </c>
      <c r="S24" s="9">
        <f>_xll.BDH(BF4,$A$2,$B$21,$B$21)</f>
        <v>50.8065</v>
      </c>
      <c r="T24" s="9">
        <f>_xll.BDH(BG4,$A$2,$B$21,$B$21)</f>
        <v>51.841700000000003</v>
      </c>
      <c r="U24" s="9">
        <f>_xll.BDH(BH4,$A$2,$B$21,$B$21)</f>
        <v>52.8446</v>
      </c>
      <c r="V24" s="9">
        <f>_xll.BDH(BI4,$A$2,$B$21,$B$21)</f>
        <v>53.815600000000003</v>
      </c>
      <c r="W24" s="9">
        <f>_xll.BDH(BJ4,$A$2,$B$21,$B$21)</f>
        <v>54.757899999999999</v>
      </c>
      <c r="X24" s="9">
        <f>_xll.BDH(BK4,$A$2,$B$21,$B$21)</f>
        <v>55.671599999999998</v>
      </c>
      <c r="Y24" s="9">
        <f>_xll.BDH(BL4,$A$2,$B$21,$B$21)</f>
        <v>56.561399999999999</v>
      </c>
      <c r="Z24" s="9">
        <f>_xll.BDH(BM4,$A$2,$B$21,$B$21)</f>
        <v>57.430100000000003</v>
      </c>
      <c r="AA24" s="9">
        <f>_xll.BDH(BN4,$A$2,$B$21,$B$21)</f>
        <v>58.272199999999998</v>
      </c>
      <c r="AB24" s="9">
        <f>_xll.BDH(BO4,$A$2,$B$21,$B$21)</f>
        <v>59.097900000000003</v>
      </c>
      <c r="AC24" s="9">
        <f>_xll.BDH(BP4,$A$2,$B$21,$B$21)</f>
        <v>59.908099999999997</v>
      </c>
      <c r="AD24" s="9">
        <f>_xll.BDH(BQ4,$A$2,$B$21,$B$21)</f>
        <v>60.697099999999999</v>
      </c>
      <c r="AE24" s="9">
        <f>_xll.BDH(BR4,$A$2,$B$21,$B$21)</f>
        <v>61.468400000000003</v>
      </c>
      <c r="AF24" s="9">
        <f>_xll.BDH(BS4,$A$2,$B$21,$B$21)</f>
        <v>62.224600000000002</v>
      </c>
      <c r="AG24" s="9">
        <f>_xll.BDH(BT4,$A$2,$B$21,$B$21)</f>
        <v>62.971600000000002</v>
      </c>
      <c r="AH24" s="9">
        <f>_xll.BDH(BU4,$A$2,$B$21,$B$21)</f>
        <v>63.698900000000002</v>
      </c>
      <c r="AI24" s="9">
        <f>_xll.BDH(BV4,$A$2,$B$21,$B$21)</f>
        <v>64.416499999999999</v>
      </c>
      <c r="AJ24" s="9">
        <f>_xll.BDH(BW4,$A$2,$B$21,$B$21)</f>
        <v>65.124200000000002</v>
      </c>
      <c r="AK24" s="9">
        <f>_xll.BDH(BX4,$A$2,$B$21,$B$21)</f>
        <v>65.8142</v>
      </c>
      <c r="AL24" s="9">
        <f>_xll.BDH(BY4,$A$2,$B$21,$B$21)</f>
        <v>66.495800000000003</v>
      </c>
      <c r="AM24" s="9">
        <f>_xll.BDH(BZ4,$A$2,$B$21,$B$21)</f>
        <v>67.168499999999995</v>
      </c>
      <c r="AN24" s="9">
        <f>_xll.BDH(CA4,$A$2,$B$21,$B$21)</f>
        <v>67.830100000000002</v>
      </c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</row>
    <row r="25" spans="1:81" x14ac:dyDescent="0.3">
      <c r="B25" s="38" t="s">
        <v>304</v>
      </c>
      <c r="C25" s="9">
        <f>_xll.BDH(AP5,$A$2,$B$21,$B$21)</f>
        <v>42.489199999999997</v>
      </c>
      <c r="D25" s="9">
        <f>_xll.BDH(AQ5,$A$2,$B$21,$B$21)</f>
        <v>42.489199999999997</v>
      </c>
      <c r="E25" s="9">
        <f>_xll.BDH(AR5,$A$2,$B$21,$B$21)</f>
        <v>42.489199999999997</v>
      </c>
      <c r="F25" s="9">
        <f>_xll.BDH(AS5,$A$2,$B$21,$B$21)</f>
        <v>42.489199999999997</v>
      </c>
      <c r="G25" s="9">
        <f>_xll.BDH(AT5,$A$2,$B$21,$B$21)</f>
        <v>42.489199999999997</v>
      </c>
      <c r="H25" s="9">
        <f>_xll.BDH(AU5,$A$2,$B$21,$B$21)</f>
        <v>48.607900000000001</v>
      </c>
      <c r="I25" s="9">
        <f>_xll.BDH(AV5,$A$2,$B$21,$B$21)</f>
        <v>43.065800000000003</v>
      </c>
      <c r="J25" s="9">
        <f>_xll.BDH(AW5,$A$2,$B$21,$B$21)</f>
        <v>43.9754</v>
      </c>
      <c r="K25" s="9">
        <f>_xll.BDH(AX5,$A$2,$B$21,$B$21)</f>
        <v>44.789099999999998</v>
      </c>
      <c r="L25" s="9">
        <f>_xll.BDH(AY5,$A$2,$B$21,$B$21)</f>
        <v>45.491100000000003</v>
      </c>
      <c r="M25" s="9">
        <f>_xll.BDH(AZ5,$A$2,$B$21,$B$21)</f>
        <v>46.255899999999997</v>
      </c>
      <c r="N25" s="9">
        <f>_xll.BDH(BA5,$A$2,$B$21,$B$21)</f>
        <v>47.237000000000002</v>
      </c>
      <c r="O25" s="9">
        <f>_xll.BDH(BB5,$A$2,$B$21,$B$21)</f>
        <v>48.689399999999999</v>
      </c>
      <c r="P25" s="9">
        <f>_xll.BDH(BC5,$A$2,$B$21,$B$21)</f>
        <v>50.103499999999997</v>
      </c>
      <c r="Q25" s="9">
        <f>_xll.BDH(BD5,$A$2,$B$21,$B$21)</f>
        <v>51.744100000000003</v>
      </c>
      <c r="R25" s="9">
        <f>_xll.BDH(BE5,$A$2,$B$21,$B$21)</f>
        <v>53.474600000000002</v>
      </c>
      <c r="S25" s="9">
        <f>_xll.BDH(BF5,$A$2,$B$21,$B$21)</f>
        <v>55.071399999999997</v>
      </c>
      <c r="T25" s="9">
        <f>_xll.BDH(BG5,$A$2,$B$21,$B$21)</f>
        <v>56.466000000000001</v>
      </c>
      <c r="U25" s="9">
        <f>_xll.BDH(BH5,$A$2,$B$21,$B$21)</f>
        <v>57.6965</v>
      </c>
      <c r="V25" s="9">
        <f>_xll.BDH(BI5,$A$2,$B$21,$B$21)</f>
        <v>58.818300000000001</v>
      </c>
      <c r="W25" s="9">
        <f>_xll.BDH(BJ5,$A$2,$B$21,$B$21)</f>
        <v>59.8718</v>
      </c>
      <c r="X25" s="9">
        <f>_xll.BDH(BK5,$A$2,$B$21,$B$21)</f>
        <v>60.880200000000002</v>
      </c>
      <c r="Y25" s="9">
        <f>_xll.BDH(BL5,$A$2,$B$21,$B$21)</f>
        <v>61.855400000000003</v>
      </c>
      <c r="Z25" s="9">
        <f>_xll.BDH(BM5,$A$2,$B$21,$B$21)</f>
        <v>62.802300000000002</v>
      </c>
      <c r="AA25" s="9">
        <f>_xll.BDH(BN5,$A$2,$B$21,$B$21)</f>
        <v>63.728999999999999</v>
      </c>
      <c r="AB25" s="9">
        <f>_xll.BDH(BO5,$A$2,$B$21,$B$21)</f>
        <v>64.629099999999994</v>
      </c>
      <c r="AC25" s="9">
        <f>_xll.BDH(BP5,$A$2,$B$21,$B$21)</f>
        <v>65.512500000000003</v>
      </c>
      <c r="AD25" s="9">
        <f>_xll.BDH(BQ5,$A$2,$B$21,$B$21)</f>
        <v>66.376099999999994</v>
      </c>
      <c r="AE25" s="9">
        <f>_xll.BDH(BR5,$A$2,$B$21,$B$21)</f>
        <v>67.221100000000007</v>
      </c>
      <c r="AF25" s="9">
        <f>_xll.BDH(BS5,$A$2,$B$21,$B$21)</f>
        <v>68.0505</v>
      </c>
      <c r="AG25" s="9">
        <f>_xll.BDH(BT5,$A$2,$B$21,$B$21)</f>
        <v>68.863900000000001</v>
      </c>
      <c r="AH25" s="9">
        <f>_xll.BDH(BU5,$A$2,$B$21,$B$21)</f>
        <v>69.660899999999998</v>
      </c>
      <c r="AI25" s="9">
        <f>_xll.BDH(BV5,$A$2,$B$21,$B$21)</f>
        <v>70.448300000000003</v>
      </c>
      <c r="AJ25" s="9">
        <f>_xll.BDH(BW5,$A$2,$B$21,$B$21)</f>
        <v>71.215599999999995</v>
      </c>
      <c r="AK25" s="9">
        <f>_xll.BDH(BX5,$A$2,$B$21,$B$21)</f>
        <v>71.974800000000002</v>
      </c>
      <c r="AL25" s="9">
        <f>_xll.BDH(BY5,$A$2,$B$21,$B$21)</f>
        <v>72.721999999999994</v>
      </c>
      <c r="AM25" s="9">
        <f>_xll.BDH(BZ5,$A$2,$B$21,$B$21)</f>
        <v>73.457099999999997</v>
      </c>
      <c r="AN25" s="9">
        <f>_xll.BDH(CA5,$A$2,$B$21,$B$21)</f>
        <v>74.182100000000005</v>
      </c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</row>
    <row r="26" spans="1:81" x14ac:dyDescent="0.3">
      <c r="B26" s="38" t="s">
        <v>305</v>
      </c>
      <c r="C26" s="9">
        <f>_xll.BDH(AP6,$A$2,$B$21,$B$21)</f>
        <v>43.799500000000002</v>
      </c>
      <c r="D26" s="9">
        <f>_xll.BDH(AQ6,$A$2,$B$21,$B$21)</f>
        <v>43.799500000000002</v>
      </c>
      <c r="E26" s="9">
        <f>_xll.BDH(AR6,$A$2,$B$21,$B$21)</f>
        <v>43.799500000000002</v>
      </c>
      <c r="F26" s="9">
        <f>_xll.BDH(AS6,$A$2,$B$21,$B$21)</f>
        <v>43.799500000000002</v>
      </c>
      <c r="G26" s="9">
        <f>_xll.BDH(AT6,$A$2,$B$21,$B$21)</f>
        <v>43.799500000000002</v>
      </c>
      <c r="H26" s="9">
        <f>_xll.BDH(AU6,$A$2,$B$21,$B$21)</f>
        <v>49.949599999999997</v>
      </c>
      <c r="I26" s="9">
        <f>_xll.BDH(AV6,$A$2,$B$21,$B$21)</f>
        <v>44.388500000000001</v>
      </c>
      <c r="J26" s="9">
        <f>_xll.BDH(AW6,$A$2,$B$21,$B$21)</f>
        <v>45.305199999999999</v>
      </c>
      <c r="K26" s="9">
        <f>_xll.BDH(AX6,$A$2,$B$21,$B$21)</f>
        <v>46.137099999999997</v>
      </c>
      <c r="L26" s="9">
        <f>_xll.BDH(AY6,$A$2,$B$21,$B$21)</f>
        <v>46.874600000000001</v>
      </c>
      <c r="M26" s="9">
        <f>_xll.BDH(AZ6,$A$2,$B$21,$B$21)</f>
        <v>47.8384</v>
      </c>
      <c r="N26" s="9">
        <f>_xll.BDH(BA6,$A$2,$B$21,$B$21)</f>
        <v>48.662700000000001</v>
      </c>
      <c r="O26" s="9">
        <f>_xll.BDH(BB6,$A$2,$B$21,$B$21)</f>
        <v>49.9955</v>
      </c>
      <c r="P26" s="9">
        <f>_xll.BDH(BC6,$A$2,$B$21,$B$21)</f>
        <v>51.5</v>
      </c>
      <c r="Q26" s="9">
        <f>_xll.BDH(BD6,$A$2,$B$21,$B$21)</f>
        <v>53.252600000000001</v>
      </c>
      <c r="R26" s="9">
        <f>_xll.BDH(BE6,$A$2,$B$21,$B$21)</f>
        <v>55.029600000000002</v>
      </c>
      <c r="S26" s="9">
        <f>_xll.BDH(BF6,$A$2,$B$21,$B$21)</f>
        <v>56.648200000000003</v>
      </c>
      <c r="T26" s="9">
        <f>_xll.BDH(BG6,$A$2,$B$21,$B$21)</f>
        <v>58.094499999999996</v>
      </c>
      <c r="U26" s="9">
        <f>_xll.BDH(BH6,$A$2,$B$21,$B$21)</f>
        <v>59.414099999999998</v>
      </c>
      <c r="V26" s="9">
        <f>_xll.BDH(BI6,$A$2,$B$21,$B$21)</f>
        <v>60.643500000000003</v>
      </c>
      <c r="W26" s="9">
        <f>_xll.BDH(BJ6,$A$2,$B$21,$B$21)</f>
        <v>61.802999999999997</v>
      </c>
      <c r="X26" s="9">
        <f>_xll.BDH(BK6,$A$2,$B$21,$B$21)</f>
        <v>62.904600000000002</v>
      </c>
      <c r="Y26" s="9">
        <f>_xll.BDH(BL6,$A$2,$B$21,$B$21)</f>
        <v>63.957299999999996</v>
      </c>
      <c r="Z26" s="9">
        <f>_xll.BDH(BM6,$A$2,$B$21,$B$21)</f>
        <v>64.968900000000005</v>
      </c>
      <c r="AA26" s="9">
        <f>_xll.BDH(BN6,$A$2,$B$21,$B$21)</f>
        <v>65.945700000000002</v>
      </c>
      <c r="AB26" s="9">
        <f>_xll.BDH(BO6,$A$2,$B$21,$B$21)</f>
        <v>66.890900000000002</v>
      </c>
      <c r="AC26" s="9">
        <f>_xll.BDH(BP6,$A$2,$B$21,$B$21)</f>
        <v>67.817099999999996</v>
      </c>
      <c r="AD26" s="9">
        <f>_xll.BDH(BQ6,$A$2,$B$21,$B$21)</f>
        <v>68.7166</v>
      </c>
      <c r="AE26" s="9">
        <f>_xll.BDH(BR6,$A$2,$B$21,$B$21)</f>
        <v>69.593999999999994</v>
      </c>
      <c r="AF26" s="9">
        <f>_xll.BDH(BS6,$A$2,$B$21,$B$21)</f>
        <v>70.457099999999997</v>
      </c>
      <c r="AG26" s="9">
        <f>_xll.BDH(BT6,$A$2,$B$21,$B$21)</f>
        <v>71.301699999999997</v>
      </c>
      <c r="AH26" s="9">
        <f>_xll.BDH(BU6,$A$2,$B$21,$B$21)</f>
        <v>72.129599999999996</v>
      </c>
      <c r="AI26" s="9">
        <f>_xll.BDH(BV6,$A$2,$B$21,$B$21)</f>
        <v>72.946200000000005</v>
      </c>
      <c r="AJ26" s="9">
        <f>_xll.BDH(BW6,$A$2,$B$21,$B$21)</f>
        <v>73.746499999999997</v>
      </c>
      <c r="AK26" s="9">
        <f>_xll.BDH(BX6,$A$2,$B$21,$B$21)</f>
        <v>74.532700000000006</v>
      </c>
      <c r="AL26" s="9">
        <f>_xll.BDH(BY6,$A$2,$B$21,$B$21)</f>
        <v>75.306299999999993</v>
      </c>
      <c r="AM26" s="9">
        <f>_xll.BDH(BZ6,$A$2,$B$21,$B$21)</f>
        <v>76.070999999999998</v>
      </c>
      <c r="AN26" s="9">
        <f>_xll.BDH(CA6,$A$2,$B$21,$B$21)</f>
        <v>76.8249</v>
      </c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</row>
    <row r="27" spans="1:81" x14ac:dyDescent="0.3">
      <c r="B27" s="38" t="s">
        <v>306</v>
      </c>
      <c r="C27" s="9">
        <f>_xll.BDH(AP7,$A$2,$B$21,$B$21)</f>
        <v>43.104199999999999</v>
      </c>
      <c r="D27" s="9">
        <f>_xll.BDH(AQ7,$A$2,$B$21,$B$21)</f>
        <v>43.104199999999999</v>
      </c>
      <c r="E27" s="9">
        <f>_xll.BDH(AR7,$A$2,$B$21,$B$21)</f>
        <v>43.104199999999999</v>
      </c>
      <c r="F27" s="9">
        <f>_xll.BDH(AS7,$A$2,$B$21,$B$21)</f>
        <v>43.104199999999999</v>
      </c>
      <c r="G27" s="9">
        <f>_xll.BDH(AT7,$A$2,$B$21,$B$21)</f>
        <v>43.104199999999999</v>
      </c>
      <c r="H27" s="9">
        <f>_xll.BDH(AU7,$A$2,$B$21,$B$21)</f>
        <v>50.2089</v>
      </c>
      <c r="I27" s="9">
        <f>_xll.BDH(AV7,$A$2,$B$21,$B$21)</f>
        <v>43.729700000000001</v>
      </c>
      <c r="J27" s="9">
        <f>_xll.BDH(AW7,$A$2,$B$21,$B$21)</f>
        <v>44.7395</v>
      </c>
      <c r="K27" s="9">
        <f>_xll.BDH(AX7,$A$2,$B$21,$B$21)</f>
        <v>45.6845</v>
      </c>
      <c r="L27" s="9">
        <f>_xll.BDH(AY7,$A$2,$B$21,$B$21)</f>
        <v>46.553600000000003</v>
      </c>
      <c r="M27" s="9">
        <f>_xll.BDH(AZ7,$A$2,$B$21,$B$21)</f>
        <v>47.900199999999998</v>
      </c>
      <c r="N27" s="9">
        <f>_xll.BDH(BA7,$A$2,$B$21,$B$21)</f>
        <v>48.950699999999998</v>
      </c>
      <c r="O27" s="9">
        <f>_xll.BDH(BB7,$A$2,$B$21,$B$21)</f>
        <v>50.289200000000001</v>
      </c>
      <c r="P27" s="9">
        <f>_xll.BDH(BC7,$A$2,$B$21,$B$21)</f>
        <v>51.7697</v>
      </c>
      <c r="Q27" s="9">
        <f>_xll.BDH(BD7,$A$2,$B$21,$B$21)</f>
        <v>53.414000000000001</v>
      </c>
      <c r="R27" s="9">
        <f>_xll.BDH(BE7,$A$2,$B$21,$B$21)</f>
        <v>55.012500000000003</v>
      </c>
      <c r="S27" s="9">
        <f>_xll.BDH(BF7,$A$2,$B$21,$B$21)</f>
        <v>56.4358</v>
      </c>
      <c r="T27" s="9">
        <f>_xll.BDH(BG7,$A$2,$B$21,$B$21)</f>
        <v>57.698099999999997</v>
      </c>
      <c r="U27" s="9">
        <f>_xll.BDH(BH7,$A$2,$B$21,$B$21)</f>
        <v>58.848199999999999</v>
      </c>
      <c r="V27" s="9">
        <f>_xll.BDH(BI7,$A$2,$B$21,$B$21)</f>
        <v>59.921900000000001</v>
      </c>
      <c r="W27" s="9">
        <f>_xll.BDH(BJ7,$A$2,$B$21,$B$21)</f>
        <v>60.940899999999999</v>
      </c>
      <c r="X27" s="9">
        <f>_xll.BDH(BK7,$A$2,$B$21,$B$21)</f>
        <v>61.9191</v>
      </c>
      <c r="Y27" s="9">
        <f>_xll.BDH(BL7,$A$2,$B$21,$B$21)</f>
        <v>62.866500000000002</v>
      </c>
      <c r="Z27" s="9">
        <f>_xll.BDH(BM7,$A$2,$B$21,$B$21)</f>
        <v>63.7898</v>
      </c>
      <c r="AA27" s="9">
        <f>_xll.BDH(BN7,$A$2,$B$21,$B$21)</f>
        <v>64.693299999999994</v>
      </c>
      <c r="AB27" s="9">
        <f>_xll.BDH(BO7,$A$2,$B$21,$B$21)</f>
        <v>65.580100000000002</v>
      </c>
      <c r="AC27" s="9">
        <f>_xll.BDH(BP7,$A$2,$B$21,$B$21)</f>
        <v>66.4499</v>
      </c>
      <c r="AD27" s="9">
        <f>_xll.BDH(BQ7,$A$2,$B$21,$B$21)</f>
        <v>67.311199999999999</v>
      </c>
      <c r="AE27" s="9">
        <f>_xll.BDH(BR7,$A$2,$B$21,$B$21)</f>
        <v>68.153700000000001</v>
      </c>
      <c r="AF27" s="9">
        <f>_xll.BDH(BS7,$A$2,$B$21,$B$21)</f>
        <v>68.983599999999996</v>
      </c>
      <c r="AG27" s="9">
        <f>_xll.BDH(BT7,$A$2,$B$21,$B$21)</f>
        <v>69.805099999999996</v>
      </c>
      <c r="AH27" s="9">
        <f>_xll.BDH(BU7,$A$2,$B$21,$B$21)</f>
        <v>70.606499999999997</v>
      </c>
      <c r="AI27" s="9">
        <f>_xll.BDH(BV7,$A$2,$B$21,$B$21)</f>
        <v>71.402000000000001</v>
      </c>
      <c r="AJ27" s="9">
        <f>_xll.BDH(BW7,$A$2,$B$21,$B$21)</f>
        <v>72.182100000000005</v>
      </c>
      <c r="AK27" s="9">
        <f>_xll.BDH(BX7,$A$2,$B$21,$B$21)</f>
        <v>72.953800000000001</v>
      </c>
      <c r="AL27" s="9">
        <f>_xll.BDH(BY7,$A$2,$B$21,$B$21)</f>
        <v>73.711200000000005</v>
      </c>
      <c r="AM27" s="9">
        <f>_xll.BDH(BZ7,$A$2,$B$21,$B$21)</f>
        <v>74.457800000000006</v>
      </c>
      <c r="AN27" s="9">
        <f>_xll.BDH(CA7,$A$2,$B$21,$B$21)</f>
        <v>75.192999999999998</v>
      </c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</row>
    <row r="28" spans="1:81" x14ac:dyDescent="0.3">
      <c r="B28" s="38" t="s">
        <v>307</v>
      </c>
      <c r="C28" s="9">
        <f>_xll.BDH(AP8,$A$2,$B$21,$B$21)</f>
        <v>42.664400000000001</v>
      </c>
      <c r="D28" s="9">
        <f>_xll.BDH(AQ8,$A$2,$B$21,$B$21)</f>
        <v>42.664400000000001</v>
      </c>
      <c r="E28" s="9">
        <f>_xll.BDH(AR8,$A$2,$B$21,$B$21)</f>
        <v>42.664400000000001</v>
      </c>
      <c r="F28" s="9">
        <f>_xll.BDH(AS8,$A$2,$B$21,$B$21)</f>
        <v>42.664400000000001</v>
      </c>
      <c r="G28" s="9">
        <f>_xll.BDH(AT8,$A$2,$B$21,$B$21)</f>
        <v>42.664400000000001</v>
      </c>
      <c r="H28" s="9">
        <f>_xll.BDH(AU8,$A$2,$B$21,$B$21)</f>
        <v>50.226599999999998</v>
      </c>
      <c r="I28" s="9">
        <f>_xll.BDH(AV8,$A$2,$B$21,$B$21)</f>
        <v>43.299300000000002</v>
      </c>
      <c r="J28" s="9">
        <f>_xll.BDH(AW8,$A$2,$B$21,$B$21)</f>
        <v>44.335000000000001</v>
      </c>
      <c r="K28" s="9">
        <f>_xll.BDH(AX8,$A$2,$B$21,$B$21)</f>
        <v>45.315100000000001</v>
      </c>
      <c r="L28" s="9">
        <f>_xll.BDH(AY8,$A$2,$B$21,$B$21)</f>
        <v>46.232700000000001</v>
      </c>
      <c r="M28" s="9">
        <f>_xll.BDH(AZ8,$A$2,$B$21,$B$21)</f>
        <v>47.763500000000001</v>
      </c>
      <c r="N28" s="9">
        <f>_xll.BDH(BA8,$A$2,$B$21,$B$21)</f>
        <v>48.981200000000001</v>
      </c>
      <c r="O28" s="9">
        <f>_xll.BDH(BB8,$A$2,$B$21,$B$21)</f>
        <v>50.347099999999998</v>
      </c>
      <c r="P28" s="9">
        <f>_xll.BDH(BC8,$A$2,$B$21,$B$21)</f>
        <v>51.806199999999997</v>
      </c>
      <c r="Q28" s="9">
        <f>_xll.BDH(BD8,$A$2,$B$21,$B$21)</f>
        <v>53.363199999999999</v>
      </c>
      <c r="R28" s="9">
        <f>_xll.BDH(BE8,$A$2,$B$21,$B$21)</f>
        <v>54.838799999999999</v>
      </c>
      <c r="S28" s="9">
        <f>_xll.BDH(BF8,$A$2,$B$21,$B$21)</f>
        <v>56.145699999999998</v>
      </c>
      <c r="T28" s="9">
        <f>_xll.BDH(BG8,$A$2,$B$21,$B$21)</f>
        <v>57.3142</v>
      </c>
      <c r="U28" s="9">
        <f>_xll.BDH(BH8,$A$2,$B$21,$B$21)</f>
        <v>58.393500000000003</v>
      </c>
      <c r="V28" s="9">
        <f>_xll.BDH(BI8,$A$2,$B$21,$B$21)</f>
        <v>59.416499999999999</v>
      </c>
      <c r="W28" s="9">
        <f>_xll.BDH(BJ8,$A$2,$B$21,$B$21)</f>
        <v>60.402299999999997</v>
      </c>
      <c r="X28" s="9">
        <f>_xll.BDH(BK8,$A$2,$B$21,$B$21)</f>
        <v>61.361800000000002</v>
      </c>
      <c r="Y28" s="9">
        <f>_xll.BDH(BL8,$A$2,$B$21,$B$21)</f>
        <v>62.301000000000002</v>
      </c>
      <c r="Z28" s="9">
        <f>_xll.BDH(BM8,$A$2,$B$21,$B$21)</f>
        <v>63.222999999999999</v>
      </c>
      <c r="AA28" s="9">
        <f>_xll.BDH(BN8,$A$2,$B$21,$B$21)</f>
        <v>64.129199999999997</v>
      </c>
      <c r="AB28" s="9">
        <f>_xll.BDH(BO8,$A$2,$B$21,$B$21)</f>
        <v>65.020200000000003</v>
      </c>
      <c r="AC28" s="9">
        <f>_xll.BDH(BP8,$A$2,$B$21,$B$21)</f>
        <v>65.896199999999993</v>
      </c>
      <c r="AD28" s="9">
        <f>_xll.BDH(BQ8,$A$2,$B$21,$B$21)</f>
        <v>66.757400000000004</v>
      </c>
      <c r="AE28" s="9">
        <f>_xll.BDH(BR8,$A$2,$B$21,$B$21)</f>
        <v>67.602599999999995</v>
      </c>
      <c r="AF28" s="9">
        <f>_xll.BDH(BS8,$A$2,$B$21,$B$21)</f>
        <v>68.437899999999999</v>
      </c>
      <c r="AG28" s="9">
        <f>_xll.BDH(BT8,$A$2,$B$21,$B$21)</f>
        <v>69.253100000000003</v>
      </c>
      <c r="AH28" s="9">
        <f>_xll.BDH(BU8,$A$2,$B$21,$B$21)</f>
        <v>70.060500000000005</v>
      </c>
      <c r="AI28" s="9">
        <f>_xll.BDH(BV8,$A$2,$B$21,$B$21)</f>
        <v>70.850200000000001</v>
      </c>
      <c r="AJ28" s="9">
        <f>_xll.BDH(BW8,$A$2,$B$21,$B$21)</f>
        <v>71.628600000000006</v>
      </c>
      <c r="AK28" s="9">
        <f>_xll.BDH(BX8,$A$2,$B$21,$B$21)</f>
        <v>72.394800000000004</v>
      </c>
      <c r="AL28" s="9">
        <f>_xll.BDH(BY8,$A$2,$B$21,$B$21)</f>
        <v>73.150000000000006</v>
      </c>
      <c r="AM28" s="9">
        <f>_xll.BDH(BZ8,$A$2,$B$21,$B$21)</f>
        <v>73.893900000000002</v>
      </c>
      <c r="AN28" s="9">
        <f>_xll.BDH(CA8,$A$2,$B$21,$B$21)</f>
        <v>74.626000000000005</v>
      </c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</row>
    <row r="29" spans="1:81" x14ac:dyDescent="0.3">
      <c r="B29" s="38" t="s">
        <v>308</v>
      </c>
      <c r="C29" s="9">
        <f>_xll.BDH(AP9,$A$2,$B$21,$B$21)</f>
        <v>42.501600000000003</v>
      </c>
      <c r="D29" s="9">
        <f>_xll.BDH(AQ9,$A$2,$B$21,$B$21)</f>
        <v>42.501600000000003</v>
      </c>
      <c r="E29" s="9">
        <f>_xll.BDH(AR9,$A$2,$B$21,$B$21)</f>
        <v>42.501600000000003</v>
      </c>
      <c r="F29" s="9">
        <f>_xll.BDH(AS9,$A$2,$B$21,$B$21)</f>
        <v>42.501600000000003</v>
      </c>
      <c r="G29" s="9">
        <f>_xll.BDH(AT9,$A$2,$B$21,$B$21)</f>
        <v>42.501600000000003</v>
      </c>
      <c r="H29" s="9">
        <f>_xll.BDH(AU9,$A$2,$B$21,$B$21)</f>
        <v>50.216500000000003</v>
      </c>
      <c r="I29" s="9">
        <f>_xll.BDH(AV9,$A$2,$B$21,$B$21)</f>
        <v>43.132399999999997</v>
      </c>
      <c r="J29" s="9">
        <f>_xll.BDH(AW9,$A$2,$B$21,$B$21)</f>
        <v>44.159799999999997</v>
      </c>
      <c r="K29" s="9">
        <f>_xll.BDH(AX9,$A$2,$B$21,$B$21)</f>
        <v>45.138500000000001</v>
      </c>
      <c r="L29" s="9">
        <f>_xll.BDH(AY9,$A$2,$B$21,$B$21)</f>
        <v>46.064</v>
      </c>
      <c r="M29" s="9">
        <f>_xll.BDH(AZ9,$A$2,$B$21,$B$21)</f>
        <v>47.668399999999998</v>
      </c>
      <c r="N29" s="9">
        <f>_xll.BDH(BA9,$A$2,$B$21,$B$21)</f>
        <v>48.980499999999999</v>
      </c>
      <c r="O29" s="9">
        <f>_xll.BDH(BB9,$A$2,$B$21,$B$21)</f>
        <v>50.365699999999997</v>
      </c>
      <c r="P29" s="9">
        <f>_xll.BDH(BC9,$A$2,$B$21,$B$21)</f>
        <v>51.809100000000001</v>
      </c>
      <c r="Q29" s="9">
        <f>_xll.BDH(BD9,$A$2,$B$21,$B$21)</f>
        <v>53.307200000000002</v>
      </c>
      <c r="R29" s="9">
        <f>_xll.BDH(BE9,$A$2,$B$21,$B$21)</f>
        <v>54.708599999999997</v>
      </c>
      <c r="S29" s="9">
        <f>_xll.BDH(BF9,$A$2,$B$21,$B$21)</f>
        <v>55.956000000000003</v>
      </c>
      <c r="T29" s="9">
        <f>_xll.BDH(BG9,$A$2,$B$21,$B$21)</f>
        <v>57.087800000000001</v>
      </c>
      <c r="U29" s="9">
        <f>_xll.BDH(BH9,$A$2,$B$21,$B$21)</f>
        <v>58.150100000000002</v>
      </c>
      <c r="V29" s="9">
        <f>_xll.BDH(BI9,$A$2,$B$21,$B$21)</f>
        <v>59.1706</v>
      </c>
      <c r="W29" s="9">
        <f>_xll.BDH(BJ9,$A$2,$B$21,$B$21)</f>
        <v>60.163499999999999</v>
      </c>
      <c r="X29" s="9">
        <f>_xll.BDH(BK9,$A$2,$B$21,$B$21)</f>
        <v>61.135399999999997</v>
      </c>
      <c r="Y29" s="9">
        <f>_xll.BDH(BL9,$A$2,$B$21,$B$21)</f>
        <v>62.088999999999999</v>
      </c>
      <c r="Z29" s="9">
        <f>_xll.BDH(BM9,$A$2,$B$21,$B$21)</f>
        <v>63.024999999999999</v>
      </c>
      <c r="AA29" s="9">
        <f>_xll.BDH(BN9,$A$2,$B$21,$B$21)</f>
        <v>63.9437</v>
      </c>
      <c r="AB29" s="9">
        <f>_xll.BDH(BO9,$A$2,$B$21,$B$21)</f>
        <v>64.844899999999996</v>
      </c>
      <c r="AC29" s="9">
        <f>_xll.BDH(BP9,$A$2,$B$21,$B$21)</f>
        <v>65.728999999999999</v>
      </c>
      <c r="AD29" s="9">
        <f>_xll.BDH(BQ9,$A$2,$B$21,$B$21)</f>
        <v>66.596199999999996</v>
      </c>
      <c r="AE29" s="9">
        <f>_xll.BDH(BR9,$A$2,$B$21,$B$21)</f>
        <v>67.447000000000003</v>
      </c>
      <c r="AF29" s="9">
        <f>_xll.BDH(BS9,$A$2,$B$21,$B$21)</f>
        <v>68.2821</v>
      </c>
      <c r="AG29" s="9">
        <f>_xll.BDH(BT9,$A$2,$B$21,$B$21)</f>
        <v>69.102500000000006</v>
      </c>
      <c r="AH29" s="9">
        <f>_xll.BDH(BU9,$A$2,$B$21,$B$21)</f>
        <v>69.9071</v>
      </c>
      <c r="AI29" s="9">
        <f>_xll.BDH(BV9,$A$2,$B$21,$B$21)</f>
        <v>70.698999999999998</v>
      </c>
      <c r="AJ29" s="9">
        <f>_xll.BDH(BW9,$A$2,$B$21,$B$21)</f>
        <v>71.477500000000006</v>
      </c>
      <c r="AK29" s="9">
        <f>_xll.BDH(BX9,$A$2,$B$21,$B$21)</f>
        <v>72.243499999999997</v>
      </c>
      <c r="AL29" s="9">
        <f>_xll.BDH(BY9,$A$2,$B$21,$B$21)</f>
        <v>72.996300000000005</v>
      </c>
      <c r="AM29" s="9">
        <f>_xll.BDH(BZ9,$A$2,$B$21,$B$21)</f>
        <v>73.738</v>
      </c>
      <c r="AN29" s="9">
        <f>_xll.BDH(CA9,$A$2,$B$21,$B$21)</f>
        <v>74.469399999999993</v>
      </c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</row>
    <row r="30" spans="1:81" x14ac:dyDescent="0.3">
      <c r="B30" s="38" t="s">
        <v>309</v>
      </c>
      <c r="C30" s="9">
        <f>_xll.BDH(AP10,$A$2,$B$21,$B$21)</f>
        <v>42.253300000000003</v>
      </c>
      <c r="D30" s="9">
        <f>_xll.BDH(AQ10,$A$2,$B$21,$B$21)</f>
        <v>42.253300000000003</v>
      </c>
      <c r="E30" s="9">
        <f>_xll.BDH(AR10,$A$2,$B$21,$B$21)</f>
        <v>42.253300000000003</v>
      </c>
      <c r="F30" s="9">
        <f>_xll.BDH(AS10,$A$2,$B$21,$B$21)</f>
        <v>42.253300000000003</v>
      </c>
      <c r="G30" s="9">
        <f>_xll.BDH(AT10,$A$2,$B$21,$B$21)</f>
        <v>42.253300000000003</v>
      </c>
      <c r="H30" s="9">
        <f>_xll.BDH(AU10,$A$2,$B$21,$B$21)</f>
        <v>50.191400000000002</v>
      </c>
      <c r="I30" s="9">
        <f>_xll.BDH(AV10,$A$2,$B$21,$B$21)</f>
        <v>42.956099999999999</v>
      </c>
      <c r="J30" s="9">
        <f>_xll.BDH(AW10,$A$2,$B$21,$B$21)</f>
        <v>44.013199999999998</v>
      </c>
      <c r="K30" s="9">
        <f>_xll.BDH(AX10,$A$2,$B$21,$B$21)</f>
        <v>45.002299999999998</v>
      </c>
      <c r="L30" s="9">
        <f>_xll.BDH(AY10,$A$2,$B$21,$B$21)</f>
        <v>45.936399999999999</v>
      </c>
      <c r="M30" s="9">
        <f>_xll.BDH(AZ10,$A$2,$B$21,$B$21)</f>
        <v>47.585799999999999</v>
      </c>
      <c r="N30" s="9">
        <f>_xll.BDH(BA10,$A$2,$B$21,$B$21)</f>
        <v>48.961199999999998</v>
      </c>
      <c r="O30" s="9">
        <f>_xll.BDH(BB10,$A$2,$B$21,$B$21)</f>
        <v>50.362400000000001</v>
      </c>
      <c r="P30" s="9">
        <f>_xll.BDH(BC10,$A$2,$B$21,$B$21)</f>
        <v>51.795000000000002</v>
      </c>
      <c r="Q30" s="9">
        <f>_xll.BDH(BD10,$A$2,$B$21,$B$21)</f>
        <v>53.252600000000001</v>
      </c>
      <c r="R30" s="9">
        <f>_xll.BDH(BE10,$A$2,$B$21,$B$21)</f>
        <v>54.607999999999997</v>
      </c>
      <c r="S30" s="9">
        <f>_xll.BDH(BF10,$A$2,$B$21,$B$21)</f>
        <v>55.824399999999997</v>
      </c>
      <c r="T30" s="9">
        <f>_xll.BDH(BG10,$A$2,$B$21,$B$21)</f>
        <v>56.943300000000001</v>
      </c>
      <c r="U30" s="9">
        <f>_xll.BDH(BH10,$A$2,$B$21,$B$21)</f>
        <v>58.005600000000001</v>
      </c>
      <c r="V30" s="9">
        <f>_xll.BDH(BI10,$A$2,$B$21,$B$21)</f>
        <v>59.033799999999999</v>
      </c>
      <c r="W30" s="9">
        <f>_xll.BDH(BJ10,$A$2,$B$21,$B$21)</f>
        <v>60.0379</v>
      </c>
      <c r="X30" s="9">
        <f>_xll.BDH(BK10,$A$2,$B$21,$B$21)</f>
        <v>61.021599999999999</v>
      </c>
      <c r="Y30" s="9">
        <f>_xll.BDH(BL10,$A$2,$B$21,$B$21)</f>
        <v>61.985799999999998</v>
      </c>
      <c r="Z30" s="9">
        <f>_xll.BDH(BM10,$A$2,$B$21,$B$21)</f>
        <v>62.930799999999998</v>
      </c>
      <c r="AA30" s="9">
        <f>_xll.BDH(BN10,$A$2,$B$21,$B$21)</f>
        <v>63.856699999999996</v>
      </c>
      <c r="AB30" s="9">
        <f>_xll.BDH(BO10,$A$2,$B$21,$B$21)</f>
        <v>64.7637</v>
      </c>
      <c r="AC30" s="9">
        <f>_xll.BDH(BP10,$A$2,$B$21,$B$21)</f>
        <v>65.652199999999993</v>
      </c>
      <c r="AD30" s="9">
        <f>_xll.BDH(BQ10,$A$2,$B$21,$B$21)</f>
        <v>66.522999999999996</v>
      </c>
      <c r="AE30" s="9">
        <f>_xll.BDH(BR10,$A$2,$B$21,$B$21)</f>
        <v>67.376800000000003</v>
      </c>
      <c r="AF30" s="9">
        <f>_xll.BDH(BS10,$A$2,$B$21,$B$21)</f>
        <v>68.214399999999998</v>
      </c>
      <c r="AG30" s="9">
        <f>_xll.BDH(BT10,$A$2,$B$21,$B$21)</f>
        <v>69.036500000000004</v>
      </c>
      <c r="AH30" s="9">
        <f>_xll.BDH(BU10,$A$2,$B$21,$B$21)</f>
        <v>69.841399999999993</v>
      </c>
      <c r="AI30" s="9">
        <f>_xll.BDH(BV10,$A$2,$B$21,$B$21)</f>
        <v>70.636200000000002</v>
      </c>
      <c r="AJ30" s="9">
        <f>_xll.BDH(BW10,$A$2,$B$21,$B$21)</f>
        <v>71.417299999999997</v>
      </c>
      <c r="AK30" s="9">
        <f>_xll.BDH(BX10,$A$2,$B$21,$B$21)</f>
        <v>72.184700000000007</v>
      </c>
      <c r="AL30" s="9">
        <f>_xll.BDH(BY10,$A$2,$B$21,$B$21)</f>
        <v>72.939499999999995</v>
      </c>
      <c r="AM30" s="9">
        <f>_xll.BDH(BZ10,$A$2,$B$21,$B$21)</f>
        <v>73.682699999999997</v>
      </c>
      <c r="AN30" s="9">
        <f>_xll.BDH(CA10,$A$2,$B$21,$B$21)</f>
        <v>74.417000000000002</v>
      </c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</row>
    <row r="31" spans="1:81" x14ac:dyDescent="0.3">
      <c r="B31" s="38" t="s">
        <v>310</v>
      </c>
      <c r="C31" s="9">
        <f>_xll.BDH(AP11,$A$2,$B$21,$B$21)</f>
        <v>41.914000000000001</v>
      </c>
      <c r="D31" s="9">
        <f>_xll.BDH(AQ11,$A$2,$B$21,$B$21)</f>
        <v>41.914000000000001</v>
      </c>
      <c r="E31" s="9">
        <f>_xll.BDH(AR11,$A$2,$B$21,$B$21)</f>
        <v>41.914000000000001</v>
      </c>
      <c r="F31" s="9">
        <f>_xll.BDH(AS11,$A$2,$B$21,$B$21)</f>
        <v>41.914000000000001</v>
      </c>
      <c r="G31" s="9">
        <f>_xll.BDH(AT11,$A$2,$B$21,$B$21)</f>
        <v>41.914000000000001</v>
      </c>
      <c r="H31" s="9">
        <f>_xll.BDH(AU11,$A$2,$B$21,$B$21)</f>
        <v>50.157800000000002</v>
      </c>
      <c r="I31" s="9">
        <f>_xll.BDH(AV11,$A$2,$B$21,$B$21)</f>
        <v>42.741700000000002</v>
      </c>
      <c r="J31" s="9">
        <f>_xll.BDH(AW11,$A$2,$B$21,$B$21)</f>
        <v>43.859299999999998</v>
      </c>
      <c r="K31" s="9">
        <f>_xll.BDH(AX11,$A$2,$B$21,$B$21)</f>
        <v>44.872</v>
      </c>
      <c r="L31" s="9">
        <f>_xll.BDH(AY11,$A$2,$B$21,$B$21)</f>
        <v>45.820099999999996</v>
      </c>
      <c r="M31" s="9">
        <f>_xll.BDH(AZ11,$A$2,$B$21,$B$21)</f>
        <v>47.506599999999999</v>
      </c>
      <c r="N31" s="9">
        <f>_xll.BDH(BA11,$A$2,$B$21,$B$21)</f>
        <v>48.930300000000003</v>
      </c>
      <c r="O31" s="9">
        <f>_xll.BDH(BB11,$A$2,$B$21,$B$21)</f>
        <v>50.345999999999997</v>
      </c>
      <c r="P31" s="9">
        <f>_xll.BDH(BC11,$A$2,$B$21,$B$21)</f>
        <v>51.771500000000003</v>
      </c>
      <c r="Q31" s="9">
        <f>_xll.BDH(BD11,$A$2,$B$21,$B$21)</f>
        <v>53.200699999999998</v>
      </c>
      <c r="R31" s="9">
        <f>_xll.BDH(BE11,$A$2,$B$21,$B$21)</f>
        <v>54.526600000000002</v>
      </c>
      <c r="S31" s="9">
        <f>_xll.BDH(BF11,$A$2,$B$21,$B$21)</f>
        <v>55.726700000000001</v>
      </c>
      <c r="T31" s="9">
        <f>_xll.BDH(BG11,$A$2,$B$21,$B$21)</f>
        <v>56.842399999999998</v>
      </c>
      <c r="U31" s="9">
        <f>_xll.BDH(BH11,$A$2,$B$21,$B$21)</f>
        <v>57.909799999999997</v>
      </c>
      <c r="V31" s="9">
        <f>_xll.BDH(BI11,$A$2,$B$21,$B$21)</f>
        <v>58.946800000000003</v>
      </c>
      <c r="W31" s="9">
        <f>_xll.BDH(BJ11,$A$2,$B$21,$B$21)</f>
        <v>59.960299999999997</v>
      </c>
      <c r="X31" s="9">
        <f>_xll.BDH(BK11,$A$2,$B$21,$B$21)</f>
        <v>60.952500000000001</v>
      </c>
      <c r="Y31" s="9">
        <f>_xll.BDH(BL11,$A$2,$B$21,$B$21)</f>
        <v>61.923900000000003</v>
      </c>
      <c r="Z31" s="9">
        <f>_xll.BDH(BM11,$A$2,$B$21,$B$21)</f>
        <v>62.874499999999998</v>
      </c>
      <c r="AA31" s="9">
        <f>_xll.BDH(BN11,$A$2,$B$21,$B$21)</f>
        <v>63.804699999999997</v>
      </c>
      <c r="AB31" s="9">
        <f>_xll.BDH(BO11,$A$2,$B$21,$B$21)</f>
        <v>64.715000000000003</v>
      </c>
      <c r="AC31" s="9">
        <f>_xll.BDH(BP11,$A$2,$B$21,$B$21)</f>
        <v>65.606200000000001</v>
      </c>
      <c r="AD31" s="9">
        <f>_xll.BDH(BQ11,$A$2,$B$21,$B$21)</f>
        <v>66.479200000000006</v>
      </c>
      <c r="AE31" s="9">
        <f>_xll.BDH(BR11,$A$2,$B$21,$B$21)</f>
        <v>67.334800000000001</v>
      </c>
      <c r="AF31" s="9">
        <f>_xll.BDH(BS11,$A$2,$B$21,$B$21)</f>
        <v>68.173900000000003</v>
      </c>
      <c r="AG31" s="9">
        <f>_xll.BDH(BT11,$A$2,$B$21,$B$21)</f>
        <v>68.997299999999996</v>
      </c>
      <c r="AH31" s="9">
        <f>_xll.BDH(BU11,$A$2,$B$21,$B$21)</f>
        <v>69.805899999999994</v>
      </c>
      <c r="AI31" s="9">
        <f>_xll.BDH(BV11,$A$2,$B$21,$B$21)</f>
        <v>70.600099999999998</v>
      </c>
      <c r="AJ31" s="9">
        <f>_xll.BDH(BW11,$A$2,$B$21,$B$21)</f>
        <v>71.379800000000003</v>
      </c>
      <c r="AK31" s="9">
        <f>_xll.BDH(BX11,$A$2,$B$21,$B$21)</f>
        <v>72.151499999999999</v>
      </c>
      <c r="AL31" s="9">
        <f>_xll.BDH(BY11,$A$2,$B$21,$B$21)</f>
        <v>72.905199999999994</v>
      </c>
      <c r="AM31" s="9">
        <f>_xll.BDH(BZ11,$A$2,$B$21,$B$21)</f>
        <v>73.650099999999995</v>
      </c>
      <c r="AN31" s="9">
        <f>_xll.BDH(CA11,$A$2,$B$21,$B$21)</f>
        <v>74.382999999999996</v>
      </c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</row>
    <row r="32" spans="1:81" x14ac:dyDescent="0.3">
      <c r="B32" s="38" t="s">
        <v>311</v>
      </c>
      <c r="C32" s="9">
        <f>_xll.BDH(AP12,$A$2,$B$21,$B$21)</f>
        <v>41.545000000000002</v>
      </c>
      <c r="D32" s="9">
        <f>_xll.BDH(AQ12,$A$2,$B$21,$B$21)</f>
        <v>41.545000000000002</v>
      </c>
      <c r="E32" s="9">
        <f>_xll.BDH(AR12,$A$2,$B$21,$B$21)</f>
        <v>41.545000000000002</v>
      </c>
      <c r="F32" s="9">
        <f>_xll.BDH(AS12,$A$2,$B$21,$B$21)</f>
        <v>41.545000000000002</v>
      </c>
      <c r="G32" s="9">
        <f>_xll.BDH(AT12,$A$2,$B$21,$B$21)</f>
        <v>41.545000000000002</v>
      </c>
      <c r="H32" s="9">
        <f>_xll.BDH(AU12,$A$2,$B$21,$B$21)</f>
        <v>50.119100000000003</v>
      </c>
      <c r="I32" s="9">
        <f>_xll.BDH(AV12,$A$2,$B$21,$B$21)</f>
        <v>42.514800000000001</v>
      </c>
      <c r="J32" s="9">
        <f>_xll.BDH(AW12,$A$2,$B$21,$B$21)</f>
        <v>43.7044</v>
      </c>
      <c r="K32" s="9">
        <f>_xll.BDH(AX12,$A$2,$B$21,$B$21)</f>
        <v>44.746499999999997</v>
      </c>
      <c r="L32" s="9">
        <f>_xll.BDH(AY12,$A$2,$B$21,$B$21)</f>
        <v>45.711300000000001</v>
      </c>
      <c r="M32" s="9">
        <f>_xll.BDH(AZ12,$A$2,$B$21,$B$21)</f>
        <v>47.430199999999999</v>
      </c>
      <c r="N32" s="9">
        <f>_xll.BDH(BA12,$A$2,$B$21,$B$21)</f>
        <v>48.892499999999998</v>
      </c>
      <c r="O32" s="9">
        <f>_xll.BDH(BB12,$A$2,$B$21,$B$21)</f>
        <v>50.321199999999997</v>
      </c>
      <c r="P32" s="9">
        <f>_xll.BDH(BC12,$A$2,$B$21,$B$21)</f>
        <v>51.7423</v>
      </c>
      <c r="Q32" s="9">
        <f>_xll.BDH(BD12,$A$2,$B$21,$B$21)</f>
        <v>53.151299999999999</v>
      </c>
      <c r="R32" s="9">
        <f>_xll.BDH(BE12,$A$2,$B$21,$B$21)</f>
        <v>54.457500000000003</v>
      </c>
      <c r="S32" s="9">
        <f>_xll.BDH(BF12,$A$2,$B$21,$B$21)</f>
        <v>55.648800000000001</v>
      </c>
      <c r="T32" s="9">
        <f>_xll.BDH(BG12,$A$2,$B$21,$B$21)</f>
        <v>56.765099999999997</v>
      </c>
      <c r="U32" s="9">
        <f>_xll.BDH(BH12,$A$2,$B$21,$B$21)</f>
        <v>57.838000000000001</v>
      </c>
      <c r="V32" s="9">
        <f>_xll.BDH(BI12,$A$2,$B$21,$B$21)</f>
        <v>58.881999999999998</v>
      </c>
      <c r="W32" s="9">
        <f>_xll.BDH(BJ12,$A$2,$B$21,$B$21)</f>
        <v>59.902099999999997</v>
      </c>
      <c r="X32" s="9">
        <f>_xll.BDH(BK12,$A$2,$B$21,$B$21)</f>
        <v>60.899900000000002</v>
      </c>
      <c r="Y32" s="9">
        <f>_xll.BDH(BL12,$A$2,$B$21,$B$21)</f>
        <v>61.875500000000002</v>
      </c>
      <c r="Z32" s="9">
        <f>_xll.BDH(BM12,$A$2,$B$21,$B$21)</f>
        <v>62.829300000000003</v>
      </c>
      <c r="AA32" s="9">
        <f>_xll.BDH(BN12,$A$2,$B$21,$B$21)</f>
        <v>63.761899999999997</v>
      </c>
      <c r="AB32" s="9">
        <f>_xll.BDH(BO12,$A$2,$B$21,$B$21)</f>
        <v>64.674000000000007</v>
      </c>
      <c r="AC32" s="9">
        <f>_xll.BDH(BP12,$A$2,$B$21,$B$21)</f>
        <v>65.566599999999994</v>
      </c>
      <c r="AD32" s="9">
        <f>_xll.BDH(BQ12,$A$2,$B$21,$B$21)</f>
        <v>66.440700000000007</v>
      </c>
      <c r="AE32" s="9">
        <f>_xll.BDH(BR12,$A$2,$B$21,$B$21)</f>
        <v>67.297200000000004</v>
      </c>
      <c r="AF32" s="9">
        <f>_xll.BDH(BS12,$A$2,$B$21,$B$21)</f>
        <v>68.137</v>
      </c>
      <c r="AG32" s="9">
        <f>_xll.BDH(BT12,$A$2,$B$21,$B$21)</f>
        <v>68.961100000000002</v>
      </c>
      <c r="AH32" s="9">
        <f>_xll.BDH(BU12,$A$2,$B$21,$B$21)</f>
        <v>69.770200000000003</v>
      </c>
      <c r="AI32" s="9">
        <f>_xll.BDH(BV12,$A$2,$B$21,$B$21)</f>
        <v>70.565100000000001</v>
      </c>
      <c r="AJ32" s="9">
        <f>_xll.BDH(BW12,$A$2,$B$21,$B$21)</f>
        <v>71.346599999999995</v>
      </c>
      <c r="AK32" s="9">
        <f>_xll.BDH(BX12,$A$2,$B$21,$B$21)</f>
        <v>72.114199999999997</v>
      </c>
      <c r="AL32" s="9">
        <f>_xll.BDH(BY12,$A$2,$B$21,$B$21)</f>
        <v>72.871300000000005</v>
      </c>
      <c r="AM32" s="9">
        <f>_xll.BDH(BZ12,$A$2,$B$21,$B$21)</f>
        <v>73.616699999999994</v>
      </c>
      <c r="AN32" s="9">
        <f>_xll.BDH(CA12,$A$2,$B$21,$B$21)</f>
        <v>74.349400000000003</v>
      </c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</row>
    <row r="33" spans="2:73" x14ac:dyDescent="0.3">
      <c r="B33" s="38" t="s">
        <v>532</v>
      </c>
      <c r="C33" s="9">
        <f>_xll.BDH(AP13,$A$2,$B$21,$B$21)</f>
        <v>40.703299999999999</v>
      </c>
      <c r="D33" s="9">
        <f>_xll.BDH(AQ13,$A$2,$B$21,$B$21)</f>
        <v>40.703299999999999</v>
      </c>
      <c r="E33" s="9">
        <f>_xll.BDH(AR13,$A$2,$B$21,$B$21)</f>
        <v>40.703299999999999</v>
      </c>
      <c r="F33" s="9">
        <f>_xll.BDH(AS13,$A$2,$B$21,$B$21)</f>
        <v>40.703299999999999</v>
      </c>
      <c r="G33" s="9">
        <f>_xll.BDH(AT13,$A$2,$B$21,$B$21)</f>
        <v>40.703299999999999</v>
      </c>
      <c r="H33" s="9">
        <f>_xll.BDH(AU13,$A$2,$B$21,$B$21)</f>
        <v>49.993600000000001</v>
      </c>
      <c r="I33" s="9">
        <f>_xll.BDH(AV13,$A$2,$B$21,$B$21)</f>
        <v>41.977800000000002</v>
      </c>
      <c r="J33" s="9">
        <f>_xll.BDH(AW13,$A$2,$B$21,$B$21)</f>
        <v>43.332700000000003</v>
      </c>
      <c r="K33" s="9">
        <f>_xll.BDH(AX13,$A$2,$B$21,$B$21)</f>
        <v>44.447400000000002</v>
      </c>
      <c r="L33" s="9">
        <f>_xll.BDH(AY13,$A$2,$B$21,$B$21)</f>
        <v>45.454999999999998</v>
      </c>
      <c r="M33" s="9">
        <f>_xll.BDH(AZ13,$A$2,$B$21,$B$21)</f>
        <v>47.240600000000001</v>
      </c>
      <c r="N33" s="9">
        <f>_xll.BDH(BA13,$A$2,$B$21,$B$21)</f>
        <v>48.769500000000001</v>
      </c>
      <c r="O33" s="9">
        <f>_xll.BDH(BB13,$A$2,$B$21,$B$21)</f>
        <v>50.223700000000001</v>
      </c>
      <c r="P33" s="9">
        <f>_xll.BDH(BC13,$A$2,$B$21,$B$21)</f>
        <v>51.639600000000002</v>
      </c>
      <c r="Q33" s="9">
        <f>_xll.BDH(BD13,$A$2,$B$21,$B$21)</f>
        <v>53.018599999999999</v>
      </c>
      <c r="R33" s="9">
        <f>_xll.BDH(BE13,$A$2,$B$21,$B$21)</f>
        <v>54.296500000000002</v>
      </c>
      <c r="S33" s="9">
        <f>_xll.BDH(BF13,$A$2,$B$21,$B$21)</f>
        <v>55.4741</v>
      </c>
      <c r="T33" s="9">
        <f>_xll.BDH(BG13,$A$2,$B$21,$B$21)</f>
        <v>56.588099999999997</v>
      </c>
      <c r="U33" s="9">
        <f>_xll.BDH(BH13,$A$2,$B$21,$B$21)</f>
        <v>57.6633</v>
      </c>
      <c r="V33" s="9">
        <f>_xll.BDH(BI13,$A$2,$B$21,$B$21)</f>
        <v>58.710099999999997</v>
      </c>
      <c r="W33" s="9">
        <f>_xll.BDH(BJ13,$A$2,$B$21,$B$21)</f>
        <v>59.7318</v>
      </c>
      <c r="X33" s="9">
        <f>_xll.BDH(BK13,$A$2,$B$21,$B$21)</f>
        <v>60.729399999999998</v>
      </c>
      <c r="Y33" s="9">
        <f>_xll.BDH(BL13,$A$2,$B$21,$B$21)</f>
        <v>61.703400000000002</v>
      </c>
      <c r="Z33" s="9">
        <f>_xll.BDH(BM13,$A$2,$B$21,$B$21)</f>
        <v>62.654600000000002</v>
      </c>
      <c r="AA33" s="9">
        <f>_xll.BDH(BN13,$A$2,$B$21,$B$21)</f>
        <v>63.5839</v>
      </c>
      <c r="AB33" s="9">
        <f>_xll.BDH(BO13,$A$2,$B$21,$B$21)</f>
        <v>64.492599999999996</v>
      </c>
      <c r="AC33" s="9">
        <f>_xll.BDH(BP13,$A$2,$B$21,$B$21)</f>
        <v>65.381699999999995</v>
      </c>
      <c r="AD33" s="9">
        <f>_xll.BDH(BQ13,$A$2,$B$21,$B$21)</f>
        <v>66.252300000000005</v>
      </c>
      <c r="AE33" s="9">
        <f>_xll.BDH(BR13,$A$2,$B$21,$B$21)</f>
        <v>67.105599999999995</v>
      </c>
      <c r="AF33" s="9">
        <f>_xll.BDH(BS13,$A$2,$B$21,$B$21)</f>
        <v>67.942300000000003</v>
      </c>
      <c r="AG33" s="9">
        <f>_xll.BDH(BT13,$A$2,$B$21,$B$21)</f>
        <v>68.763599999999997</v>
      </c>
      <c r="AH33" s="9">
        <f>_xll.BDH(BU13,$A$2,$B$21,$B$21)</f>
        <v>69.570099999999996</v>
      </c>
      <c r="AI33" s="9">
        <f>_xll.BDH(BV13,$A$2,$B$21,$B$21)</f>
        <v>70.362700000000004</v>
      </c>
      <c r="AJ33" s="9">
        <f>_xll.BDH(BW13,$A$2,$B$21,$B$21)</f>
        <v>71.141999999999996</v>
      </c>
      <c r="AK33" s="9">
        <f>_xll.BDH(BX13,$A$2,$B$21,$B$21)</f>
        <v>71.908699999999996</v>
      </c>
      <c r="AL33" s="9">
        <f>_xll.BDH(BY13,$A$2,$B$21,$B$21)</f>
        <v>72.663300000000007</v>
      </c>
      <c r="AM33" s="9">
        <f>_xll.BDH(BZ13,$A$2,$B$21,$B$21)</f>
        <v>73.406499999999994</v>
      </c>
      <c r="AN33" s="9">
        <f>_xll.BDH(CA13,$A$2,$B$21,$B$21)</f>
        <v>74.1387</v>
      </c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</row>
    <row r="34" spans="2:73" x14ac:dyDescent="0.3">
      <c r="B34" s="38" t="s">
        <v>312</v>
      </c>
      <c r="C34" s="9">
        <f>_xll.BDH(AP14,$A$2,$B$21,$B$21)</f>
        <v>36.735700000000001</v>
      </c>
      <c r="D34" s="9">
        <f>_xll.BDH(AQ14,$A$2,$B$21,$B$21)</f>
        <v>36.735700000000001</v>
      </c>
      <c r="E34" s="9">
        <f>_xll.BDH(AR14,$A$2,$B$21,$B$21)</f>
        <v>36.735700000000001</v>
      </c>
      <c r="F34" s="9">
        <f>_xll.BDH(AS14,$A$2,$B$21,$B$21)</f>
        <v>36.735700000000001</v>
      </c>
      <c r="G34" s="9">
        <f>_xll.BDH(AT14,$A$2,$B$21,$B$21)</f>
        <v>36.735700000000001</v>
      </c>
      <c r="H34" s="9">
        <f>_xll.BDH(AU14,$A$2,$B$21,$B$21)</f>
        <v>48.548099999999998</v>
      </c>
      <c r="I34" s="9">
        <f>_xll.BDH(AV14,$A$2,$B$21,$B$21)</f>
        <v>38.731699999999996</v>
      </c>
      <c r="J34" s="9">
        <f>_xll.BDH(AW14,$A$2,$B$21,$B$21)</f>
        <v>40.6554</v>
      </c>
      <c r="K34" s="9">
        <f>_xll.BDH(AX14,$A$2,$B$21,$B$21)</f>
        <v>42.127499999999998</v>
      </c>
      <c r="L34" s="9">
        <f>_xll.BDH(AY14,$A$2,$B$21,$B$21)</f>
        <v>43.403300000000002</v>
      </c>
      <c r="M34" s="9">
        <f>_xll.BDH(AZ14,$A$2,$B$21,$B$21)</f>
        <v>45.597999999999999</v>
      </c>
      <c r="N34" s="9">
        <f>_xll.BDH(BA14,$A$2,$B$21,$B$21)</f>
        <v>47.430999999999997</v>
      </c>
      <c r="O34" s="9">
        <f>_xll.BDH(BB14,$A$2,$B$21,$B$21)</f>
        <v>49.031999999999996</v>
      </c>
      <c r="P34" s="9">
        <f>_xll.BDH(BC14,$A$2,$B$21,$B$21)</f>
        <v>50.461399999999998</v>
      </c>
      <c r="Q34" s="9">
        <f>_xll.BDH(BD14,$A$2,$B$21,$B$21)</f>
        <v>51.764899999999997</v>
      </c>
      <c r="R34" s="9">
        <f>_xll.BDH(BE14,$A$2,$B$21,$B$21)</f>
        <v>52.936300000000003</v>
      </c>
      <c r="S34" s="9">
        <f>_xll.BDH(BF14,$A$2,$B$21,$B$21)</f>
        <v>54.003500000000003</v>
      </c>
      <c r="T34" s="9">
        <f>_xll.BDH(BG14,$A$2,$B$21,$B$21)</f>
        <v>55.006900000000002</v>
      </c>
      <c r="U34" s="9">
        <f>_xll.BDH(BH14,$A$2,$B$21,$B$21)</f>
        <v>55.969900000000003</v>
      </c>
      <c r="V34" s="9">
        <f>_xll.BDH(BI14,$A$2,$B$21,$B$21)</f>
        <v>56.902299999999997</v>
      </c>
      <c r="W34" s="9">
        <f>_xll.BDH(BJ14,$A$2,$B$21,$B$21)</f>
        <v>57.807400000000001</v>
      </c>
      <c r="X34" s="9">
        <f>_xll.BDH(BK14,$A$2,$B$21,$B$21)</f>
        <v>58.686900000000001</v>
      </c>
      <c r="Y34" s="9">
        <f>_xll.BDH(BL14,$A$2,$B$21,$B$21)</f>
        <v>59.541899999999998</v>
      </c>
      <c r="Z34" s="9">
        <f>_xll.BDH(BM14,$A$2,$B$21,$B$21)</f>
        <v>60.374000000000002</v>
      </c>
      <c r="AA34" s="9">
        <f>_xll.BDH(BN14,$A$2,$B$21,$B$21)</f>
        <v>61.184600000000003</v>
      </c>
      <c r="AB34" s="9">
        <f>_xll.BDH(BO14,$A$2,$B$21,$B$21)</f>
        <v>61.9754</v>
      </c>
      <c r="AC34" s="9">
        <f>_xll.BDH(BP14,$A$2,$B$21,$B$21)</f>
        <v>62.747799999999998</v>
      </c>
      <c r="AD34" s="9">
        <f>_xll.BDH(BQ14,$A$2,$B$21,$B$21)</f>
        <v>63.503500000000003</v>
      </c>
      <c r="AE34" s="9">
        <f>_xll.BDH(BR14,$A$2,$B$21,$B$21)</f>
        <v>64.243799999999993</v>
      </c>
      <c r="AF34" s="9">
        <f>_xll.BDH(BS14,$A$2,$B$21,$B$21)</f>
        <v>64.97</v>
      </c>
      <c r="AG34" s="9">
        <f>_xll.BDH(BT14,$A$2,$B$21,$B$21)</f>
        <v>65.683199999999999</v>
      </c>
      <c r="AH34" s="9">
        <f>_xll.BDH(BU14,$A$2,$B$21,$B$21)</f>
        <v>66.384600000000006</v>
      </c>
      <c r="AI34" s="9">
        <f>_xll.BDH(BV14,$A$2,$B$21,$B$21)</f>
        <v>67.075100000000006</v>
      </c>
      <c r="AJ34" s="9">
        <f>_xll.BDH(BW14,$A$2,$B$21,$B$21)</f>
        <v>67.755799999999994</v>
      </c>
      <c r="AK34" s="9">
        <f>_xll.BDH(BX14,$A$2,$B$21,$B$21)</f>
        <v>68.427300000000002</v>
      </c>
      <c r="AL34" s="9">
        <f>_xll.BDH(BY14,$A$2,$B$21,$B$21)</f>
        <v>69.090400000000002</v>
      </c>
      <c r="AM34" s="9">
        <f>_xll.BDH(BZ14,$A$2,$B$21,$B$21)</f>
        <v>69.745800000000003</v>
      </c>
      <c r="AN34" s="9">
        <f>_xll.BDH(CA14,$A$2,$B$21,$B$21)</f>
        <v>70.394099999999995</v>
      </c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</row>
    <row r="35" spans="2:73" x14ac:dyDescent="0.3">
      <c r="B35" s="38" t="s">
        <v>313</v>
      </c>
      <c r="C35" s="9">
        <f>_xll.BDH(AP15,$A$2,$B$21,$B$21)</f>
        <v>29.6983</v>
      </c>
      <c r="D35" s="9">
        <f>_xll.BDH(AQ15,$A$2,$B$21,$B$21)</f>
        <v>29.6983</v>
      </c>
      <c r="E35" s="9">
        <f>_xll.BDH(AR15,$A$2,$B$21,$B$21)</f>
        <v>29.6983</v>
      </c>
      <c r="F35" s="9">
        <f>_xll.BDH(AS15,$A$2,$B$21,$B$21)</f>
        <v>29.6983</v>
      </c>
      <c r="G35" s="9">
        <f>_xll.BDH(AT15,$A$2,$B$21,$B$21)</f>
        <v>29.6983</v>
      </c>
      <c r="H35" s="9">
        <f>_xll.BDH(AU15,$A$2,$B$21,$B$21)</f>
        <v>45.096600000000002</v>
      </c>
      <c r="I35" s="9">
        <f>_xll.BDH(AV15,$A$2,$B$21,$B$21)</f>
        <v>32.626199999999997</v>
      </c>
      <c r="J35" s="9">
        <f>_xll.BDH(AW15,$A$2,$B$21,$B$21)</f>
        <v>35.355499999999999</v>
      </c>
      <c r="K35" s="9">
        <f>_xll.BDH(AX15,$A$2,$B$21,$B$21)</f>
        <v>37.378999999999998</v>
      </c>
      <c r="L35" s="9">
        <f>_xll.BDH(AY15,$A$2,$B$21,$B$21)</f>
        <v>39.101399999999998</v>
      </c>
      <c r="M35" s="9">
        <f>_xll.BDH(AZ15,$A$2,$B$21,$B$21)</f>
        <v>42.023600000000002</v>
      </c>
      <c r="N35" s="9">
        <f>_xll.BDH(BA15,$A$2,$B$21,$B$21)</f>
        <v>44.426299999999998</v>
      </c>
      <c r="O35" s="9">
        <f>_xll.BDH(BB15,$A$2,$B$21,$B$21)</f>
        <v>46.360799999999998</v>
      </c>
      <c r="P35" s="9">
        <f>_xll.BDH(BC15,$A$2,$B$21,$B$21)</f>
        <v>47.899799999999999</v>
      </c>
      <c r="Q35" s="9">
        <f>_xll.BDH(BD15,$A$2,$B$21,$B$21)</f>
        <v>49.165100000000002</v>
      </c>
      <c r="R35" s="9">
        <f>_xll.BDH(BE15,$A$2,$B$21,$B$21)</f>
        <v>50.238199999999999</v>
      </c>
      <c r="S35" s="9">
        <f>_xll.BDH(BF15,$A$2,$B$21,$B$21)</f>
        <v>51.186500000000002</v>
      </c>
      <c r="T35" s="9">
        <f>_xll.BDH(BG15,$A$2,$B$21,$B$21)</f>
        <v>52.058900000000001</v>
      </c>
      <c r="U35" s="9">
        <f>_xll.BDH(BH15,$A$2,$B$21,$B$21)</f>
        <v>52.880499999999998</v>
      </c>
      <c r="V35" s="9">
        <f>_xll.BDH(BI15,$A$2,$B$21,$B$21)</f>
        <v>53.661900000000003</v>
      </c>
      <c r="W35" s="9">
        <f>_xll.BDH(BJ15,$A$2,$B$21,$B$21)</f>
        <v>54.407800000000002</v>
      </c>
      <c r="X35" s="9">
        <f>_xll.BDH(BK15,$A$2,$B$21,$B$21)</f>
        <v>55.121699999999997</v>
      </c>
      <c r="Y35" s="9">
        <f>_xll.BDH(BL15,$A$2,$B$21,$B$21)</f>
        <v>55.806699999999999</v>
      </c>
      <c r="Z35" s="9">
        <f>_xll.BDH(BM15,$A$2,$B$21,$B$21)</f>
        <v>56.466299999999997</v>
      </c>
      <c r="AA35" s="9">
        <f>_xll.BDH(BN15,$A$2,$B$21,$B$21)</f>
        <v>57.103999999999999</v>
      </c>
      <c r="AB35" s="9">
        <f>_xll.BDH(BO15,$A$2,$B$21,$B$21)</f>
        <v>57.723100000000002</v>
      </c>
      <c r="AC35" s="9">
        <f>_xll.BDH(BP15,$A$2,$B$21,$B$21)</f>
        <v>58.327100000000002</v>
      </c>
      <c r="AD35" s="9">
        <f>_xll.BDH(BQ15,$A$2,$B$21,$B$21)</f>
        <v>58.918799999999997</v>
      </c>
      <c r="AE35" s="9">
        <f>_xll.BDH(BR15,$A$2,$B$21,$B$21)</f>
        <v>59.500999999999998</v>
      </c>
      <c r="AF35" s="9">
        <f>_xll.BDH(BS15,$A$2,$B$21,$B$21)</f>
        <v>60.076000000000001</v>
      </c>
      <c r="AG35" s="9">
        <f>_xll.BDH(BT15,$A$2,$B$21,$B$21)</f>
        <v>60.645800000000001</v>
      </c>
      <c r="AH35" s="9">
        <f>_xll.BDH(BU15,$A$2,$B$21,$B$21)</f>
        <v>61.211799999999997</v>
      </c>
      <c r="AI35" s="9">
        <f>_xll.BDH(BV15,$A$2,$B$21,$B$21)</f>
        <v>61.775599999999997</v>
      </c>
      <c r="AJ35" s="9">
        <f>_xll.BDH(BW15,$A$2,$B$21,$B$21)</f>
        <v>62.337899999999998</v>
      </c>
      <c r="AK35" s="9">
        <f>_xll.BDH(BX15,$A$2,$B$21,$B$21)</f>
        <v>62.8996</v>
      </c>
      <c r="AL35" s="9">
        <f>_xll.BDH(BY15,$A$2,$B$21,$B$21)</f>
        <v>63.461100000000002</v>
      </c>
      <c r="AM35" s="9">
        <f>_xll.BDH(BZ15,$A$2,$B$21,$B$21)</f>
        <v>64.022800000000004</v>
      </c>
      <c r="AN35" s="9">
        <f>_xll.BDH(CA15,$A$2,$B$21,$B$21)</f>
        <v>64.584800000000001</v>
      </c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</row>
    <row r="36" spans="2:73" x14ac:dyDescent="0.3">
      <c r="B36" s="38" t="s">
        <v>533</v>
      </c>
      <c r="C36" s="9">
        <f>_xll.BDH(AP16,$A$2,$B$21,$B$21)</f>
        <v>27.2806</v>
      </c>
      <c r="D36" s="9">
        <f>_xll.BDH(AQ16,$A$2,$B$21,$B$21)</f>
        <v>27.2806</v>
      </c>
      <c r="E36" s="9">
        <f>_xll.BDH(AR16,$A$2,$B$21,$B$21)</f>
        <v>27.2806</v>
      </c>
      <c r="F36" s="9">
        <f>_xll.BDH(AS16,$A$2,$B$21,$B$21)</f>
        <v>27.2806</v>
      </c>
      <c r="G36" s="9">
        <f>_xll.BDH(AT16,$A$2,$B$21,$B$21)</f>
        <v>27.2806</v>
      </c>
      <c r="H36" s="9">
        <f>_xll.BDH(AU16,$A$2,$B$21,$B$21)</f>
        <v>42.931600000000003</v>
      </c>
      <c r="I36" s="9">
        <f>_xll.BDH(AV16,$A$2,$B$21,$B$21)</f>
        <v>30.494599999999998</v>
      </c>
      <c r="J36" s="9">
        <f>_xll.BDH(AW16,$A$2,$B$21,$B$21)</f>
        <v>33.378500000000003</v>
      </c>
      <c r="K36" s="9">
        <f>_xll.BDH(AX16,$A$2,$B$21,$B$21)</f>
        <v>35.459800000000001</v>
      </c>
      <c r="L36" s="9">
        <f>_xll.BDH(AY16,$A$2,$B$21,$B$21)</f>
        <v>37.217799999999997</v>
      </c>
      <c r="M36" s="9">
        <f>_xll.BDH(AZ16,$A$2,$B$21,$B$21)</f>
        <v>40.212800000000001</v>
      </c>
      <c r="N36" s="9">
        <f>_xll.BDH(BA16,$A$2,$B$21,$B$21)</f>
        <v>42.708100000000002</v>
      </c>
      <c r="O36" s="9">
        <f>_xll.BDH(BB16,$A$2,$B$21,$B$21)</f>
        <v>44.7042</v>
      </c>
      <c r="P36" s="9">
        <f>_xll.BDH(BC16,$A$2,$B$21,$B$21)</f>
        <v>46.237400000000001</v>
      </c>
      <c r="Q36" s="9">
        <f>_xll.BDH(BD16,$A$2,$B$21,$B$21)</f>
        <v>47.440399999999997</v>
      </c>
      <c r="R36" s="9">
        <f>_xll.BDH(BE16,$A$2,$B$21,$B$21)</f>
        <v>48.428800000000003</v>
      </c>
      <c r="S36" s="9">
        <f>_xll.BDH(BF16,$A$2,$B$21,$B$21)</f>
        <v>49.286099999999998</v>
      </c>
      <c r="T36" s="9">
        <f>_xll.BDH(BG16,$A$2,$B$21,$B$21)</f>
        <v>50.064900000000002</v>
      </c>
      <c r="U36" s="9">
        <f>_xll.BDH(BH16,$A$2,$B$21,$B$21)</f>
        <v>50.792700000000004</v>
      </c>
      <c r="V36" s="9">
        <f>_xll.BDH(BI16,$A$2,$B$21,$B$21)</f>
        <v>51.483699999999999</v>
      </c>
      <c r="W36" s="9">
        <f>_xll.BDH(BJ16,$A$2,$B$21,$B$21)</f>
        <v>52.147399999999998</v>
      </c>
      <c r="X36" s="9">
        <f>_xll.BDH(BK16,$A$2,$B$21,$B$21)</f>
        <v>52.791600000000003</v>
      </c>
      <c r="Y36" s="9">
        <f>_xll.BDH(BL16,$A$2,$B$21,$B$21)</f>
        <v>53.423999999999999</v>
      </c>
      <c r="Z36" s="9">
        <f>_xll.BDH(BM16,$A$2,$B$21,$B$21)</f>
        <v>54.050899999999999</v>
      </c>
      <c r="AA36" s="9">
        <f>_xll.BDH(BN16,$A$2,$B$21,$B$21)</f>
        <v>54.677700000000002</v>
      </c>
      <c r="AB36" s="9">
        <f>_xll.BDH(BO16,$A$2,$B$21,$B$21)</f>
        <v>55.308599999999998</v>
      </c>
      <c r="AC36" s="9">
        <f>_xll.BDH(BP16,$A$2,$B$21,$B$21)</f>
        <v>55.946100000000001</v>
      </c>
      <c r="AD36" s="9">
        <f>_xll.BDH(BQ16,$A$2,$B$21,$B$21)</f>
        <v>56.591500000000003</v>
      </c>
      <c r="AE36" s="9">
        <f>_xll.BDH(BR16,$A$2,$B$21,$B$21)</f>
        <v>57.244999999999997</v>
      </c>
      <c r="AF36" s="9">
        <f>_xll.BDH(BS16,$A$2,$B$21,$B$21)</f>
        <v>57.905999999999999</v>
      </c>
      <c r="AG36" s="9">
        <f>_xll.BDH(BT16,$A$2,$B$21,$B$21)</f>
        <v>58.573399999999999</v>
      </c>
      <c r="AH36" s="9">
        <f>_xll.BDH(BU16,$A$2,$B$21,$B$21)</f>
        <v>59.245699999999999</v>
      </c>
      <c r="AI36" s="9">
        <f>_xll.BDH(BV16,$A$2,$B$21,$B$21)</f>
        <v>59.921199999999999</v>
      </c>
      <c r="AJ36" s="9">
        <f>_xll.BDH(BW16,$A$2,$B$21,$B$21)</f>
        <v>60.598300000000002</v>
      </c>
      <c r="AK36" s="9">
        <f>_xll.BDH(BX16,$A$2,$B$21,$B$21)</f>
        <v>61.275300000000001</v>
      </c>
      <c r="AL36" s="9">
        <f>_xll.BDH(BY16,$A$2,$B$21,$B$21)</f>
        <v>61.951000000000001</v>
      </c>
      <c r="AM36" s="9">
        <f>_xll.BDH(BZ16,$A$2,$B$21,$B$21)</f>
        <v>62.624000000000002</v>
      </c>
      <c r="AN36" s="9">
        <f>_xll.BDH(CA16,$A$2,$B$21,$B$21)</f>
        <v>63.293199999999999</v>
      </c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</row>
    <row r="37" spans="2:73" x14ac:dyDescent="0.3">
      <c r="B37" s="38" t="s">
        <v>534</v>
      </c>
      <c r="C37" s="9">
        <f>_xll.BDH(AP17,$A$2,$B$21,$B$21)</f>
        <v>25.807700000000001</v>
      </c>
      <c r="D37" s="9">
        <f>_xll.BDH(AQ17,$A$2,$B$21,$B$21)</f>
        <v>25.807700000000001</v>
      </c>
      <c r="E37" s="9">
        <f>_xll.BDH(AR17,$A$2,$B$21,$B$21)</f>
        <v>25.807700000000001</v>
      </c>
      <c r="F37" s="9">
        <f>_xll.BDH(AS17,$A$2,$B$21,$B$21)</f>
        <v>25.807700000000001</v>
      </c>
      <c r="G37" s="9">
        <f>_xll.BDH(AT17,$A$2,$B$21,$B$21)</f>
        <v>25.807700000000001</v>
      </c>
      <c r="H37" s="9">
        <f>_xll.BDH(AU17,$A$2,$B$21,$B$21)</f>
        <v>41.473199999999999</v>
      </c>
      <c r="I37" s="9">
        <f>_xll.BDH(AV17,$A$2,$B$21,$B$21)</f>
        <v>29.2408</v>
      </c>
      <c r="J37" s="9">
        <f>_xll.BDH(AW17,$A$2,$B$21,$B$21)</f>
        <v>32.241100000000003</v>
      </c>
      <c r="K37" s="9">
        <f>_xll.BDH(AX17,$A$2,$B$21,$B$21)</f>
        <v>34.350299999999997</v>
      </c>
      <c r="L37" s="9">
        <f>_xll.BDH(AY17,$A$2,$B$21,$B$21)</f>
        <v>36.108499999999999</v>
      </c>
      <c r="M37" s="9">
        <f>_xll.BDH(AZ17,$A$2,$B$21,$B$21)</f>
        <v>39.087600000000002</v>
      </c>
      <c r="N37" s="9">
        <f>_xll.BDH(BA17,$A$2,$B$21,$B$21)</f>
        <v>41.578800000000001</v>
      </c>
      <c r="O37" s="9">
        <f>_xll.BDH(BB17,$A$2,$B$21,$B$21)</f>
        <v>43.572899999999997</v>
      </c>
      <c r="P37" s="9">
        <f>_xll.BDH(BC17,$A$2,$B$21,$B$21)</f>
        <v>45.084899999999998</v>
      </c>
      <c r="Q37" s="9">
        <f>_xll.BDH(BD17,$A$2,$B$21,$B$21)</f>
        <v>46.248600000000003</v>
      </c>
      <c r="R37" s="9">
        <f>_xll.BDH(BE17,$A$2,$B$21,$B$21)</f>
        <v>47.196199999999997</v>
      </c>
      <c r="S37" s="9">
        <f>_xll.BDH(BF17,$A$2,$B$21,$B$21)</f>
        <v>48.019599999999997</v>
      </c>
      <c r="T37" s="9">
        <f>_xll.BDH(BG17,$A$2,$B$21,$B$21)</f>
        <v>48.7742</v>
      </c>
      <c r="U37" s="9">
        <f>_xll.BDH(BH17,$A$2,$B$21,$B$21)</f>
        <v>49.489899999999999</v>
      </c>
      <c r="V37" s="9">
        <f>_xll.BDH(BI17,$A$2,$B$21,$B$21)</f>
        <v>50.183999999999997</v>
      </c>
      <c r="W37" s="9">
        <f>_xll.BDH(BJ17,$A$2,$B$21,$B$21)</f>
        <v>50.868299999999998</v>
      </c>
      <c r="X37" s="9">
        <f>_xll.BDH(BK17,$A$2,$B$21,$B$21)</f>
        <v>51.551699999999997</v>
      </c>
      <c r="Y37" s="9">
        <f>_xll.BDH(BL17,$A$2,$B$21,$B$21)</f>
        <v>52.240699999999997</v>
      </c>
      <c r="Z37" s="9">
        <f>_xll.BDH(BM17,$A$2,$B$21,$B$21)</f>
        <v>52.939100000000003</v>
      </c>
      <c r="AA37" s="9">
        <f>_xll.BDH(BN17,$A$2,$B$21,$B$21)</f>
        <v>53.648600000000002</v>
      </c>
      <c r="AB37" s="9">
        <f>_xll.BDH(BO17,$A$2,$B$21,$B$21)</f>
        <v>54.368899999999996</v>
      </c>
      <c r="AC37" s="9">
        <f>_xll.BDH(BP17,$A$2,$B$21,$B$21)</f>
        <v>55.098199999999999</v>
      </c>
      <c r="AD37" s="9">
        <f>_xll.BDH(BQ17,$A$2,$B$21,$B$21)</f>
        <v>55.834200000000003</v>
      </c>
      <c r="AE37" s="9">
        <f>_xll.BDH(BR17,$A$2,$B$21,$B$21)</f>
        <v>56.574300000000001</v>
      </c>
      <c r="AF37" s="9">
        <f>_xll.BDH(BS17,$A$2,$B$21,$B$21)</f>
        <v>57.315600000000003</v>
      </c>
      <c r="AG37" s="9">
        <f>_xll.BDH(BT17,$A$2,$B$21,$B$21)</f>
        <v>58.055799999999998</v>
      </c>
      <c r="AH37" s="9">
        <f>_xll.BDH(BU17,$A$2,$B$21,$B$21)</f>
        <v>58.792700000000004</v>
      </c>
      <c r="AI37" s="9">
        <f>_xll.BDH(BV17,$A$2,$B$21,$B$21)</f>
        <v>59.524700000000003</v>
      </c>
      <c r="AJ37" s="9">
        <f>_xll.BDH(BW17,$A$2,$B$21,$B$21)</f>
        <v>60.250399999999999</v>
      </c>
      <c r="AK37" s="9">
        <f>_xll.BDH(BX17,$A$2,$B$21,$B$21)</f>
        <v>60.968699999999998</v>
      </c>
      <c r="AL37" s="9">
        <f>_xll.BDH(BY17,$A$2,$B$21,$B$21)</f>
        <v>61.679099999999998</v>
      </c>
      <c r="AM37" s="9">
        <f>_xll.BDH(BZ17,$A$2,$B$21,$B$21)</f>
        <v>62.381</v>
      </c>
      <c r="AN37" s="9">
        <f>_xll.BDH(CA17,$A$2,$B$21,$B$21)</f>
        <v>63.074199999999998</v>
      </c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79998168889431442"/>
  </sheetPr>
  <dimension ref="A1"/>
  <sheetViews>
    <sheetView tabSelected="1" topLeftCell="A4" workbookViewId="0">
      <selection activeCell="Q12" sqref="Q12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79998168889431442"/>
  </sheetPr>
  <dimension ref="A1:T63"/>
  <sheetViews>
    <sheetView zoomScale="55" zoomScaleNormal="55" workbookViewId="0">
      <selection activeCell="H56" sqref="H56"/>
    </sheetView>
  </sheetViews>
  <sheetFormatPr defaultRowHeight="16.5" x14ac:dyDescent="0.3"/>
  <cols>
    <col min="1" max="1" width="11.125" bestFit="1" customWidth="1"/>
    <col min="2" max="4" width="28" bestFit="1" customWidth="1"/>
    <col min="5" max="5" width="29.5" bestFit="1" customWidth="1"/>
    <col min="6" max="6" width="30.25" bestFit="1" customWidth="1"/>
    <col min="7" max="7" width="30.5" bestFit="1" customWidth="1"/>
    <col min="8" max="10" width="29" bestFit="1" customWidth="1"/>
    <col min="11" max="11" width="11" bestFit="1" customWidth="1"/>
    <col min="13" max="13" width="11.125" style="13" bestFit="1" customWidth="1"/>
  </cols>
  <sheetData>
    <row r="1" spans="1:20" x14ac:dyDescent="0.2">
      <c r="A1" s="6" t="s">
        <v>301</v>
      </c>
      <c r="B1" s="7">
        <v>0.8</v>
      </c>
      <c r="C1" s="7">
        <v>0.9</v>
      </c>
      <c r="D1" s="7">
        <v>0.95</v>
      </c>
      <c r="E1" s="7">
        <v>0.97499999999999998</v>
      </c>
      <c r="F1" s="7">
        <v>1</v>
      </c>
      <c r="G1" s="7">
        <v>1.0249999999999999</v>
      </c>
      <c r="H1" s="7">
        <v>1.05</v>
      </c>
      <c r="I1" s="7">
        <v>1.1000000000000001</v>
      </c>
      <c r="J1" s="7">
        <v>1.2</v>
      </c>
    </row>
    <row r="2" spans="1:20" x14ac:dyDescent="0.2">
      <c r="A2" s="6" t="s">
        <v>167</v>
      </c>
      <c r="B2" s="6" t="s">
        <v>178</v>
      </c>
      <c r="C2" s="6" t="s">
        <v>179</v>
      </c>
      <c r="D2" s="6" t="s">
        <v>180</v>
      </c>
      <c r="E2" s="6" t="s">
        <v>181</v>
      </c>
      <c r="F2" s="6" t="s">
        <v>182</v>
      </c>
      <c r="G2" s="6" t="s">
        <v>183</v>
      </c>
      <c r="H2" s="6" t="s">
        <v>184</v>
      </c>
      <c r="I2" s="6" t="s">
        <v>185</v>
      </c>
      <c r="J2" s="6" t="s">
        <v>186</v>
      </c>
      <c r="K2" s="59">
        <v>44551</v>
      </c>
      <c r="L2" s="6" t="s">
        <v>2120</v>
      </c>
      <c r="M2" s="6" t="s">
        <v>2121</v>
      </c>
      <c r="N2" s="6" t="s">
        <v>2122</v>
      </c>
      <c r="O2" s="6" t="s">
        <v>2123</v>
      </c>
      <c r="P2" s="6" t="s">
        <v>2124</v>
      </c>
      <c r="Q2" s="6" t="s">
        <v>2125</v>
      </c>
      <c r="R2" s="6" t="s">
        <v>2126</v>
      </c>
      <c r="S2" s="6" t="s">
        <v>2127</v>
      </c>
      <c r="T2" s="6" t="s">
        <v>2128</v>
      </c>
    </row>
    <row r="3" spans="1:20" x14ac:dyDescent="0.2">
      <c r="A3" s="6" t="s">
        <v>294</v>
      </c>
      <c r="B3" s="6" t="s">
        <v>187</v>
      </c>
      <c r="C3" s="6" t="s">
        <v>188</v>
      </c>
      <c r="D3" s="6" t="s">
        <v>189</v>
      </c>
      <c r="E3" s="6" t="s">
        <v>190</v>
      </c>
      <c r="F3" s="6" t="s">
        <v>191</v>
      </c>
      <c r="G3" s="6" t="s">
        <v>192</v>
      </c>
      <c r="H3" s="6" t="s">
        <v>193</v>
      </c>
      <c r="I3" s="6" t="s">
        <v>194</v>
      </c>
      <c r="J3" s="6" t="s">
        <v>195</v>
      </c>
      <c r="K3" s="59">
        <v>44218</v>
      </c>
      <c r="L3" s="6" t="s">
        <v>2129</v>
      </c>
      <c r="M3" s="6" t="s">
        <v>2130</v>
      </c>
      <c r="N3" s="6" t="s">
        <v>2131</v>
      </c>
      <c r="O3" s="6" t="s">
        <v>2132</v>
      </c>
      <c r="P3" s="6" t="s">
        <v>2133</v>
      </c>
      <c r="Q3" s="6" t="s">
        <v>2134</v>
      </c>
      <c r="R3" s="6" t="s">
        <v>2135</v>
      </c>
      <c r="S3" s="6" t="s">
        <v>2136</v>
      </c>
      <c r="T3" s="6" t="s">
        <v>2137</v>
      </c>
    </row>
    <row r="4" spans="1:20" x14ac:dyDescent="0.2">
      <c r="A4" s="6" t="s">
        <v>168</v>
      </c>
      <c r="B4" s="6" t="s">
        <v>196</v>
      </c>
      <c r="C4" s="6" t="s">
        <v>197</v>
      </c>
      <c r="D4" s="6" t="s">
        <v>198</v>
      </c>
      <c r="E4" s="6" t="s">
        <v>199</v>
      </c>
      <c r="F4" s="6" t="s">
        <v>200</v>
      </c>
      <c r="G4" s="6" t="s">
        <v>201</v>
      </c>
      <c r="H4" s="6" t="s">
        <v>202</v>
      </c>
      <c r="I4" s="6" t="s">
        <v>203</v>
      </c>
      <c r="J4" s="6" t="s">
        <v>204</v>
      </c>
      <c r="K4" s="59">
        <v>44249</v>
      </c>
      <c r="L4" s="6" t="s">
        <v>2138</v>
      </c>
      <c r="M4" s="6" t="s">
        <v>2139</v>
      </c>
      <c r="N4" s="6" t="s">
        <v>2140</v>
      </c>
      <c r="O4" s="6" t="s">
        <v>2141</v>
      </c>
      <c r="P4" s="6" t="s">
        <v>2142</v>
      </c>
      <c r="Q4" s="6" t="s">
        <v>2143</v>
      </c>
      <c r="R4" s="6" t="s">
        <v>2144</v>
      </c>
      <c r="S4" s="6" t="s">
        <v>2145</v>
      </c>
      <c r="T4" s="6" t="s">
        <v>2146</v>
      </c>
    </row>
    <row r="5" spans="1:20" x14ac:dyDescent="0.2">
      <c r="A5" s="6" t="s">
        <v>169</v>
      </c>
      <c r="B5" s="6" t="s">
        <v>205</v>
      </c>
      <c r="C5" s="6" t="s">
        <v>206</v>
      </c>
      <c r="D5" s="6" t="s">
        <v>207</v>
      </c>
      <c r="E5" s="6" t="s">
        <v>208</v>
      </c>
      <c r="F5" s="6" t="s">
        <v>209</v>
      </c>
      <c r="G5" s="6" t="s">
        <v>210</v>
      </c>
      <c r="H5" s="6" t="s">
        <v>211</v>
      </c>
      <c r="I5" s="6" t="s">
        <v>212</v>
      </c>
      <c r="J5" s="6" t="s">
        <v>213</v>
      </c>
      <c r="K5" s="59">
        <v>44277</v>
      </c>
      <c r="L5" s="6" t="s">
        <v>2147</v>
      </c>
      <c r="M5" s="6" t="s">
        <v>2148</v>
      </c>
      <c r="N5" s="6" t="s">
        <v>2149</v>
      </c>
      <c r="O5" s="6" t="s">
        <v>2150</v>
      </c>
      <c r="P5" s="6" t="s">
        <v>2151</v>
      </c>
      <c r="Q5" s="6" t="s">
        <v>2152</v>
      </c>
      <c r="R5" s="6" t="s">
        <v>2153</v>
      </c>
      <c r="S5" s="6" t="s">
        <v>2154</v>
      </c>
      <c r="T5" s="6" t="s">
        <v>2155</v>
      </c>
    </row>
    <row r="6" spans="1:20" x14ac:dyDescent="0.2">
      <c r="A6" s="6" t="s">
        <v>170</v>
      </c>
      <c r="B6" s="6" t="s">
        <v>214</v>
      </c>
      <c r="C6" s="6" t="s">
        <v>215</v>
      </c>
      <c r="D6" s="6" t="s">
        <v>216</v>
      </c>
      <c r="E6" s="6" t="s">
        <v>217</v>
      </c>
      <c r="F6" s="6" t="s">
        <v>218</v>
      </c>
      <c r="G6" s="6" t="s">
        <v>219</v>
      </c>
      <c r="H6" s="6" t="s">
        <v>220</v>
      </c>
      <c r="I6" s="6" t="s">
        <v>221</v>
      </c>
      <c r="J6" s="6" t="s">
        <v>222</v>
      </c>
      <c r="K6" s="59">
        <v>44308</v>
      </c>
      <c r="L6" s="6" t="s">
        <v>2209</v>
      </c>
      <c r="M6" s="6" t="s">
        <v>2210</v>
      </c>
      <c r="N6" s="6" t="s">
        <v>2211</v>
      </c>
      <c r="O6" s="6" t="s">
        <v>2212</v>
      </c>
      <c r="P6" s="6" t="s">
        <v>2213</v>
      </c>
      <c r="Q6" s="6" t="s">
        <v>2214</v>
      </c>
      <c r="R6" s="6" t="s">
        <v>2215</v>
      </c>
      <c r="S6" s="6" t="s">
        <v>2216</v>
      </c>
      <c r="T6" s="6" t="s">
        <v>2217</v>
      </c>
    </row>
    <row r="7" spans="1:20" x14ac:dyDescent="0.2">
      <c r="A7" s="6" t="s">
        <v>155</v>
      </c>
      <c r="B7" s="6" t="s">
        <v>223</v>
      </c>
      <c r="C7" s="6" t="s">
        <v>224</v>
      </c>
      <c r="D7" s="6" t="s">
        <v>225</v>
      </c>
      <c r="E7" s="6" t="s">
        <v>226</v>
      </c>
      <c r="F7" s="6" t="s">
        <v>227</v>
      </c>
      <c r="G7" s="6" t="s">
        <v>228</v>
      </c>
      <c r="H7" s="6" t="s">
        <v>229</v>
      </c>
      <c r="I7" s="6" t="s">
        <v>230</v>
      </c>
      <c r="J7" s="6" t="s">
        <v>231</v>
      </c>
      <c r="K7" s="59">
        <v>44338</v>
      </c>
      <c r="L7" s="6" t="s">
        <v>2218</v>
      </c>
      <c r="M7" s="6" t="s">
        <v>2219</v>
      </c>
      <c r="N7" s="6" t="s">
        <v>2220</v>
      </c>
      <c r="O7" s="6" t="s">
        <v>2221</v>
      </c>
      <c r="P7" s="6" t="s">
        <v>2222</v>
      </c>
      <c r="Q7" s="6" t="s">
        <v>2223</v>
      </c>
      <c r="R7" s="6" t="s">
        <v>2224</v>
      </c>
      <c r="S7" s="6" t="s">
        <v>2225</v>
      </c>
      <c r="T7" s="6" t="s">
        <v>2226</v>
      </c>
    </row>
    <row r="8" spans="1:20" x14ac:dyDescent="0.2">
      <c r="A8" s="6" t="s">
        <v>295</v>
      </c>
      <c r="B8" s="6" t="s">
        <v>232</v>
      </c>
      <c r="C8" s="6" t="s">
        <v>233</v>
      </c>
      <c r="D8" s="6" t="s">
        <v>234</v>
      </c>
      <c r="E8" s="6" t="s">
        <v>235</v>
      </c>
      <c r="F8" s="6" t="s">
        <v>236</v>
      </c>
      <c r="G8" s="6" t="s">
        <v>237</v>
      </c>
      <c r="H8" s="6" t="s">
        <v>238</v>
      </c>
      <c r="I8" s="6" t="s">
        <v>239</v>
      </c>
      <c r="J8" s="6" t="s">
        <v>240</v>
      </c>
      <c r="K8" s="59">
        <v>44369</v>
      </c>
      <c r="L8" s="6" t="s">
        <v>2156</v>
      </c>
      <c r="M8" s="6" t="s">
        <v>2157</v>
      </c>
      <c r="N8" s="6" t="s">
        <v>2158</v>
      </c>
      <c r="O8" s="6" t="s">
        <v>2159</v>
      </c>
      <c r="P8" s="6" t="s">
        <v>2160</v>
      </c>
      <c r="Q8" s="6" t="s">
        <v>2161</v>
      </c>
      <c r="R8" s="6" t="s">
        <v>2162</v>
      </c>
      <c r="S8" s="6" t="s">
        <v>2163</v>
      </c>
      <c r="T8" s="6" t="s">
        <v>2164</v>
      </c>
    </row>
    <row r="9" spans="1:20" x14ac:dyDescent="0.2">
      <c r="A9" s="6" t="s">
        <v>156</v>
      </c>
      <c r="B9" s="6" t="s">
        <v>241</v>
      </c>
      <c r="C9" s="6" t="s">
        <v>242</v>
      </c>
      <c r="D9" s="6" t="s">
        <v>243</v>
      </c>
      <c r="E9" s="6" t="s">
        <v>244</v>
      </c>
      <c r="F9" s="6" t="s">
        <v>245</v>
      </c>
      <c r="G9" s="6" t="s">
        <v>246</v>
      </c>
      <c r="H9" s="6" t="s">
        <v>247</v>
      </c>
      <c r="I9" s="6" t="s">
        <v>248</v>
      </c>
      <c r="J9" s="6" t="s">
        <v>249</v>
      </c>
      <c r="K9" s="59">
        <v>44461</v>
      </c>
      <c r="L9" s="6" t="s">
        <v>2165</v>
      </c>
      <c r="M9" s="6" t="s">
        <v>2166</v>
      </c>
      <c r="N9" s="6" t="s">
        <v>2167</v>
      </c>
      <c r="O9" s="6" t="s">
        <v>2168</v>
      </c>
      <c r="P9" s="6" t="s">
        <v>2169</v>
      </c>
      <c r="Q9" s="6" t="s">
        <v>2170</v>
      </c>
      <c r="R9" s="6" t="s">
        <v>2171</v>
      </c>
      <c r="S9" s="6" t="s">
        <v>2172</v>
      </c>
      <c r="T9" s="6" t="s">
        <v>2173</v>
      </c>
    </row>
    <row r="10" spans="1:20" x14ac:dyDescent="0.2">
      <c r="A10" s="6" t="s">
        <v>157</v>
      </c>
      <c r="B10" s="6" t="s">
        <v>250</v>
      </c>
      <c r="C10" s="6" t="s">
        <v>251</v>
      </c>
      <c r="D10" s="6" t="s">
        <v>252</v>
      </c>
      <c r="E10" s="6" t="s">
        <v>253</v>
      </c>
      <c r="F10" s="6" t="s">
        <v>254</v>
      </c>
      <c r="G10" s="6" t="s">
        <v>255</v>
      </c>
      <c r="H10" s="6" t="s">
        <v>256</v>
      </c>
      <c r="I10" s="6" t="s">
        <v>257</v>
      </c>
      <c r="J10" s="6" t="s">
        <v>258</v>
      </c>
      <c r="K10" s="59">
        <v>44552</v>
      </c>
      <c r="L10" s="6" t="s">
        <v>2174</v>
      </c>
      <c r="M10" s="6" t="s">
        <v>2175</v>
      </c>
      <c r="N10" s="6" t="s">
        <v>2176</v>
      </c>
      <c r="O10" s="6" t="s">
        <v>2177</v>
      </c>
      <c r="P10" s="6" t="s">
        <v>2178</v>
      </c>
      <c r="Q10" s="6" t="s">
        <v>2179</v>
      </c>
      <c r="R10" s="6" t="s">
        <v>2180</v>
      </c>
      <c r="S10" s="6" t="s">
        <v>2181</v>
      </c>
      <c r="T10" s="6" t="s">
        <v>2182</v>
      </c>
    </row>
    <row r="11" spans="1:20" x14ac:dyDescent="0.2">
      <c r="A11" s="6" t="s">
        <v>158</v>
      </c>
      <c r="B11" s="6" t="s">
        <v>259</v>
      </c>
      <c r="C11" s="6" t="s">
        <v>260</v>
      </c>
      <c r="D11" s="6" t="s">
        <v>261</v>
      </c>
      <c r="E11" s="6" t="s">
        <v>262</v>
      </c>
      <c r="F11" s="6" t="s">
        <v>263</v>
      </c>
      <c r="G11" s="6" t="s">
        <v>264</v>
      </c>
      <c r="H11" s="6" t="s">
        <v>265</v>
      </c>
      <c r="I11" s="6" t="s">
        <v>266</v>
      </c>
      <c r="J11" s="6" t="s">
        <v>267</v>
      </c>
      <c r="K11" s="59">
        <v>44370</v>
      </c>
      <c r="L11" s="6" t="s">
        <v>2183</v>
      </c>
      <c r="M11" s="6" t="s">
        <v>2184</v>
      </c>
      <c r="N11" s="6" t="s">
        <v>2185</v>
      </c>
      <c r="O11" s="6" t="s">
        <v>2186</v>
      </c>
      <c r="P11" s="6" t="s">
        <v>2187</v>
      </c>
      <c r="Q11" s="6" t="s">
        <v>2188</v>
      </c>
      <c r="R11" s="6" t="s">
        <v>2189</v>
      </c>
      <c r="S11" s="6" t="s">
        <v>2190</v>
      </c>
      <c r="T11" s="6" t="s">
        <v>2191</v>
      </c>
    </row>
    <row r="12" spans="1:20" x14ac:dyDescent="0.2">
      <c r="A12" s="6" t="s">
        <v>159</v>
      </c>
      <c r="B12" s="6" t="s">
        <v>268</v>
      </c>
      <c r="C12" s="6" t="s">
        <v>269</v>
      </c>
      <c r="D12" s="6" t="s">
        <v>270</v>
      </c>
      <c r="E12" s="6" t="s">
        <v>271</v>
      </c>
      <c r="F12" s="6" t="s">
        <v>272</v>
      </c>
      <c r="G12" s="6" t="s">
        <v>273</v>
      </c>
      <c r="H12" s="6" t="s">
        <v>274</v>
      </c>
      <c r="I12" s="6" t="s">
        <v>275</v>
      </c>
      <c r="J12" s="6" t="s">
        <v>276</v>
      </c>
      <c r="K12" s="59">
        <v>44553</v>
      </c>
      <c r="L12" s="6" t="s">
        <v>2192</v>
      </c>
      <c r="M12" s="6" t="s">
        <v>2193</v>
      </c>
      <c r="N12" s="6" t="s">
        <v>2194</v>
      </c>
      <c r="O12" s="6" t="s">
        <v>2195</v>
      </c>
      <c r="P12" s="6" t="s">
        <v>2196</v>
      </c>
      <c r="Q12" s="6" t="s">
        <v>2197</v>
      </c>
      <c r="R12" s="6" t="s">
        <v>2198</v>
      </c>
      <c r="S12" s="6" t="s">
        <v>2199</v>
      </c>
      <c r="T12" s="6" t="s">
        <v>2200</v>
      </c>
    </row>
    <row r="13" spans="1:20" x14ac:dyDescent="0.2">
      <c r="A13" s="6" t="s">
        <v>161</v>
      </c>
      <c r="B13" s="6" t="s">
        <v>277</v>
      </c>
      <c r="C13" s="6" t="s">
        <v>278</v>
      </c>
      <c r="D13" s="6" t="s">
        <v>279</v>
      </c>
      <c r="E13" s="6" t="s">
        <v>280</v>
      </c>
      <c r="F13" s="6" t="s">
        <v>281</v>
      </c>
      <c r="G13" s="6" t="s">
        <v>282</v>
      </c>
      <c r="H13" s="6" t="s">
        <v>283</v>
      </c>
      <c r="I13" s="6" t="s">
        <v>284</v>
      </c>
      <c r="J13" s="6" t="s">
        <v>285</v>
      </c>
      <c r="K13" s="33"/>
    </row>
    <row r="14" spans="1:20" x14ac:dyDescent="0.2">
      <c r="A14" s="6" t="s">
        <v>164</v>
      </c>
      <c r="B14" s="6" t="s">
        <v>286</v>
      </c>
      <c r="C14" s="6" t="s">
        <v>2119</v>
      </c>
      <c r="D14" s="6" t="s">
        <v>287</v>
      </c>
      <c r="E14" s="6" t="s">
        <v>288</v>
      </c>
      <c r="F14" s="6" t="s">
        <v>289</v>
      </c>
      <c r="G14" s="6" t="s">
        <v>290</v>
      </c>
      <c r="H14" s="6" t="s">
        <v>291</v>
      </c>
      <c r="I14" s="6" t="s">
        <v>292</v>
      </c>
      <c r="J14" s="6" t="s">
        <v>293</v>
      </c>
      <c r="K14" s="33"/>
    </row>
    <row r="15" spans="1:20" x14ac:dyDescent="0.3">
      <c r="A15" s="13"/>
      <c r="C15" s="33"/>
      <c r="D15" s="33"/>
      <c r="E15" s="33"/>
      <c r="F15" s="33"/>
      <c r="G15" s="33"/>
      <c r="H15" s="33"/>
      <c r="I15" s="33"/>
      <c r="J15" s="33"/>
      <c r="K15" s="33"/>
    </row>
    <row r="16" spans="1:20" x14ac:dyDescent="0.3">
      <c r="A16" s="13">
        <v>44538</v>
      </c>
      <c r="C16" s="33"/>
      <c r="D16" s="33"/>
      <c r="E16" s="33"/>
      <c r="F16" s="33"/>
      <c r="G16" s="33"/>
      <c r="H16" s="33"/>
      <c r="I16" s="33"/>
      <c r="J16" s="33"/>
      <c r="K16" s="33"/>
    </row>
    <row r="17" spans="1:20" x14ac:dyDescent="0.3">
      <c r="A17" s="1" t="s">
        <v>171</v>
      </c>
      <c r="C17" s="33"/>
      <c r="D17" s="33"/>
      <c r="E17" s="33"/>
      <c r="F17" s="33"/>
      <c r="G17" s="33"/>
      <c r="H17" s="33"/>
      <c r="I17" s="33"/>
      <c r="J17" s="33"/>
      <c r="K17" s="33"/>
    </row>
    <row r="18" spans="1:20" x14ac:dyDescent="0.3">
      <c r="A18" s="13"/>
      <c r="B18" t="str">
        <f>_xll.BDH(B2,$A$17,$A$16,$A$16)</f>
        <v>#N/A Invalid Security</v>
      </c>
      <c r="C18" t="str">
        <f>_xll.BDH(C2,$A$17,$A$16,$A$16)</f>
        <v>#N/A Invalid Security</v>
      </c>
      <c r="D18" t="str">
        <f>_xll.BDH(D2,$A$17,$A$16,$A$16)</f>
        <v>#N/A Invalid Security</v>
      </c>
      <c r="E18" t="str">
        <f>_xll.BDH(E2,$A$17,$A$16,$A$16)</f>
        <v>#N/A Invalid Security</v>
      </c>
      <c r="F18" t="str">
        <f>_xll.BDH(F2,$A$17,$A$16,$A$16)</f>
        <v>#N/A Invalid Security</v>
      </c>
      <c r="G18" t="str">
        <f>_xll.BDH(G2,$A$17,$A$16,$A$16)</f>
        <v>#N/A Invalid Security</v>
      </c>
      <c r="H18" t="str">
        <f>_xll.BDH(H2,$A$17,$A$16,$A$16)</f>
        <v>#N/A Invalid Security</v>
      </c>
      <c r="I18" t="str">
        <f>_xll.BDH(I2,$A$17,$A$16,$A$16)</f>
        <v>#N/A Invalid Security</v>
      </c>
      <c r="J18" t="str">
        <f>_xll.BDH(J2,$A$17,$A$16,$A$16)</f>
        <v>#N/A Invalid Security</v>
      </c>
      <c r="K18" s="33"/>
      <c r="L18" t="str">
        <f>_xll.BDH(L2,$A$17,$A$16,$A$16)</f>
        <v>#N/A Invalid Security</v>
      </c>
      <c r="M18" t="str">
        <f>_xll.BDH(M2,$A$17,$A$16,$A$16)</f>
        <v>#N/A Invalid Security</v>
      </c>
      <c r="N18" t="str">
        <f>_xll.BDH(N2,$A$17,$A$16,$A$16)</f>
        <v>#N/A Invalid Security</v>
      </c>
      <c r="O18" t="str">
        <f>_xll.BDH(O2,$A$17,$A$16,$A$16)</f>
        <v>#N/A Invalid Security</v>
      </c>
      <c r="P18" t="str">
        <f>_xll.BDH(P2,$A$17,$A$16,$A$16)</f>
        <v>#N/A Invalid Security</v>
      </c>
      <c r="Q18" t="str">
        <f>_xll.BDH(Q2,$A$17,$A$16,$A$16)</f>
        <v>#N/A Invalid Security</v>
      </c>
      <c r="R18" t="str">
        <f>_xll.BDH(R2,$A$17,$A$16,$A$16)</f>
        <v>#N/A Invalid Security</v>
      </c>
      <c r="S18" t="str">
        <f>_xll.BDH(S2,$A$17,$A$16,$A$16)</f>
        <v>#N/A Invalid Security</v>
      </c>
      <c r="T18" t="str">
        <f>_xll.BDH(T2,$A$17,$A$16,$A$16)</f>
        <v>#N/A Invalid Security</v>
      </c>
    </row>
    <row r="19" spans="1:20" x14ac:dyDescent="0.3">
      <c r="A19" s="13"/>
      <c r="B19" t="str">
        <f>_xll.BDH(B3,$A$17,$A$16,$A$16)</f>
        <v>#N/A Invalid Security</v>
      </c>
      <c r="C19" t="str">
        <f>_xll.BDH(C3,$A$17,$A$16,$A$16)</f>
        <v>#N/A Invalid Security</v>
      </c>
      <c r="D19" t="str">
        <f>_xll.BDH(D3,$A$17,$A$16,$A$16)</f>
        <v>#N/A Invalid Security</v>
      </c>
      <c r="E19" t="str">
        <f>_xll.BDH(E3,$A$17,$A$16,$A$16)</f>
        <v>#N/A Invalid Security</v>
      </c>
      <c r="F19" t="str">
        <f>_xll.BDH(F3,$A$17,$A$16,$A$16)</f>
        <v>#N/A Invalid Security</v>
      </c>
      <c r="G19" t="str">
        <f>_xll.BDH(G3,$A$17,$A$16,$A$16)</f>
        <v>#N/A Invalid Security</v>
      </c>
      <c r="H19" t="str">
        <f>_xll.BDH(H3,$A$17,$A$16,$A$16)</f>
        <v>#N/A Invalid Security</v>
      </c>
      <c r="I19" t="str">
        <f>_xll.BDH(I3,$A$17,$A$16,$A$16)</f>
        <v>#N/A Invalid Security</v>
      </c>
      <c r="J19" t="str">
        <f>_xll.BDH(J3,$A$17,$A$16,$A$16)</f>
        <v>#N/A Invalid Security</v>
      </c>
      <c r="K19" s="33"/>
      <c r="L19" t="str">
        <f>_xll.BDH(L3,$A$17,$A$16,$A$16)</f>
        <v>#N/A Invalid Security</v>
      </c>
      <c r="M19" t="str">
        <f>_xll.BDH(M3,$A$17,$A$16,$A$16)</f>
        <v>#N/A Invalid Security</v>
      </c>
      <c r="N19" t="str">
        <f>_xll.BDH(N3,$A$17,$A$16,$A$16)</f>
        <v>#N/A Invalid Security</v>
      </c>
      <c r="O19" t="str">
        <f>_xll.BDH(O3,$A$17,$A$16,$A$16)</f>
        <v>#N/A Invalid Security</v>
      </c>
      <c r="P19" t="str">
        <f>_xll.BDH(P3,$A$17,$A$16,$A$16)</f>
        <v>#N/A Invalid Security</v>
      </c>
      <c r="Q19" t="str">
        <f>_xll.BDH(Q3,$A$17,$A$16,$A$16)</f>
        <v>#N/A Invalid Security</v>
      </c>
      <c r="R19" t="str">
        <f>_xll.BDH(R3,$A$17,$A$16,$A$16)</f>
        <v>#N/A Invalid Security</v>
      </c>
      <c r="S19" t="str">
        <f>_xll.BDH(S3,$A$17,$A$16,$A$16)</f>
        <v>#N/A Invalid Security</v>
      </c>
      <c r="T19" t="str">
        <f>_xll.BDH(T3,$A$17,$A$16,$A$16)</f>
        <v>#N/A Invalid Security</v>
      </c>
    </row>
    <row r="20" spans="1:20" x14ac:dyDescent="0.3">
      <c r="A20" s="13"/>
      <c r="B20" t="str">
        <f>_xll.BDH(B4,$A$17,$A$16,$A$16)</f>
        <v>#N/A Invalid Security</v>
      </c>
      <c r="C20" t="str">
        <f>_xll.BDH(C4,$A$17,$A$16,$A$16)</f>
        <v>#N/A Invalid Security</v>
      </c>
      <c r="D20" t="str">
        <f>_xll.BDH(D4,$A$17,$A$16,$A$16)</f>
        <v>#N/A Invalid Security</v>
      </c>
      <c r="E20" t="str">
        <f>_xll.BDH(E4,$A$17,$A$16,$A$16)</f>
        <v>#N/A Invalid Security</v>
      </c>
      <c r="F20" t="str">
        <f>_xll.BDH(F4,$A$17,$A$16,$A$16)</f>
        <v>#N/A Invalid Security</v>
      </c>
      <c r="G20" t="str">
        <f>_xll.BDH(G4,$A$17,$A$16,$A$16)</f>
        <v>#N/A Invalid Security</v>
      </c>
      <c r="H20" t="str">
        <f>_xll.BDH(H4,$A$17,$A$16,$A$16)</f>
        <v>#N/A Invalid Security</v>
      </c>
      <c r="I20" t="str">
        <f>_xll.BDH(I4,$A$17,$A$16,$A$16)</f>
        <v>#N/A Invalid Security</v>
      </c>
      <c r="J20" t="str">
        <f>_xll.BDH(J4,$A$17,$A$16,$A$16)</f>
        <v>#N/A Invalid Security</v>
      </c>
      <c r="K20" s="33"/>
      <c r="L20" t="str">
        <f>_xll.BDH(L4,$A$17,$A$16,$A$16)</f>
        <v>#N/A Invalid Security</v>
      </c>
      <c r="M20" t="str">
        <f>_xll.BDH(M4,$A$17,$A$16,$A$16)</f>
        <v>#N/A Invalid Security</v>
      </c>
      <c r="N20" t="str">
        <f>_xll.BDH(N4,$A$17,$A$16,$A$16)</f>
        <v>#N/A Invalid Security</v>
      </c>
      <c r="O20" t="str">
        <f>_xll.BDH(O4,$A$17,$A$16,$A$16)</f>
        <v>#N/A Invalid Security</v>
      </c>
      <c r="P20" t="str">
        <f>_xll.BDH(P4,$A$17,$A$16,$A$16)</f>
        <v>#N/A Invalid Security</v>
      </c>
      <c r="Q20" t="str">
        <f>_xll.BDH(Q4,$A$17,$A$16,$A$16)</f>
        <v>#N/A Invalid Security</v>
      </c>
      <c r="R20" t="str">
        <f>_xll.BDH(R4,$A$17,$A$16,$A$16)</f>
        <v>#N/A Invalid Security</v>
      </c>
      <c r="S20" t="str">
        <f>_xll.BDH(S4,$A$17,$A$16,$A$16)</f>
        <v>#N/A Invalid Security</v>
      </c>
      <c r="T20" t="str">
        <f>_xll.BDH(T4,$A$17,$A$16,$A$16)</f>
        <v>#N/A Invalid Security</v>
      </c>
    </row>
    <row r="21" spans="1:20" x14ac:dyDescent="0.3">
      <c r="A21" s="13"/>
      <c r="B21" t="str">
        <f>_xll.BDH(B5,$A$17,$A$16,$A$16)</f>
        <v>#N/A Invalid Security</v>
      </c>
      <c r="C21" t="str">
        <f>_xll.BDH(C5,$A$17,$A$16,$A$16)</f>
        <v>#N/A Invalid Security</v>
      </c>
      <c r="D21" t="str">
        <f>_xll.BDH(D5,$A$17,$A$16,$A$16)</f>
        <v>#N/A Invalid Security</v>
      </c>
      <c r="E21" t="str">
        <f>_xll.BDH(E5,$A$17,$A$16,$A$16)</f>
        <v>#N/A Invalid Security</v>
      </c>
      <c r="F21" t="str">
        <f>_xll.BDH(F5,$A$17,$A$16,$A$16)</f>
        <v>#N/A Invalid Security</v>
      </c>
      <c r="G21" t="str">
        <f>_xll.BDH(G5,$A$17,$A$16,$A$16)</f>
        <v>#N/A Invalid Security</v>
      </c>
      <c r="H21" t="str">
        <f>_xll.BDH(H5,$A$17,$A$16,$A$16)</f>
        <v>#N/A Invalid Security</v>
      </c>
      <c r="I21" t="str">
        <f>_xll.BDH(I5,$A$17,$A$16,$A$16)</f>
        <v>#N/A Invalid Security</v>
      </c>
      <c r="J21" t="str">
        <f>_xll.BDH(J5,$A$17,$A$16,$A$16)</f>
        <v>#N/A Invalid Security</v>
      </c>
      <c r="K21" s="33"/>
      <c r="L21" t="str">
        <f>_xll.BDH(L5,$A$17,$A$16,$A$16)</f>
        <v>#N/A Invalid Security</v>
      </c>
      <c r="M21" t="str">
        <f>_xll.BDH(M5,$A$17,$A$16,$A$16)</f>
        <v>#N/A Invalid Security</v>
      </c>
      <c r="N21" t="str">
        <f>_xll.BDH(N5,$A$17,$A$16,$A$16)</f>
        <v>#N/A Invalid Security</v>
      </c>
      <c r="O21" t="str">
        <f>_xll.BDH(O5,$A$17,$A$16,$A$16)</f>
        <v>#N/A Invalid Security</v>
      </c>
      <c r="P21" t="str">
        <f>_xll.BDH(P5,$A$17,$A$16,$A$16)</f>
        <v>#N/A Invalid Security</v>
      </c>
      <c r="Q21" t="str">
        <f>_xll.BDH(Q5,$A$17,$A$16,$A$16)</f>
        <v>#N/A Invalid Security</v>
      </c>
      <c r="R21" t="str">
        <f>_xll.BDH(R5,$A$17,$A$16,$A$16)</f>
        <v>#N/A Invalid Security</v>
      </c>
      <c r="S21" t="str">
        <f>_xll.BDH(S5,$A$17,$A$16,$A$16)</f>
        <v>#N/A Invalid Security</v>
      </c>
      <c r="T21" t="str">
        <f>_xll.BDH(T5,$A$17,$A$16,$A$16)</f>
        <v>#N/A Invalid Security</v>
      </c>
    </row>
    <row r="22" spans="1:20" x14ac:dyDescent="0.3">
      <c r="A22" s="13"/>
      <c r="B22" t="str">
        <f>_xll.BDH(B6,$A$17,$A$16,$A$16)</f>
        <v>#N/A Invalid Security</v>
      </c>
      <c r="C22" t="str">
        <f>_xll.BDH(C6,$A$17,$A$16,$A$16)</f>
        <v>#N/A Invalid Security</v>
      </c>
      <c r="D22" t="str">
        <f>_xll.BDH(D6,$A$17,$A$16,$A$16)</f>
        <v>#N/A Invalid Security</v>
      </c>
      <c r="E22" t="str">
        <f>_xll.BDH(E6,$A$17,$A$16,$A$16)</f>
        <v>#N/A Invalid Security</v>
      </c>
      <c r="F22" t="str">
        <f>_xll.BDH(F6,$A$17,$A$16,$A$16)</f>
        <v>#N/A Invalid Security</v>
      </c>
      <c r="G22" t="str">
        <f>_xll.BDH(G6,$A$17,$A$16,$A$16)</f>
        <v>#N/A Invalid Security</v>
      </c>
      <c r="H22" t="str">
        <f>_xll.BDH(H6,$A$17,$A$16,$A$16)</f>
        <v>#N/A Invalid Security</v>
      </c>
      <c r="I22" t="str">
        <f>_xll.BDH(I6,$A$17,$A$16,$A$16)</f>
        <v>#N/A Invalid Security</v>
      </c>
      <c r="J22" t="str">
        <f>_xll.BDH(J6,$A$17,$A$16,$A$16)</f>
        <v>#N/A Invalid Security</v>
      </c>
      <c r="K22" s="33"/>
      <c r="L22" t="str">
        <f>_xll.BDH(L6,$A$17,$A$16,$A$16)</f>
        <v>#N/A Invalid Security</v>
      </c>
      <c r="M22" t="str">
        <f>_xll.BDH(M6,$A$17,$A$16,$A$16)</f>
        <v>#N/A Invalid Security</v>
      </c>
      <c r="N22" t="str">
        <f>_xll.BDH(N6,$A$17,$A$16,$A$16)</f>
        <v>#N/A Invalid Security</v>
      </c>
      <c r="O22" t="str">
        <f>_xll.BDH(O6,$A$17,$A$16,$A$16)</f>
        <v>#N/A Invalid Security</v>
      </c>
      <c r="P22" t="str">
        <f>_xll.BDH(P6,$A$17,$A$16,$A$16)</f>
        <v>#N/A Invalid Security</v>
      </c>
      <c r="Q22" t="str">
        <f>_xll.BDH(Q6,$A$17,$A$16,$A$16)</f>
        <v>#N/A Invalid Security</v>
      </c>
      <c r="R22" t="str">
        <f>_xll.BDH(R6,$A$17,$A$16,$A$16)</f>
        <v>#N/A Invalid Security</v>
      </c>
      <c r="S22" t="str">
        <f>_xll.BDH(S6,$A$17,$A$16,$A$16)</f>
        <v>#N/A Invalid Security</v>
      </c>
      <c r="T22" t="str">
        <f>_xll.BDH(T6,$A$17,$A$16,$A$16)</f>
        <v>#N/A Invalid Security</v>
      </c>
    </row>
    <row r="23" spans="1:20" x14ac:dyDescent="0.3">
      <c r="A23" s="13"/>
      <c r="B23" t="str">
        <f>_xll.BDH(B7,$A$17,$A$16,$A$16)</f>
        <v>#N/A Invalid Security</v>
      </c>
      <c r="C23" t="str">
        <f>_xll.BDH(C7,$A$17,$A$16,$A$16)</f>
        <v>#N/A Invalid Security</v>
      </c>
      <c r="D23" t="str">
        <f>_xll.BDH(D7,$A$17,$A$16,$A$16)</f>
        <v>#N/A Invalid Security</v>
      </c>
      <c r="E23" t="str">
        <f>_xll.BDH(E7,$A$17,$A$16,$A$16)</f>
        <v>#N/A Invalid Security</v>
      </c>
      <c r="F23" t="str">
        <f>_xll.BDH(F7,$A$17,$A$16,$A$16)</f>
        <v>#N/A Invalid Security</v>
      </c>
      <c r="G23" t="str">
        <f>_xll.BDH(G7,$A$17,$A$16,$A$16)</f>
        <v>#N/A Invalid Security</v>
      </c>
      <c r="H23" t="str">
        <f>_xll.BDH(H7,$A$17,$A$16,$A$16)</f>
        <v>#N/A Invalid Security</v>
      </c>
      <c r="I23" t="str">
        <f>_xll.BDH(I7,$A$17,$A$16,$A$16)</f>
        <v>#N/A Invalid Security</v>
      </c>
      <c r="J23" t="str">
        <f>_xll.BDH(J7,$A$17,$A$16,$A$16)</f>
        <v>#N/A Invalid Security</v>
      </c>
      <c r="K23" s="33"/>
      <c r="L23" t="str">
        <f>_xll.BDH(L7,$A$17,$A$16,$A$16)</f>
        <v>#N/A Invalid Security</v>
      </c>
      <c r="M23" t="str">
        <f>_xll.BDH(M7,$A$17,$A$16,$A$16)</f>
        <v>#N/A Invalid Security</v>
      </c>
      <c r="N23" t="str">
        <f>_xll.BDH(N7,$A$17,$A$16,$A$16)</f>
        <v>#N/A Invalid Security</v>
      </c>
      <c r="O23" t="str">
        <f>_xll.BDH(O7,$A$17,$A$16,$A$16)</f>
        <v>#N/A Invalid Security</v>
      </c>
      <c r="P23" t="str">
        <f>_xll.BDH(P7,$A$17,$A$16,$A$16)</f>
        <v>#N/A Invalid Security</v>
      </c>
      <c r="Q23" t="str">
        <f>_xll.BDH(Q7,$A$17,$A$16,$A$16)</f>
        <v>#N/A Invalid Security</v>
      </c>
      <c r="R23" t="str">
        <f>_xll.BDH(R7,$A$17,$A$16,$A$16)</f>
        <v>#N/A Invalid Security</v>
      </c>
      <c r="S23" t="str">
        <f>_xll.BDH(S7,$A$17,$A$16,$A$16)</f>
        <v>#N/A Invalid Security</v>
      </c>
      <c r="T23" t="str">
        <f>_xll.BDH(T7,$A$17,$A$16,$A$16)</f>
        <v>#N/A Invalid Security</v>
      </c>
    </row>
    <row r="24" spans="1:20" x14ac:dyDescent="0.3">
      <c r="A24" s="13"/>
      <c r="B24" t="str">
        <f>_xll.BDH(B8,$A$17,$A$16,$A$16)</f>
        <v>#N/A Invalid Security</v>
      </c>
      <c r="C24" t="str">
        <f>_xll.BDH(C8,$A$17,$A$16,$A$16)</f>
        <v>#N/A Invalid Security</v>
      </c>
      <c r="D24" t="str">
        <f>_xll.BDH(D8,$A$17,$A$16,$A$16)</f>
        <v>#N/A Invalid Security</v>
      </c>
      <c r="E24" t="str">
        <f>_xll.BDH(E8,$A$17,$A$16,$A$16)</f>
        <v>#N/A Invalid Security</v>
      </c>
      <c r="F24" t="str">
        <f>_xll.BDH(F8,$A$17,$A$16,$A$16)</f>
        <v>#N/A Invalid Security</v>
      </c>
      <c r="G24" t="str">
        <f>_xll.BDH(G8,$A$17,$A$16,$A$16)</f>
        <v>#N/A Invalid Security</v>
      </c>
      <c r="H24" t="str">
        <f>_xll.BDH(H8,$A$17,$A$16,$A$16)</f>
        <v>#N/A Invalid Security</v>
      </c>
      <c r="I24" t="str">
        <f>_xll.BDH(I8,$A$17,$A$16,$A$16)</f>
        <v>#N/A Invalid Security</v>
      </c>
      <c r="J24" t="str">
        <f>_xll.BDH(J8,$A$17,$A$16,$A$16)</f>
        <v>#N/A Invalid Security</v>
      </c>
      <c r="K24" s="33"/>
      <c r="L24" t="str">
        <f>_xll.BDH(L8,$A$17,$A$16,$A$16)</f>
        <v>#N/A Invalid Security</v>
      </c>
      <c r="M24" t="str">
        <f>_xll.BDH(M8,$A$17,$A$16,$A$16)</f>
        <v>#N/A Invalid Security</v>
      </c>
      <c r="N24" t="str">
        <f>_xll.BDH(N8,$A$17,$A$16,$A$16)</f>
        <v>#N/A Invalid Security</v>
      </c>
      <c r="O24" t="str">
        <f>_xll.BDH(O8,$A$17,$A$16,$A$16)</f>
        <v>#N/A Invalid Security</v>
      </c>
      <c r="P24" t="str">
        <f>_xll.BDH(P8,$A$17,$A$16,$A$16)</f>
        <v>#N/A Invalid Security</v>
      </c>
      <c r="Q24" t="str">
        <f>_xll.BDH(Q8,$A$17,$A$16,$A$16)</f>
        <v>#N/A Invalid Security</v>
      </c>
      <c r="R24" t="str">
        <f>_xll.BDH(R8,$A$17,$A$16,$A$16)</f>
        <v>#N/A Invalid Security</v>
      </c>
      <c r="S24" t="str">
        <f>_xll.BDH(S8,$A$17,$A$16,$A$16)</f>
        <v>#N/A Invalid Security</v>
      </c>
      <c r="T24" t="str">
        <f>_xll.BDH(T8,$A$17,$A$16,$A$16)</f>
        <v>#N/A Invalid Security</v>
      </c>
    </row>
    <row r="25" spans="1:20" x14ac:dyDescent="0.3">
      <c r="A25" s="13"/>
      <c r="B25" t="str">
        <f>_xll.BDH(B9,$A$17,$A$16,$A$16)</f>
        <v>#N/A Invalid Security</v>
      </c>
      <c r="C25" t="str">
        <f>_xll.BDH(C9,$A$17,$A$16,$A$16)</f>
        <v>#N/A Invalid Security</v>
      </c>
      <c r="D25" t="str">
        <f>_xll.BDH(D9,$A$17,$A$16,$A$16)</f>
        <v>#N/A Invalid Security</v>
      </c>
      <c r="E25" t="str">
        <f>_xll.BDH(E9,$A$17,$A$16,$A$16)</f>
        <v>#N/A Invalid Security</v>
      </c>
      <c r="F25" t="str">
        <f>_xll.BDH(F9,$A$17,$A$16,$A$16)</f>
        <v>#N/A Invalid Security</v>
      </c>
      <c r="G25" t="str">
        <f>_xll.BDH(G9,$A$17,$A$16,$A$16)</f>
        <v>#N/A Invalid Security</v>
      </c>
      <c r="H25" t="str">
        <f>_xll.BDH(H9,$A$17,$A$16,$A$16)</f>
        <v>#N/A Invalid Security</v>
      </c>
      <c r="I25" t="str">
        <f>_xll.BDH(I9,$A$17,$A$16,$A$16)</f>
        <v>#N/A Invalid Security</v>
      </c>
      <c r="J25" t="str">
        <f>_xll.BDH(J9,$A$17,$A$16,$A$16)</f>
        <v>#N/A Invalid Security</v>
      </c>
      <c r="K25" s="33"/>
      <c r="L25" t="str">
        <f>_xll.BDH(L9,$A$17,$A$16,$A$16)</f>
        <v>#N/A Invalid Security</v>
      </c>
      <c r="M25" t="str">
        <f>_xll.BDH(M9,$A$17,$A$16,$A$16)</f>
        <v>#N/A Invalid Security</v>
      </c>
      <c r="N25" t="str">
        <f>_xll.BDH(N9,$A$17,$A$16,$A$16)</f>
        <v>#N/A Invalid Security</v>
      </c>
      <c r="O25" t="str">
        <f>_xll.BDH(O9,$A$17,$A$16,$A$16)</f>
        <v>#N/A Invalid Security</v>
      </c>
      <c r="P25" t="str">
        <f>_xll.BDH(P9,$A$17,$A$16,$A$16)</f>
        <v>#N/A Invalid Security</v>
      </c>
      <c r="Q25" t="str">
        <f>_xll.BDH(Q9,$A$17,$A$16,$A$16)</f>
        <v>#N/A Invalid Security</v>
      </c>
      <c r="R25" t="str">
        <f>_xll.BDH(R9,$A$17,$A$16,$A$16)</f>
        <v>#N/A Invalid Security</v>
      </c>
      <c r="S25" t="str">
        <f>_xll.BDH(S9,$A$17,$A$16,$A$16)</f>
        <v>#N/A Invalid Security</v>
      </c>
      <c r="T25" t="str">
        <f>_xll.BDH(T9,$A$17,$A$16,$A$16)</f>
        <v>#N/A Invalid Security</v>
      </c>
    </row>
    <row r="26" spans="1:20" x14ac:dyDescent="0.3">
      <c r="A26" s="13"/>
      <c r="B26" t="str">
        <f>_xll.BDH(B10,$A$17,$A$16,$A$16)</f>
        <v>#N/A Invalid Security</v>
      </c>
      <c r="C26" t="str">
        <f>_xll.BDH(C10,$A$17,$A$16,$A$16)</f>
        <v>#N/A Invalid Security</v>
      </c>
      <c r="D26" t="str">
        <f>_xll.BDH(D10,$A$17,$A$16,$A$16)</f>
        <v>#N/A Invalid Security</v>
      </c>
      <c r="E26" t="str">
        <f>_xll.BDH(E10,$A$17,$A$16,$A$16)</f>
        <v>#N/A Invalid Security</v>
      </c>
      <c r="F26" t="str">
        <f>_xll.BDH(F10,$A$17,$A$16,$A$16)</f>
        <v>#N/A Invalid Security</v>
      </c>
      <c r="G26" t="str">
        <f>_xll.BDH(G10,$A$17,$A$16,$A$16)</f>
        <v>#N/A Invalid Security</v>
      </c>
      <c r="H26" t="str">
        <f>_xll.BDH(H10,$A$17,$A$16,$A$16)</f>
        <v>#N/A Invalid Security</v>
      </c>
      <c r="I26" t="str">
        <f>_xll.BDH(I10,$A$17,$A$16,$A$16)</f>
        <v>#N/A Invalid Security</v>
      </c>
      <c r="J26" t="str">
        <f>_xll.BDH(J10,$A$17,$A$16,$A$16)</f>
        <v>#N/A Invalid Security</v>
      </c>
      <c r="K26" s="33"/>
      <c r="L26" t="str">
        <f>_xll.BDH(L10,$A$17,$A$16,$A$16)</f>
        <v>#N/A Invalid Security</v>
      </c>
      <c r="M26" t="str">
        <f>_xll.BDH(M10,$A$17,$A$16,$A$16)</f>
        <v>#N/A Invalid Security</v>
      </c>
      <c r="N26" t="str">
        <f>_xll.BDH(N10,$A$17,$A$16,$A$16)</f>
        <v>#N/A Invalid Security</v>
      </c>
      <c r="O26" t="str">
        <f>_xll.BDH(O10,$A$17,$A$16,$A$16)</f>
        <v>#N/A Invalid Security</v>
      </c>
      <c r="P26" t="str">
        <f>_xll.BDH(P10,$A$17,$A$16,$A$16)</f>
        <v>#N/A Invalid Security</v>
      </c>
      <c r="Q26" t="str">
        <f>_xll.BDH(Q10,$A$17,$A$16,$A$16)</f>
        <v>#N/A Invalid Security</v>
      </c>
      <c r="R26" t="str">
        <f>_xll.BDH(R10,$A$17,$A$16,$A$16)</f>
        <v>#N/A Invalid Security</v>
      </c>
      <c r="S26" t="str">
        <f>_xll.BDH(S10,$A$17,$A$16,$A$16)</f>
        <v>#N/A Invalid Security</v>
      </c>
      <c r="T26" t="str">
        <f>_xll.BDH(T10,$A$17,$A$16,$A$16)</f>
        <v>#N/A Invalid Security</v>
      </c>
    </row>
    <row r="27" spans="1:20" x14ac:dyDescent="0.3">
      <c r="B27" t="str">
        <f>_xll.BDH(B11,$A$17,$A$16,$A$16)</f>
        <v>#N/A Invalid Security</v>
      </c>
      <c r="C27" t="str">
        <f>_xll.BDH(C11,$A$17,$A$16,$A$16)</f>
        <v>#N/A Invalid Security</v>
      </c>
      <c r="D27" t="str">
        <f>_xll.BDH(D11,$A$17,$A$16,$A$16)</f>
        <v>#N/A Invalid Security</v>
      </c>
      <c r="E27" t="str">
        <f>_xll.BDH(E11,$A$17,$A$16,$A$16)</f>
        <v>#N/A Invalid Security</v>
      </c>
      <c r="F27" t="str">
        <f>_xll.BDH(F11,$A$17,$A$16,$A$16)</f>
        <v>#N/A Invalid Security</v>
      </c>
      <c r="G27" t="str">
        <f>_xll.BDH(G11,$A$17,$A$16,$A$16)</f>
        <v>#N/A Invalid Security</v>
      </c>
      <c r="H27" t="str">
        <f>_xll.BDH(H11,$A$17,$A$16,$A$16)</f>
        <v>#N/A Invalid Security</v>
      </c>
      <c r="I27" t="str">
        <f>_xll.BDH(I11,$A$17,$A$16,$A$16)</f>
        <v>#N/A Invalid Security</v>
      </c>
      <c r="J27" t="str">
        <f>_xll.BDH(J11,$A$17,$A$16,$A$16)</f>
        <v>#N/A Invalid Security</v>
      </c>
      <c r="K27" s="33"/>
      <c r="L27" t="str">
        <f>_xll.BDH(L11,$A$17,$A$16,$A$16)</f>
        <v>#N/A Invalid Security</v>
      </c>
      <c r="M27" t="str">
        <f>_xll.BDH(M11,$A$17,$A$16,$A$16)</f>
        <v>#N/A Invalid Security</v>
      </c>
      <c r="N27" t="str">
        <f>_xll.BDH(N11,$A$17,$A$16,$A$16)</f>
        <v>#N/A Invalid Security</v>
      </c>
      <c r="O27" t="str">
        <f>_xll.BDH(O11,$A$17,$A$16,$A$16)</f>
        <v>#N/A Invalid Security</v>
      </c>
      <c r="P27" t="str">
        <f>_xll.BDH(P11,$A$17,$A$16,$A$16)</f>
        <v>#N/A Invalid Security</v>
      </c>
      <c r="Q27" t="str">
        <f>_xll.BDH(Q11,$A$17,$A$16,$A$16)</f>
        <v>#N/A Invalid Security</v>
      </c>
      <c r="R27" t="str">
        <f>_xll.BDH(R11,$A$17,$A$16,$A$16)</f>
        <v>#N/A Invalid Security</v>
      </c>
      <c r="S27" t="str">
        <f>_xll.BDH(S11,$A$17,$A$16,$A$16)</f>
        <v>#N/A Invalid Security</v>
      </c>
      <c r="T27" t="str">
        <f>_xll.BDH(T11,$A$17,$A$16,$A$16)</f>
        <v>#N/A Invalid Security</v>
      </c>
    </row>
    <row r="28" spans="1:20" x14ac:dyDescent="0.3">
      <c r="B28" t="str">
        <f>_xll.BDH(B12,$A$17,$A$16,$A$16)</f>
        <v>#N/A Invalid Security</v>
      </c>
      <c r="C28" t="str">
        <f>_xll.BDH(C12,$A$17,$A$16,$A$16)</f>
        <v>#N/A Invalid Security</v>
      </c>
      <c r="D28" t="str">
        <f>_xll.BDH(D12,$A$17,$A$16,$A$16)</f>
        <v>#N/A Invalid Security</v>
      </c>
      <c r="E28" t="str">
        <f>_xll.BDH(E12,$A$17,$A$16,$A$16)</f>
        <v>#N/A Invalid Security</v>
      </c>
      <c r="F28" t="str">
        <f>_xll.BDH(F12,$A$17,$A$16,$A$16)</f>
        <v>#N/A Invalid Security</v>
      </c>
      <c r="G28" t="str">
        <f>_xll.BDH(G12,$A$17,$A$16,$A$16)</f>
        <v>#N/A Invalid Security</v>
      </c>
      <c r="H28" t="str">
        <f>_xll.BDH(H12,$A$17,$A$16,$A$16)</f>
        <v>#N/A Invalid Security</v>
      </c>
      <c r="I28" t="str">
        <f>_xll.BDH(I12,$A$17,$A$16,$A$16)</f>
        <v>#N/A Invalid Security</v>
      </c>
      <c r="J28" t="str">
        <f>_xll.BDH(J12,$A$17,$A$16,$A$16)</f>
        <v>#N/A Invalid Security</v>
      </c>
      <c r="K28" s="33"/>
      <c r="L28" t="str">
        <f>_xll.BDH(L12,$A$17,$A$16,$A$16)</f>
        <v>#N/A Invalid Security</v>
      </c>
      <c r="M28" t="str">
        <f>_xll.BDH(M12,$A$17,$A$16,$A$16)</f>
        <v>#N/A Invalid Security</v>
      </c>
      <c r="N28" t="str">
        <f>_xll.BDH(N12,$A$17,$A$16,$A$16)</f>
        <v>#N/A Invalid Security</v>
      </c>
      <c r="O28" t="str">
        <f>_xll.BDH(O12,$A$17,$A$16,$A$16)</f>
        <v>#N/A Invalid Security</v>
      </c>
      <c r="P28" t="str">
        <f>_xll.BDH(P12,$A$17,$A$16,$A$16)</f>
        <v>#N/A Invalid Security</v>
      </c>
      <c r="Q28" t="str">
        <f>_xll.BDH(Q12,$A$17,$A$16,$A$16)</f>
        <v>#N/A Invalid Security</v>
      </c>
      <c r="R28" t="str">
        <f>_xll.BDH(R12,$A$17,$A$16,$A$16)</f>
        <v>#N/A Invalid Security</v>
      </c>
      <c r="S28" t="str">
        <f>_xll.BDH(S12,$A$17,$A$16,$A$16)</f>
        <v>#N/A Invalid Security</v>
      </c>
      <c r="T28" t="str">
        <f>_xll.BDH(T12,$A$17,$A$16,$A$16)</f>
        <v>#N/A Invalid Security</v>
      </c>
    </row>
    <row r="29" spans="1:20" x14ac:dyDescent="0.3">
      <c r="B29" t="str">
        <f>_xll.BDH(B13,$A$17,$A$16,$A$16)</f>
        <v>#N/A Invalid Security</v>
      </c>
      <c r="C29" t="str">
        <f>_xll.BDH(C13,$A$17,$A$16,$A$16)</f>
        <v>#N/A Invalid Security</v>
      </c>
      <c r="D29" t="str">
        <f>_xll.BDH(D13,$A$17,$A$16,$A$16)</f>
        <v>#N/A Invalid Security</v>
      </c>
      <c r="E29" t="str">
        <f>_xll.BDH(E13,$A$17,$A$16,$A$16)</f>
        <v>#N/A Invalid Security</v>
      </c>
      <c r="F29" t="str">
        <f>_xll.BDH(F13,$A$17,$A$16,$A$16)</f>
        <v>#N/A Invalid Security</v>
      </c>
      <c r="G29" t="str">
        <f>_xll.BDH(G13,$A$17,$A$16,$A$16)</f>
        <v>#N/A Invalid Security</v>
      </c>
      <c r="H29" t="str">
        <f>_xll.BDH(H13,$A$17,$A$16,$A$16)</f>
        <v>#N/A Invalid Security</v>
      </c>
      <c r="I29" t="str">
        <f>_xll.BDH(I13,$A$17,$A$16,$A$16)</f>
        <v>#N/A Invalid Security</v>
      </c>
      <c r="J29" t="str">
        <f>_xll.BDH(J13,$A$17,$A$16,$A$16)</f>
        <v>#N/A Invalid Security</v>
      </c>
      <c r="K29" s="33"/>
      <c r="M29"/>
    </row>
    <row r="30" spans="1:20" x14ac:dyDescent="0.3">
      <c r="B30" t="str">
        <f>_xll.BDH(B14,$A$17,$A$16,$A$16)</f>
        <v>#N/A Invalid Security</v>
      </c>
      <c r="C30" t="str">
        <f>_xll.BDH(C14,$A$17,$A$16,$A$16)</f>
        <v>#N/A Invalid Security</v>
      </c>
      <c r="D30" t="str">
        <f>_xll.BDH(D14,$A$17,$A$16,$A$16)</f>
        <v>#N/A Invalid Security</v>
      </c>
      <c r="E30" t="str">
        <f>_xll.BDH(E14,$A$17,$A$16,$A$16)</f>
        <v>#N/A Invalid Security</v>
      </c>
      <c r="F30" t="str">
        <f>_xll.BDH(F14,$A$17,$A$16,$A$16)</f>
        <v>#N/A Invalid Security</v>
      </c>
      <c r="G30" t="str">
        <f>_xll.BDH(G14,$A$17,$A$16,$A$16)</f>
        <v>#N/A Invalid Security</v>
      </c>
      <c r="H30" t="str">
        <f>_xll.BDH(H14,$A$17,$A$16,$A$16)</f>
        <v>#N/A Invalid Security</v>
      </c>
      <c r="I30" t="str">
        <f>_xll.BDH(I14,$A$17,$A$16,$A$16)</f>
        <v>#N/A Invalid Security</v>
      </c>
      <c r="J30" t="str">
        <f>_xll.BDH(J14,$A$17,$A$16,$A$16)</f>
        <v>#N/A Invalid Security</v>
      </c>
      <c r="K30" s="33"/>
      <c r="M30"/>
    </row>
    <row r="31" spans="1:20" x14ac:dyDescent="0.3">
      <c r="C31" s="33"/>
      <c r="D31" s="33"/>
      <c r="E31" s="33"/>
      <c r="F31" s="33"/>
      <c r="G31" s="33"/>
      <c r="H31" s="33"/>
      <c r="I31" s="33"/>
      <c r="J31" s="33"/>
      <c r="K31" s="33"/>
    </row>
    <row r="32" spans="1:20" x14ac:dyDescent="0.3">
      <c r="C32" s="33"/>
      <c r="D32" s="33"/>
      <c r="E32" s="33"/>
      <c r="F32" s="33"/>
      <c r="G32" s="33"/>
      <c r="H32" s="33"/>
      <c r="I32" s="33"/>
      <c r="J32" s="33"/>
      <c r="K32" s="33"/>
    </row>
    <row r="33" spans="3:11" x14ac:dyDescent="0.3">
      <c r="C33" s="33"/>
      <c r="D33" s="33"/>
      <c r="E33" s="33"/>
      <c r="F33" s="33"/>
      <c r="G33" s="33"/>
      <c r="H33" s="33"/>
      <c r="I33" s="33"/>
      <c r="J33" s="33"/>
      <c r="K33" s="33"/>
    </row>
    <row r="34" spans="3:11" x14ac:dyDescent="0.3">
      <c r="C34" s="33"/>
      <c r="D34" s="33"/>
      <c r="E34" s="33"/>
      <c r="F34" s="33"/>
      <c r="G34" s="33"/>
      <c r="H34" s="33"/>
      <c r="I34" s="33"/>
      <c r="J34" s="33"/>
      <c r="K34" s="33"/>
    </row>
    <row r="35" spans="3:11" x14ac:dyDescent="0.3">
      <c r="C35" s="14"/>
      <c r="D35" s="14"/>
      <c r="E35" s="14"/>
      <c r="F35" s="14"/>
      <c r="G35" s="14"/>
      <c r="H35" s="14"/>
      <c r="I35" s="14"/>
      <c r="J35" s="14"/>
      <c r="K35" s="14"/>
    </row>
    <row r="36" spans="3:11" x14ac:dyDescent="0.3">
      <c r="C36" s="14"/>
      <c r="D36" s="14"/>
      <c r="E36" s="14"/>
      <c r="F36" s="14"/>
      <c r="G36" s="14"/>
      <c r="H36" s="14"/>
      <c r="I36" s="14"/>
      <c r="J36" s="14"/>
      <c r="K36" s="14"/>
    </row>
    <row r="37" spans="3:11" x14ac:dyDescent="0.3">
      <c r="C37" s="14"/>
      <c r="D37" s="14"/>
      <c r="E37" s="14"/>
      <c r="F37" s="14"/>
      <c r="G37" s="14"/>
      <c r="H37" s="14"/>
      <c r="I37" s="14"/>
      <c r="J37" s="14"/>
      <c r="K37" s="14"/>
    </row>
    <row r="38" spans="3:11" x14ac:dyDescent="0.3">
      <c r="C38" s="14"/>
      <c r="D38" s="14"/>
      <c r="E38" s="14"/>
      <c r="F38" s="14"/>
      <c r="G38" s="14"/>
      <c r="H38" s="14"/>
      <c r="I38" s="14"/>
      <c r="J38" s="14"/>
      <c r="K38" s="14"/>
    </row>
    <row r="39" spans="3:11" x14ac:dyDescent="0.3">
      <c r="C39" s="14"/>
      <c r="D39" s="14"/>
      <c r="E39" s="14"/>
      <c r="F39" s="14"/>
      <c r="G39" s="14"/>
      <c r="H39" s="14"/>
      <c r="I39" s="14"/>
      <c r="J39" s="14"/>
      <c r="K39" s="14"/>
    </row>
    <row r="40" spans="3:11" x14ac:dyDescent="0.3">
      <c r="C40" s="14"/>
      <c r="D40" s="14"/>
      <c r="E40" s="14"/>
      <c r="F40" s="14"/>
      <c r="G40" s="14"/>
      <c r="H40" s="14"/>
      <c r="I40" s="14"/>
      <c r="J40" s="14"/>
      <c r="K40" s="14"/>
    </row>
    <row r="41" spans="3:11" x14ac:dyDescent="0.3">
      <c r="C41" s="14"/>
      <c r="D41" s="14"/>
      <c r="E41" s="14"/>
      <c r="F41" s="14"/>
      <c r="G41" s="14"/>
      <c r="H41" s="14"/>
      <c r="I41" s="14"/>
      <c r="J41" s="14"/>
      <c r="K41" s="14"/>
    </row>
    <row r="42" spans="3:11" x14ac:dyDescent="0.3">
      <c r="C42" s="14"/>
      <c r="D42" s="14"/>
      <c r="E42" s="14"/>
      <c r="F42" s="14"/>
      <c r="G42" s="14"/>
      <c r="H42" s="14"/>
      <c r="I42" s="14"/>
      <c r="J42" s="14"/>
      <c r="K42" s="14"/>
    </row>
    <row r="43" spans="3:11" x14ac:dyDescent="0.3">
      <c r="C43" s="14"/>
      <c r="D43" s="14"/>
      <c r="E43" s="14"/>
      <c r="F43" s="14"/>
      <c r="G43" s="14"/>
      <c r="H43" s="14"/>
      <c r="I43" s="14"/>
      <c r="J43" s="14"/>
      <c r="K43" s="14"/>
    </row>
    <row r="44" spans="3:11" x14ac:dyDescent="0.3">
      <c r="C44" s="14"/>
      <c r="D44" s="14"/>
      <c r="E44" s="14"/>
      <c r="F44" s="14"/>
      <c r="G44" s="14"/>
      <c r="H44" s="14"/>
      <c r="I44" s="14"/>
      <c r="J44" s="14"/>
      <c r="K44" s="14"/>
    </row>
    <row r="45" spans="3:11" x14ac:dyDescent="0.3">
      <c r="C45" s="14"/>
      <c r="D45" s="14"/>
      <c r="E45" s="14"/>
      <c r="F45" s="14"/>
      <c r="G45" s="14"/>
      <c r="H45" s="14"/>
      <c r="I45" s="14"/>
      <c r="J45" s="14"/>
      <c r="K45" s="14"/>
    </row>
    <row r="46" spans="3:11" x14ac:dyDescent="0.3">
      <c r="C46" s="14"/>
      <c r="D46" s="14"/>
      <c r="E46" s="14"/>
      <c r="F46" s="14"/>
      <c r="G46" s="14"/>
      <c r="H46" s="14"/>
      <c r="I46" s="14"/>
      <c r="J46" s="14"/>
      <c r="K46" s="14"/>
    </row>
    <row r="47" spans="3:11" x14ac:dyDescent="0.3">
      <c r="C47" s="14"/>
      <c r="D47" s="14"/>
      <c r="E47" s="14"/>
      <c r="F47" s="14"/>
      <c r="G47" s="14"/>
      <c r="H47" s="14"/>
      <c r="I47" s="14"/>
      <c r="J47" s="14"/>
      <c r="K47" s="14"/>
    </row>
    <row r="48" spans="3:11" x14ac:dyDescent="0.3">
      <c r="C48" s="14"/>
      <c r="D48" s="14"/>
      <c r="E48" s="14"/>
      <c r="F48" s="14"/>
      <c r="G48" s="14"/>
      <c r="H48" s="14"/>
      <c r="I48" s="14"/>
      <c r="J48" s="14"/>
      <c r="K48" s="14"/>
    </row>
    <row r="49" spans="3:11" x14ac:dyDescent="0.3">
      <c r="C49" s="14"/>
      <c r="D49" s="14"/>
      <c r="E49" s="14"/>
      <c r="F49" s="14"/>
      <c r="G49" s="14"/>
      <c r="H49" s="14"/>
      <c r="I49" s="14"/>
      <c r="J49" s="14"/>
      <c r="K49" s="14"/>
    </row>
    <row r="50" spans="3:11" x14ac:dyDescent="0.3">
      <c r="C50" s="14"/>
      <c r="D50" s="14"/>
      <c r="E50" s="14"/>
      <c r="F50" s="14"/>
      <c r="G50" s="14"/>
      <c r="H50" s="14"/>
      <c r="I50" s="14"/>
      <c r="J50" s="14"/>
      <c r="K50" s="14"/>
    </row>
    <row r="51" spans="3:11" x14ac:dyDescent="0.3">
      <c r="C51" s="14"/>
      <c r="D51" s="14"/>
      <c r="E51" s="14"/>
      <c r="F51" s="14"/>
      <c r="G51" s="14"/>
      <c r="H51" s="14"/>
      <c r="I51" s="14"/>
      <c r="J51" s="14"/>
      <c r="K51" s="14"/>
    </row>
    <row r="52" spans="3:11" x14ac:dyDescent="0.3">
      <c r="C52" s="14"/>
      <c r="D52" s="14"/>
      <c r="E52" s="14"/>
      <c r="F52" s="14"/>
      <c r="G52" s="14"/>
      <c r="H52" s="14"/>
      <c r="I52" s="14"/>
      <c r="J52" s="14"/>
      <c r="K52" s="14"/>
    </row>
    <row r="53" spans="3:11" x14ac:dyDescent="0.3">
      <c r="C53" s="14"/>
      <c r="D53" s="14"/>
      <c r="E53" s="14"/>
      <c r="F53" s="14"/>
      <c r="G53" s="14"/>
      <c r="H53" s="14"/>
      <c r="I53" s="14"/>
      <c r="J53" s="14"/>
      <c r="K53" s="14"/>
    </row>
    <row r="54" spans="3:11" x14ac:dyDescent="0.3">
      <c r="C54" s="14"/>
      <c r="D54" s="14"/>
      <c r="E54" s="14"/>
      <c r="F54" s="14"/>
      <c r="G54" s="14"/>
      <c r="H54" s="14"/>
      <c r="I54" s="14"/>
      <c r="J54" s="14"/>
      <c r="K54" s="14"/>
    </row>
    <row r="55" spans="3:11" x14ac:dyDescent="0.3">
      <c r="C55" s="14"/>
      <c r="D55" s="14"/>
      <c r="E55" s="14"/>
      <c r="F55" s="14"/>
      <c r="G55" s="14"/>
      <c r="H55" s="14"/>
      <c r="I55" s="14"/>
      <c r="J55" s="14"/>
      <c r="K55" s="14"/>
    </row>
    <row r="56" spans="3:11" x14ac:dyDescent="0.3">
      <c r="C56" s="14"/>
      <c r="D56" s="14"/>
      <c r="E56" s="14"/>
      <c r="F56" s="14"/>
      <c r="G56" s="14"/>
      <c r="H56" s="14"/>
      <c r="I56" s="14"/>
      <c r="J56" s="14"/>
      <c r="K56" s="14"/>
    </row>
    <row r="57" spans="3:11" x14ac:dyDescent="0.3">
      <c r="C57" s="14"/>
      <c r="D57" s="14"/>
      <c r="E57" s="14"/>
      <c r="F57" s="14"/>
      <c r="G57" s="14"/>
      <c r="H57" s="14"/>
      <c r="I57" s="14"/>
      <c r="J57" s="14"/>
      <c r="K57" s="14"/>
    </row>
    <row r="58" spans="3:11" x14ac:dyDescent="0.3">
      <c r="C58" s="14"/>
      <c r="D58" s="14"/>
      <c r="E58" s="14"/>
      <c r="F58" s="14"/>
      <c r="G58" s="14"/>
      <c r="H58" s="14"/>
      <c r="I58" s="14"/>
      <c r="J58" s="14"/>
      <c r="K58" s="14"/>
    </row>
    <row r="59" spans="3:11" x14ac:dyDescent="0.3">
      <c r="C59" s="14"/>
      <c r="D59" s="14"/>
      <c r="E59" s="14"/>
      <c r="F59" s="14"/>
      <c r="G59" s="14"/>
      <c r="H59" s="14"/>
      <c r="I59" s="14"/>
      <c r="J59" s="14"/>
      <c r="K59" s="14"/>
    </row>
    <row r="60" spans="3:11" x14ac:dyDescent="0.3">
      <c r="C60" s="14"/>
      <c r="D60" s="14"/>
      <c r="E60" s="14"/>
      <c r="F60" s="14"/>
      <c r="G60" s="14"/>
      <c r="H60" s="14"/>
      <c r="I60" s="14"/>
      <c r="J60" s="14"/>
      <c r="K60" s="14"/>
    </row>
    <row r="61" spans="3:11" x14ac:dyDescent="0.3">
      <c r="C61" s="14"/>
      <c r="D61" s="14"/>
      <c r="E61" s="14"/>
      <c r="F61" s="14"/>
      <c r="G61" s="14"/>
      <c r="H61" s="14"/>
      <c r="I61" s="14"/>
      <c r="J61" s="14"/>
      <c r="K61" s="14"/>
    </row>
    <row r="62" spans="3:11" x14ac:dyDescent="0.3">
      <c r="C62" s="14"/>
      <c r="D62" s="14"/>
      <c r="E62" s="14"/>
      <c r="F62" s="14"/>
      <c r="G62" s="14"/>
      <c r="H62" s="14"/>
      <c r="I62" s="14"/>
      <c r="J62" s="14"/>
      <c r="K62" s="14"/>
    </row>
    <row r="63" spans="3:11" x14ac:dyDescent="0.3">
      <c r="C63" s="14"/>
      <c r="D63" s="14"/>
      <c r="E63" s="14"/>
      <c r="F63" s="14"/>
      <c r="G63" s="14"/>
      <c r="H63" s="14"/>
      <c r="I63" s="14"/>
      <c r="J63" s="14"/>
      <c r="K63" s="14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9"/>
  <sheetViews>
    <sheetView topLeftCell="A94" zoomScale="85" zoomScaleNormal="85" workbookViewId="0">
      <selection activeCell="M126" sqref="M126"/>
    </sheetView>
  </sheetViews>
  <sheetFormatPr defaultRowHeight="16.5" x14ac:dyDescent="0.3"/>
  <cols>
    <col min="1" max="1" width="11.75" style="38" bestFit="1" customWidth="1"/>
    <col min="2" max="13" width="9.125" style="38" bestFit="1" customWidth="1"/>
    <col min="14" max="14" width="11.25" style="38" bestFit="1" customWidth="1"/>
    <col min="15" max="16384" width="9" style="38"/>
  </cols>
  <sheetData>
    <row r="1" spans="1:14" x14ac:dyDescent="0.3">
      <c r="A1" s="37" t="s">
        <v>594</v>
      </c>
      <c r="B1" s="37" t="s">
        <v>595</v>
      </c>
      <c r="C1" s="37" t="s">
        <v>596</v>
      </c>
      <c r="D1" s="37" t="s">
        <v>597</v>
      </c>
      <c r="E1" s="37" t="s">
        <v>598</v>
      </c>
      <c r="F1" s="37" t="s">
        <v>599</v>
      </c>
      <c r="G1" s="37" t="s">
        <v>600</v>
      </c>
      <c r="H1" s="37" t="s">
        <v>531</v>
      </c>
      <c r="I1" s="37" t="s">
        <v>601</v>
      </c>
      <c r="J1" s="37" t="s">
        <v>602</v>
      </c>
      <c r="K1" s="37" t="s">
        <v>603</v>
      </c>
      <c r="L1" s="37" t="s">
        <v>604</v>
      </c>
      <c r="M1" s="37" t="s">
        <v>605</v>
      </c>
      <c r="N1" s="37" t="s">
        <v>606</v>
      </c>
    </row>
    <row r="2" spans="1:14" x14ac:dyDescent="0.3">
      <c r="A2" s="38" t="s">
        <v>607</v>
      </c>
      <c r="B2" s="38" t="s">
        <v>608</v>
      </c>
      <c r="C2" s="38" t="s">
        <v>609</v>
      </c>
      <c r="D2" s="38" t="s">
        <v>610</v>
      </c>
      <c r="E2" s="38" t="s">
        <v>611</v>
      </c>
      <c r="F2" s="38" t="s">
        <v>612</v>
      </c>
      <c r="G2" s="38" t="s">
        <v>613</v>
      </c>
      <c r="H2" s="38" t="s">
        <v>614</v>
      </c>
      <c r="I2" s="38" t="s">
        <v>615</v>
      </c>
      <c r="J2" s="38" t="s">
        <v>616</v>
      </c>
      <c r="K2" s="38" t="s">
        <v>617</v>
      </c>
      <c r="L2" s="38" t="s">
        <v>618</v>
      </c>
      <c r="M2" s="38" t="s">
        <v>619</v>
      </c>
      <c r="N2" s="38" t="s">
        <v>620</v>
      </c>
    </row>
    <row r="3" spans="1:14" x14ac:dyDescent="0.3">
      <c r="A3" s="38" t="s">
        <v>621</v>
      </c>
      <c r="B3" s="38" t="s">
        <v>622</v>
      </c>
      <c r="C3" s="38" t="s">
        <v>623</v>
      </c>
      <c r="D3" s="38" t="s">
        <v>624</v>
      </c>
      <c r="E3" s="38" t="s">
        <v>625</v>
      </c>
      <c r="F3" s="38" t="s">
        <v>626</v>
      </c>
      <c r="G3" s="38" t="s">
        <v>627</v>
      </c>
      <c r="H3" s="38" t="s">
        <v>628</v>
      </c>
      <c r="I3" s="38" t="s">
        <v>629</v>
      </c>
      <c r="J3" s="38" t="s">
        <v>630</v>
      </c>
      <c r="K3" s="38" t="s">
        <v>631</v>
      </c>
      <c r="L3" s="38" t="s">
        <v>632</v>
      </c>
      <c r="M3" s="38" t="s">
        <v>633</v>
      </c>
      <c r="N3" s="38" t="s">
        <v>634</v>
      </c>
    </row>
    <row r="4" spans="1:14" x14ac:dyDescent="0.3">
      <c r="A4" s="38" t="s">
        <v>635</v>
      </c>
      <c r="B4" s="38" t="s">
        <v>636</v>
      </c>
      <c r="C4" s="38" t="s">
        <v>637</v>
      </c>
      <c r="D4" s="38" t="s">
        <v>638</v>
      </c>
      <c r="E4" s="38" t="s">
        <v>639</v>
      </c>
      <c r="F4" s="38" t="s">
        <v>640</v>
      </c>
      <c r="G4" s="38" t="s">
        <v>641</v>
      </c>
      <c r="H4" s="38" t="s">
        <v>642</v>
      </c>
      <c r="I4" s="38" t="s">
        <v>643</v>
      </c>
      <c r="J4" s="38" t="s">
        <v>644</v>
      </c>
      <c r="K4" s="38" t="s">
        <v>645</v>
      </c>
      <c r="L4" s="38" t="s">
        <v>646</v>
      </c>
      <c r="M4" s="38" t="s">
        <v>647</v>
      </c>
      <c r="N4" s="38" t="s">
        <v>648</v>
      </c>
    </row>
    <row r="5" spans="1:14" x14ac:dyDescent="0.3">
      <c r="A5" s="38" t="s">
        <v>649</v>
      </c>
      <c r="B5" s="38" t="s">
        <v>650</v>
      </c>
      <c r="C5" s="38" t="s">
        <v>651</v>
      </c>
      <c r="D5" s="38" t="s">
        <v>652</v>
      </c>
      <c r="E5" s="38" t="s">
        <v>653</v>
      </c>
      <c r="F5" s="38" t="s">
        <v>654</v>
      </c>
      <c r="G5" s="38" t="s">
        <v>655</v>
      </c>
      <c r="H5" s="38" t="s">
        <v>656</v>
      </c>
      <c r="I5" s="38" t="s">
        <v>657</v>
      </c>
      <c r="J5" s="38" t="s">
        <v>658</v>
      </c>
      <c r="K5" s="38" t="s">
        <v>659</v>
      </c>
      <c r="L5" s="38" t="s">
        <v>660</v>
      </c>
      <c r="M5" s="38" t="s">
        <v>661</v>
      </c>
      <c r="N5" s="38" t="s">
        <v>662</v>
      </c>
    </row>
    <row r="6" spans="1:14" x14ac:dyDescent="0.3">
      <c r="A6" s="38" t="s">
        <v>663</v>
      </c>
      <c r="B6" s="38" t="s">
        <v>664</v>
      </c>
      <c r="C6" s="38" t="s">
        <v>665</v>
      </c>
      <c r="D6" s="38" t="s">
        <v>666</v>
      </c>
      <c r="E6" s="38" t="s">
        <v>667</v>
      </c>
      <c r="F6" s="38" t="s">
        <v>668</v>
      </c>
      <c r="G6" s="38" t="s">
        <v>669</v>
      </c>
      <c r="H6" s="38" t="s">
        <v>670</v>
      </c>
      <c r="I6" s="38" t="s">
        <v>671</v>
      </c>
      <c r="J6" s="38" t="s">
        <v>672</v>
      </c>
      <c r="K6" s="38" t="s">
        <v>673</v>
      </c>
      <c r="L6" s="38" t="s">
        <v>674</v>
      </c>
      <c r="M6" s="38" t="s">
        <v>675</v>
      </c>
      <c r="N6" s="38" t="s">
        <v>676</v>
      </c>
    </row>
    <row r="7" spans="1:14" x14ac:dyDescent="0.3">
      <c r="A7" s="38" t="s">
        <v>677</v>
      </c>
      <c r="B7" s="38" t="s">
        <v>678</v>
      </c>
      <c r="C7" s="38" t="s">
        <v>679</v>
      </c>
      <c r="D7" s="38" t="s">
        <v>680</v>
      </c>
      <c r="E7" s="38" t="s">
        <v>681</v>
      </c>
      <c r="F7" s="38" t="s">
        <v>682</v>
      </c>
      <c r="G7" s="38" t="s">
        <v>683</v>
      </c>
      <c r="H7" s="38" t="s">
        <v>684</v>
      </c>
      <c r="I7" s="38" t="s">
        <v>685</v>
      </c>
      <c r="J7" s="38" t="s">
        <v>686</v>
      </c>
      <c r="K7" s="38" t="s">
        <v>687</v>
      </c>
      <c r="L7" s="38" t="s">
        <v>688</v>
      </c>
      <c r="M7" s="38" t="s">
        <v>689</v>
      </c>
      <c r="N7" s="38" t="s">
        <v>690</v>
      </c>
    </row>
    <row r="8" spans="1:14" x14ac:dyDescent="0.3">
      <c r="A8" s="38" t="s">
        <v>691</v>
      </c>
      <c r="B8" s="38" t="s">
        <v>692</v>
      </c>
      <c r="C8" s="38" t="s">
        <v>693</v>
      </c>
      <c r="D8" s="38" t="s">
        <v>694</v>
      </c>
      <c r="E8" s="38" t="s">
        <v>695</v>
      </c>
      <c r="F8" s="38" t="s">
        <v>696</v>
      </c>
      <c r="G8" s="38" t="s">
        <v>697</v>
      </c>
      <c r="H8" s="38" t="s">
        <v>698</v>
      </c>
      <c r="I8" s="38" t="s">
        <v>699</v>
      </c>
      <c r="J8" s="38" t="s">
        <v>700</v>
      </c>
      <c r="K8" s="38" t="s">
        <v>701</v>
      </c>
      <c r="L8" s="38" t="s">
        <v>702</v>
      </c>
      <c r="M8" s="38" t="s">
        <v>703</v>
      </c>
      <c r="N8" s="38" t="s">
        <v>704</v>
      </c>
    </row>
    <row r="9" spans="1:14" x14ac:dyDescent="0.3">
      <c r="A9" s="38" t="s">
        <v>705</v>
      </c>
      <c r="B9" s="38" t="s">
        <v>706</v>
      </c>
      <c r="C9" s="38" t="s">
        <v>707</v>
      </c>
      <c r="D9" s="38" t="s">
        <v>708</v>
      </c>
      <c r="E9" s="38" t="s">
        <v>709</v>
      </c>
      <c r="F9" s="38" t="s">
        <v>710</v>
      </c>
      <c r="G9" s="38" t="s">
        <v>711</v>
      </c>
      <c r="H9" s="38" t="s">
        <v>712</v>
      </c>
      <c r="I9" s="38" t="s">
        <v>713</v>
      </c>
      <c r="J9" s="38" t="s">
        <v>714</v>
      </c>
      <c r="K9" s="38" t="s">
        <v>715</v>
      </c>
      <c r="L9" s="38" t="s">
        <v>716</v>
      </c>
      <c r="M9" s="38" t="s">
        <v>717</v>
      </c>
      <c r="N9" s="38" t="s">
        <v>718</v>
      </c>
    </row>
    <row r="10" spans="1:14" x14ac:dyDescent="0.3">
      <c r="A10" s="38" t="s">
        <v>719</v>
      </c>
      <c r="B10" s="38" t="s">
        <v>720</v>
      </c>
      <c r="C10" s="38" t="s">
        <v>721</v>
      </c>
      <c r="D10" s="38" t="s">
        <v>722</v>
      </c>
      <c r="E10" s="38" t="s">
        <v>723</v>
      </c>
      <c r="F10" s="38" t="s">
        <v>724</v>
      </c>
      <c r="G10" s="38" t="s">
        <v>725</v>
      </c>
      <c r="H10" s="38" t="s">
        <v>726</v>
      </c>
      <c r="I10" s="38" t="s">
        <v>727</v>
      </c>
      <c r="J10" s="38" t="s">
        <v>728</v>
      </c>
      <c r="K10" s="38" t="s">
        <v>729</v>
      </c>
      <c r="L10" s="38" t="s">
        <v>730</v>
      </c>
      <c r="M10" s="38" t="s">
        <v>731</v>
      </c>
      <c r="N10" s="38" t="s">
        <v>732</v>
      </c>
    </row>
    <row r="11" spans="1:14" x14ac:dyDescent="0.3">
      <c r="A11" s="38" t="s">
        <v>733</v>
      </c>
      <c r="B11" s="38" t="s">
        <v>734</v>
      </c>
      <c r="C11" s="38" t="s">
        <v>735</v>
      </c>
      <c r="D11" s="38" t="s">
        <v>736</v>
      </c>
      <c r="E11" s="38" t="s">
        <v>737</v>
      </c>
      <c r="F11" s="38" t="s">
        <v>738</v>
      </c>
      <c r="G11" s="38" t="s">
        <v>739</v>
      </c>
      <c r="H11" s="38" t="s">
        <v>740</v>
      </c>
      <c r="I11" s="38" t="s">
        <v>741</v>
      </c>
      <c r="J11" s="38" t="s">
        <v>742</v>
      </c>
      <c r="K11" s="38" t="s">
        <v>743</v>
      </c>
      <c r="L11" s="38" t="s">
        <v>744</v>
      </c>
      <c r="M11" s="38" t="s">
        <v>745</v>
      </c>
      <c r="N11" s="38" t="s">
        <v>746</v>
      </c>
    </row>
    <row r="12" spans="1:14" x14ac:dyDescent="0.3">
      <c r="A12" s="38" t="s">
        <v>747</v>
      </c>
      <c r="B12" s="38" t="s">
        <v>748</v>
      </c>
      <c r="C12" s="38" t="s">
        <v>749</v>
      </c>
      <c r="D12" s="38" t="s">
        <v>750</v>
      </c>
      <c r="E12" s="38" t="s">
        <v>751</v>
      </c>
      <c r="F12" s="38" t="s">
        <v>752</v>
      </c>
      <c r="G12" s="38" t="s">
        <v>753</v>
      </c>
      <c r="H12" s="38" t="s">
        <v>754</v>
      </c>
      <c r="I12" s="38" t="s">
        <v>755</v>
      </c>
      <c r="J12" s="38" t="s">
        <v>756</v>
      </c>
      <c r="K12" s="38" t="s">
        <v>757</v>
      </c>
      <c r="L12" s="38" t="s">
        <v>758</v>
      </c>
      <c r="M12" s="38" t="s">
        <v>759</v>
      </c>
      <c r="N12" s="38" t="s">
        <v>760</v>
      </c>
    </row>
    <row r="13" spans="1:14" x14ac:dyDescent="0.3">
      <c r="A13" s="38" t="s">
        <v>761</v>
      </c>
      <c r="B13" s="38" t="s">
        <v>762</v>
      </c>
      <c r="C13" s="38" t="s">
        <v>763</v>
      </c>
      <c r="D13" s="38" t="s">
        <v>764</v>
      </c>
      <c r="E13" s="38" t="s">
        <v>765</v>
      </c>
      <c r="F13" s="38" t="s">
        <v>766</v>
      </c>
      <c r="G13" s="38" t="s">
        <v>767</v>
      </c>
      <c r="H13" s="38" t="s">
        <v>768</v>
      </c>
      <c r="I13" s="38" t="s">
        <v>769</v>
      </c>
      <c r="J13" s="38" t="s">
        <v>770</v>
      </c>
      <c r="K13" s="38" t="s">
        <v>771</v>
      </c>
      <c r="L13" s="38" t="s">
        <v>772</v>
      </c>
      <c r="M13" s="38" t="s">
        <v>773</v>
      </c>
      <c r="N13" s="38" t="s">
        <v>774</v>
      </c>
    </row>
    <row r="14" spans="1:14" x14ac:dyDescent="0.3">
      <c r="A14" s="38" t="s">
        <v>775</v>
      </c>
      <c r="B14" s="38" t="s">
        <v>776</v>
      </c>
      <c r="C14" s="38" t="s">
        <v>777</v>
      </c>
      <c r="D14" s="38" t="s">
        <v>778</v>
      </c>
      <c r="E14" s="38" t="s">
        <v>779</v>
      </c>
      <c r="F14" s="38" t="s">
        <v>780</v>
      </c>
      <c r="G14" s="38" t="s">
        <v>781</v>
      </c>
      <c r="H14" s="38" t="s">
        <v>782</v>
      </c>
      <c r="I14" s="38" t="s">
        <v>783</v>
      </c>
      <c r="J14" s="38" t="s">
        <v>784</v>
      </c>
      <c r="K14" s="38" t="s">
        <v>785</v>
      </c>
      <c r="L14" s="38" t="s">
        <v>786</v>
      </c>
      <c r="M14" s="38" t="s">
        <v>787</v>
      </c>
      <c r="N14" s="38" t="s">
        <v>788</v>
      </c>
    </row>
    <row r="15" spans="1:14" x14ac:dyDescent="0.3">
      <c r="A15" s="38" t="s">
        <v>789</v>
      </c>
      <c r="B15" s="38" t="s">
        <v>790</v>
      </c>
      <c r="C15" s="38" t="s">
        <v>791</v>
      </c>
      <c r="D15" s="38" t="s">
        <v>792</v>
      </c>
      <c r="E15" s="38" t="s">
        <v>793</v>
      </c>
      <c r="F15" s="38" t="s">
        <v>794</v>
      </c>
      <c r="G15" s="38" t="s">
        <v>795</v>
      </c>
      <c r="H15" s="38" t="s">
        <v>796</v>
      </c>
      <c r="I15" s="38" t="s">
        <v>797</v>
      </c>
      <c r="J15" s="38" t="s">
        <v>798</v>
      </c>
      <c r="K15" s="38" t="s">
        <v>799</v>
      </c>
      <c r="L15" s="38" t="s">
        <v>800</v>
      </c>
      <c r="M15" s="38" t="s">
        <v>801</v>
      </c>
      <c r="N15" s="38" t="s">
        <v>802</v>
      </c>
    </row>
    <row r="16" spans="1:14" x14ac:dyDescent="0.3">
      <c r="A16" s="38" t="s">
        <v>803</v>
      </c>
      <c r="B16" s="38" t="s">
        <v>804</v>
      </c>
      <c r="C16" s="38" t="s">
        <v>805</v>
      </c>
      <c r="D16" s="38" t="s">
        <v>806</v>
      </c>
      <c r="E16" s="38" t="s">
        <v>807</v>
      </c>
      <c r="F16" s="38" t="s">
        <v>808</v>
      </c>
      <c r="G16" s="38" t="s">
        <v>809</v>
      </c>
      <c r="H16" s="38" t="s">
        <v>810</v>
      </c>
      <c r="I16" s="38" t="s">
        <v>811</v>
      </c>
      <c r="J16" s="38" t="s">
        <v>812</v>
      </c>
      <c r="K16" s="38" t="s">
        <v>813</v>
      </c>
      <c r="L16" s="38" t="s">
        <v>814</v>
      </c>
      <c r="M16" s="38" t="s">
        <v>815</v>
      </c>
      <c r="N16" s="38" t="s">
        <v>816</v>
      </c>
    </row>
    <row r="17" spans="1:14" x14ac:dyDescent="0.3">
      <c r="A17" s="38" t="s">
        <v>817</v>
      </c>
      <c r="B17" s="38" t="s">
        <v>818</v>
      </c>
      <c r="C17" s="38" t="s">
        <v>819</v>
      </c>
      <c r="D17" s="38" t="s">
        <v>820</v>
      </c>
      <c r="E17" s="38" t="s">
        <v>821</v>
      </c>
      <c r="F17" s="38" t="s">
        <v>822</v>
      </c>
      <c r="G17" s="38" t="s">
        <v>823</v>
      </c>
      <c r="H17" s="38" t="s">
        <v>824</v>
      </c>
      <c r="I17" s="38" t="s">
        <v>825</v>
      </c>
      <c r="J17" s="38" t="s">
        <v>826</v>
      </c>
      <c r="K17" s="38" t="s">
        <v>827</v>
      </c>
      <c r="L17" s="38" t="s">
        <v>828</v>
      </c>
      <c r="M17" s="38" t="s">
        <v>829</v>
      </c>
      <c r="N17" s="38" t="s">
        <v>830</v>
      </c>
    </row>
    <row r="18" spans="1:14" x14ac:dyDescent="0.3">
      <c r="A18" s="38" t="s">
        <v>831</v>
      </c>
      <c r="B18" s="38" t="s">
        <v>832</v>
      </c>
      <c r="C18" s="38" t="s">
        <v>833</v>
      </c>
      <c r="D18" s="38" t="s">
        <v>834</v>
      </c>
      <c r="E18" s="38" t="s">
        <v>835</v>
      </c>
      <c r="F18" s="38" t="s">
        <v>836</v>
      </c>
      <c r="G18" s="38" t="s">
        <v>837</v>
      </c>
      <c r="H18" s="38" t="s">
        <v>838</v>
      </c>
      <c r="I18" s="38" t="s">
        <v>839</v>
      </c>
      <c r="J18" s="38" t="s">
        <v>840</v>
      </c>
      <c r="K18" s="38" t="s">
        <v>841</v>
      </c>
      <c r="L18" s="38" t="s">
        <v>842</v>
      </c>
      <c r="M18" s="38" t="s">
        <v>843</v>
      </c>
      <c r="N18" s="38" t="s">
        <v>844</v>
      </c>
    </row>
    <row r="19" spans="1:14" x14ac:dyDescent="0.3">
      <c r="A19" s="38" t="s">
        <v>845</v>
      </c>
      <c r="B19" s="38" t="s">
        <v>846</v>
      </c>
      <c r="C19" s="38" t="s">
        <v>847</v>
      </c>
      <c r="D19" s="38" t="s">
        <v>848</v>
      </c>
      <c r="E19" s="38" t="s">
        <v>849</v>
      </c>
      <c r="F19" s="38" t="s">
        <v>850</v>
      </c>
      <c r="G19" s="38" t="s">
        <v>851</v>
      </c>
      <c r="H19" s="38" t="s">
        <v>852</v>
      </c>
      <c r="I19" s="38" t="s">
        <v>853</v>
      </c>
      <c r="J19" s="38" t="s">
        <v>854</v>
      </c>
      <c r="K19" s="38" t="s">
        <v>855</v>
      </c>
      <c r="L19" s="38" t="s">
        <v>856</v>
      </c>
      <c r="M19" s="38" t="s">
        <v>857</v>
      </c>
      <c r="N19" s="38" t="s">
        <v>858</v>
      </c>
    </row>
    <row r="20" spans="1:14" x14ac:dyDescent="0.3">
      <c r="A20" s="38" t="s">
        <v>859</v>
      </c>
      <c r="B20" s="38" t="s">
        <v>860</v>
      </c>
      <c r="C20" s="38" t="s">
        <v>861</v>
      </c>
      <c r="D20" s="38" t="s">
        <v>862</v>
      </c>
      <c r="E20" s="38" t="s">
        <v>863</v>
      </c>
      <c r="F20" s="38" t="s">
        <v>864</v>
      </c>
      <c r="G20" s="38" t="s">
        <v>865</v>
      </c>
      <c r="H20" s="38" t="s">
        <v>866</v>
      </c>
      <c r="I20" s="38" t="s">
        <v>867</v>
      </c>
      <c r="J20" s="38" t="s">
        <v>868</v>
      </c>
      <c r="K20" s="38" t="s">
        <v>869</v>
      </c>
      <c r="L20" s="38" t="s">
        <v>870</v>
      </c>
      <c r="M20" s="38" t="s">
        <v>871</v>
      </c>
      <c r="N20" s="38" t="s">
        <v>872</v>
      </c>
    </row>
    <row r="21" spans="1:14" x14ac:dyDescent="0.3">
      <c r="A21" s="38" t="s">
        <v>873</v>
      </c>
      <c r="B21" s="38" t="s">
        <v>874</v>
      </c>
      <c r="C21" s="38" t="s">
        <v>875</v>
      </c>
      <c r="D21" s="38" t="s">
        <v>876</v>
      </c>
      <c r="E21" s="38" t="s">
        <v>877</v>
      </c>
      <c r="F21" s="38" t="s">
        <v>878</v>
      </c>
      <c r="G21" s="38" t="s">
        <v>879</v>
      </c>
      <c r="H21" s="38" t="s">
        <v>880</v>
      </c>
      <c r="I21" s="38" t="s">
        <v>881</v>
      </c>
      <c r="J21" s="38" t="s">
        <v>882</v>
      </c>
      <c r="K21" s="38" t="s">
        <v>883</v>
      </c>
      <c r="L21" s="38" t="s">
        <v>884</v>
      </c>
      <c r="M21" s="38" t="s">
        <v>885</v>
      </c>
      <c r="N21" s="38" t="s">
        <v>886</v>
      </c>
    </row>
    <row r="22" spans="1:14" x14ac:dyDescent="0.3">
      <c r="A22" s="38" t="s">
        <v>887</v>
      </c>
      <c r="B22" s="38" t="s">
        <v>888</v>
      </c>
      <c r="C22" s="38" t="s">
        <v>889</v>
      </c>
      <c r="D22" s="38" t="s">
        <v>890</v>
      </c>
      <c r="E22" s="38" t="s">
        <v>891</v>
      </c>
      <c r="F22" s="38" t="s">
        <v>892</v>
      </c>
      <c r="G22" s="38" t="s">
        <v>893</v>
      </c>
      <c r="H22" s="38" t="s">
        <v>894</v>
      </c>
      <c r="I22" s="38" t="s">
        <v>895</v>
      </c>
      <c r="J22" s="38" t="s">
        <v>896</v>
      </c>
      <c r="K22" s="38" t="s">
        <v>897</v>
      </c>
      <c r="L22" s="38" t="s">
        <v>898</v>
      </c>
      <c r="M22" s="38" t="s">
        <v>899</v>
      </c>
      <c r="N22" s="38" t="s">
        <v>900</v>
      </c>
    </row>
    <row r="23" spans="1:14" x14ac:dyDescent="0.3">
      <c r="A23" s="38" t="s">
        <v>901</v>
      </c>
      <c r="B23" s="38" t="s">
        <v>902</v>
      </c>
      <c r="C23" s="38" t="s">
        <v>903</v>
      </c>
      <c r="D23" s="38" t="s">
        <v>904</v>
      </c>
      <c r="E23" s="38" t="s">
        <v>905</v>
      </c>
      <c r="F23" s="38" t="s">
        <v>906</v>
      </c>
      <c r="G23" s="38" t="s">
        <v>907</v>
      </c>
      <c r="H23" s="38" t="s">
        <v>908</v>
      </c>
      <c r="I23" s="38" t="s">
        <v>909</v>
      </c>
      <c r="J23" s="38" t="s">
        <v>910</v>
      </c>
      <c r="K23" s="38" t="s">
        <v>911</v>
      </c>
      <c r="L23" s="38" t="s">
        <v>912</v>
      </c>
      <c r="M23" s="38" t="s">
        <v>913</v>
      </c>
      <c r="N23" s="38" t="s">
        <v>914</v>
      </c>
    </row>
    <row r="24" spans="1:14" x14ac:dyDescent="0.3">
      <c r="A24" s="38" t="s">
        <v>915</v>
      </c>
      <c r="B24" s="38" t="s">
        <v>916</v>
      </c>
      <c r="C24" s="38" t="s">
        <v>917</v>
      </c>
      <c r="D24" s="38" t="s">
        <v>918</v>
      </c>
      <c r="E24" s="38" t="s">
        <v>919</v>
      </c>
      <c r="F24" s="38" t="s">
        <v>920</v>
      </c>
      <c r="G24" s="38" t="s">
        <v>921</v>
      </c>
      <c r="H24" s="38" t="s">
        <v>922</v>
      </c>
      <c r="I24" s="38" t="s">
        <v>923</v>
      </c>
      <c r="J24" s="38" t="s">
        <v>924</v>
      </c>
      <c r="K24" s="38" t="s">
        <v>925</v>
      </c>
      <c r="L24" s="38" t="s">
        <v>926</v>
      </c>
      <c r="M24" s="38" t="s">
        <v>927</v>
      </c>
      <c r="N24" s="38" t="s">
        <v>928</v>
      </c>
    </row>
    <row r="25" spans="1:14" x14ac:dyDescent="0.3">
      <c r="A25" s="38" t="s">
        <v>929</v>
      </c>
      <c r="B25" s="38" t="s">
        <v>930</v>
      </c>
      <c r="C25" s="38" t="s">
        <v>931</v>
      </c>
      <c r="D25" s="38" t="s">
        <v>932</v>
      </c>
      <c r="E25" s="38" t="s">
        <v>933</v>
      </c>
      <c r="F25" s="38" t="s">
        <v>934</v>
      </c>
      <c r="G25" s="38" t="s">
        <v>935</v>
      </c>
      <c r="H25" s="38" t="s">
        <v>936</v>
      </c>
      <c r="I25" s="38" t="s">
        <v>937</v>
      </c>
      <c r="J25" s="38" t="s">
        <v>938</v>
      </c>
      <c r="K25" s="38" t="s">
        <v>939</v>
      </c>
      <c r="L25" s="38" t="s">
        <v>940</v>
      </c>
      <c r="M25" s="38" t="s">
        <v>941</v>
      </c>
      <c r="N25" s="38" t="s">
        <v>942</v>
      </c>
    </row>
    <row r="26" spans="1:14" x14ac:dyDescent="0.3">
      <c r="A26" s="38" t="s">
        <v>943</v>
      </c>
      <c r="B26" s="38" t="s">
        <v>944</v>
      </c>
      <c r="C26" s="38" t="s">
        <v>945</v>
      </c>
      <c r="D26" s="38" t="s">
        <v>946</v>
      </c>
      <c r="E26" s="38" t="s">
        <v>947</v>
      </c>
      <c r="F26" s="38" t="s">
        <v>948</v>
      </c>
      <c r="G26" s="38" t="s">
        <v>949</v>
      </c>
      <c r="H26" s="38" t="s">
        <v>950</v>
      </c>
      <c r="I26" s="38" t="s">
        <v>951</v>
      </c>
      <c r="J26" s="38" t="s">
        <v>952</v>
      </c>
      <c r="K26" s="38" t="s">
        <v>953</v>
      </c>
      <c r="L26" s="38" t="s">
        <v>954</v>
      </c>
      <c r="M26" s="38" t="s">
        <v>955</v>
      </c>
      <c r="N26" s="38" t="s">
        <v>956</v>
      </c>
    </row>
    <row r="27" spans="1:14" x14ac:dyDescent="0.3">
      <c r="A27" s="38" t="s">
        <v>957</v>
      </c>
      <c r="B27" s="38" t="s">
        <v>958</v>
      </c>
      <c r="C27" s="38" t="s">
        <v>959</v>
      </c>
      <c r="D27" s="38" t="s">
        <v>960</v>
      </c>
      <c r="E27" s="38" t="s">
        <v>961</v>
      </c>
      <c r="F27" s="38" t="s">
        <v>962</v>
      </c>
      <c r="G27" s="38" t="s">
        <v>963</v>
      </c>
      <c r="H27" s="38" t="s">
        <v>964</v>
      </c>
      <c r="I27" s="38" t="s">
        <v>965</v>
      </c>
      <c r="J27" s="38" t="s">
        <v>966</v>
      </c>
      <c r="K27" s="38" t="s">
        <v>967</v>
      </c>
      <c r="L27" s="38" t="s">
        <v>968</v>
      </c>
      <c r="M27" s="38" t="s">
        <v>969</v>
      </c>
      <c r="N27" s="38" t="s">
        <v>970</v>
      </c>
    </row>
    <row r="28" spans="1:14" x14ac:dyDescent="0.3">
      <c r="A28" s="38" t="s">
        <v>971</v>
      </c>
      <c r="B28" s="38" t="s">
        <v>972</v>
      </c>
      <c r="C28" s="38" t="s">
        <v>973</v>
      </c>
      <c r="D28" s="38" t="s">
        <v>974</v>
      </c>
      <c r="E28" s="38" t="s">
        <v>975</v>
      </c>
      <c r="F28" s="38" t="s">
        <v>976</v>
      </c>
      <c r="G28" s="38" t="s">
        <v>977</v>
      </c>
      <c r="H28" s="38" t="s">
        <v>978</v>
      </c>
      <c r="I28" s="38" t="s">
        <v>979</v>
      </c>
      <c r="J28" s="38" t="s">
        <v>980</v>
      </c>
      <c r="K28" s="38" t="s">
        <v>981</v>
      </c>
      <c r="L28" s="38" t="s">
        <v>982</v>
      </c>
      <c r="M28" s="38" t="s">
        <v>983</v>
      </c>
      <c r="N28" s="38" t="s">
        <v>984</v>
      </c>
    </row>
    <row r="29" spans="1:14" x14ac:dyDescent="0.3">
      <c r="A29" s="38" t="s">
        <v>985</v>
      </c>
      <c r="B29" s="38" t="s">
        <v>986</v>
      </c>
      <c r="C29" s="38" t="s">
        <v>987</v>
      </c>
      <c r="D29" s="38" t="s">
        <v>988</v>
      </c>
      <c r="E29" s="38" t="s">
        <v>989</v>
      </c>
      <c r="F29" s="38" t="s">
        <v>990</v>
      </c>
      <c r="G29" s="38" t="s">
        <v>991</v>
      </c>
      <c r="H29" s="38" t="s">
        <v>992</v>
      </c>
      <c r="I29" s="38" t="s">
        <v>993</v>
      </c>
      <c r="J29" s="38" t="s">
        <v>994</v>
      </c>
      <c r="K29" s="38" t="s">
        <v>995</v>
      </c>
      <c r="L29" s="38" t="s">
        <v>996</v>
      </c>
      <c r="M29" s="38" t="s">
        <v>997</v>
      </c>
      <c r="N29" s="38" t="s">
        <v>998</v>
      </c>
    </row>
    <row r="30" spans="1:14" x14ac:dyDescent="0.3">
      <c r="A30" s="38" t="s">
        <v>999</v>
      </c>
      <c r="B30" s="38" t="s">
        <v>1000</v>
      </c>
      <c r="C30" s="38" t="s">
        <v>1001</v>
      </c>
      <c r="D30" s="38" t="s">
        <v>1002</v>
      </c>
      <c r="E30" s="38" t="s">
        <v>1003</v>
      </c>
      <c r="F30" s="38" t="s">
        <v>1004</v>
      </c>
      <c r="G30" s="38" t="s">
        <v>1005</v>
      </c>
      <c r="H30" s="38" t="s">
        <v>1006</v>
      </c>
      <c r="I30" s="38" t="s">
        <v>1007</v>
      </c>
      <c r="J30" s="38" t="s">
        <v>1008</v>
      </c>
      <c r="K30" s="38" t="s">
        <v>1009</v>
      </c>
      <c r="L30" s="38" t="s">
        <v>1010</v>
      </c>
      <c r="M30" s="38" t="s">
        <v>1011</v>
      </c>
      <c r="N30" s="38" t="s">
        <v>1012</v>
      </c>
    </row>
    <row r="31" spans="1:14" x14ac:dyDescent="0.3">
      <c r="A31" s="38" t="s">
        <v>1013</v>
      </c>
      <c r="B31" s="38" t="s">
        <v>1014</v>
      </c>
      <c r="C31" s="38" t="s">
        <v>1015</v>
      </c>
      <c r="D31" s="38" t="s">
        <v>1016</v>
      </c>
      <c r="E31" s="38" t="s">
        <v>1017</v>
      </c>
      <c r="F31" s="38" t="s">
        <v>1018</v>
      </c>
      <c r="G31" s="38" t="s">
        <v>1019</v>
      </c>
      <c r="H31" s="38" t="s">
        <v>1020</v>
      </c>
      <c r="I31" s="38" t="s">
        <v>1021</v>
      </c>
      <c r="J31" s="38" t="s">
        <v>1022</v>
      </c>
      <c r="K31" s="38" t="s">
        <v>1023</v>
      </c>
      <c r="L31" s="38" t="s">
        <v>1024</v>
      </c>
      <c r="M31" s="38" t="s">
        <v>1025</v>
      </c>
      <c r="N31" s="38" t="s">
        <v>1026</v>
      </c>
    </row>
    <row r="32" spans="1:14" x14ac:dyDescent="0.3">
      <c r="A32" s="38" t="s">
        <v>1027</v>
      </c>
      <c r="B32" s="38" t="s">
        <v>1028</v>
      </c>
      <c r="C32" s="38" t="s">
        <v>1029</v>
      </c>
      <c r="D32" s="38" t="s">
        <v>1030</v>
      </c>
      <c r="E32" s="38" t="s">
        <v>1031</v>
      </c>
      <c r="F32" s="38" t="s">
        <v>1032</v>
      </c>
      <c r="G32" s="38" t="s">
        <v>1033</v>
      </c>
      <c r="H32" s="38" t="s">
        <v>1034</v>
      </c>
      <c r="I32" s="38" t="s">
        <v>1035</v>
      </c>
      <c r="J32" s="38" t="s">
        <v>1036</v>
      </c>
      <c r="K32" s="38" t="s">
        <v>1037</v>
      </c>
      <c r="L32" s="38" t="s">
        <v>1038</v>
      </c>
      <c r="M32" s="38" t="s">
        <v>1039</v>
      </c>
      <c r="N32" s="38" t="s">
        <v>1040</v>
      </c>
    </row>
    <row r="33" spans="1:14" x14ac:dyDescent="0.3">
      <c r="A33" s="38" t="s">
        <v>1041</v>
      </c>
      <c r="B33" s="38" t="s">
        <v>1042</v>
      </c>
      <c r="C33" s="38" t="s">
        <v>1043</v>
      </c>
      <c r="D33" s="38" t="s">
        <v>1044</v>
      </c>
      <c r="E33" s="38" t="s">
        <v>1045</v>
      </c>
      <c r="F33" s="38" t="s">
        <v>1046</v>
      </c>
      <c r="G33" s="38" t="s">
        <v>1047</v>
      </c>
      <c r="H33" s="38" t="s">
        <v>1048</v>
      </c>
      <c r="I33" s="38" t="s">
        <v>1049</v>
      </c>
      <c r="J33" s="38" t="s">
        <v>1050</v>
      </c>
      <c r="K33" s="38" t="s">
        <v>1051</v>
      </c>
      <c r="L33" s="38" t="s">
        <v>1052</v>
      </c>
      <c r="M33" s="38" t="s">
        <v>1053</v>
      </c>
      <c r="N33" s="38" t="s">
        <v>1054</v>
      </c>
    </row>
    <row r="34" spans="1:14" x14ac:dyDescent="0.3">
      <c r="A34" s="38" t="s">
        <v>1055</v>
      </c>
      <c r="B34" s="38" t="s">
        <v>1056</v>
      </c>
      <c r="C34" s="38" t="s">
        <v>1057</v>
      </c>
      <c r="D34" s="38" t="s">
        <v>1058</v>
      </c>
      <c r="E34" s="38" t="s">
        <v>1059</v>
      </c>
      <c r="F34" s="38" t="s">
        <v>1060</v>
      </c>
      <c r="G34" s="38" t="s">
        <v>1061</v>
      </c>
      <c r="H34" s="38" t="s">
        <v>1062</v>
      </c>
      <c r="I34" s="38" t="s">
        <v>1063</v>
      </c>
      <c r="J34" s="38" t="s">
        <v>1064</v>
      </c>
      <c r="K34" s="38" t="s">
        <v>1065</v>
      </c>
      <c r="L34" s="38" t="s">
        <v>1066</v>
      </c>
      <c r="M34" s="38" t="s">
        <v>1067</v>
      </c>
      <c r="N34" s="38" t="s">
        <v>1068</v>
      </c>
    </row>
    <row r="35" spans="1:14" x14ac:dyDescent="0.3">
      <c r="A35" s="38" t="s">
        <v>1069</v>
      </c>
      <c r="B35" s="38" t="s">
        <v>1070</v>
      </c>
      <c r="C35" s="38" t="s">
        <v>1071</v>
      </c>
      <c r="D35" s="38" t="s">
        <v>1072</v>
      </c>
      <c r="E35" s="38" t="s">
        <v>1073</v>
      </c>
      <c r="F35" s="38" t="s">
        <v>1074</v>
      </c>
      <c r="G35" s="38" t="s">
        <v>1075</v>
      </c>
      <c r="H35" s="38" t="s">
        <v>1076</v>
      </c>
      <c r="I35" s="38" t="s">
        <v>1077</v>
      </c>
      <c r="J35" s="38" t="s">
        <v>1078</v>
      </c>
      <c r="K35" s="38" t="s">
        <v>1079</v>
      </c>
      <c r="L35" s="38" t="s">
        <v>1080</v>
      </c>
      <c r="M35" s="38" t="s">
        <v>1081</v>
      </c>
      <c r="N35" s="38" t="s">
        <v>1082</v>
      </c>
    </row>
    <row r="36" spans="1:14" x14ac:dyDescent="0.3">
      <c r="A36" s="38" t="s">
        <v>1083</v>
      </c>
      <c r="B36" s="38" t="s">
        <v>1084</v>
      </c>
      <c r="C36" s="38" t="s">
        <v>1085</v>
      </c>
      <c r="D36" s="38" t="s">
        <v>1086</v>
      </c>
      <c r="E36" s="38" t="s">
        <v>1087</v>
      </c>
      <c r="F36" s="38" t="s">
        <v>1088</v>
      </c>
      <c r="G36" s="38" t="s">
        <v>1089</v>
      </c>
      <c r="H36" s="38" t="s">
        <v>1090</v>
      </c>
      <c r="I36" s="38" t="s">
        <v>1091</v>
      </c>
      <c r="J36" s="38" t="s">
        <v>1092</v>
      </c>
      <c r="K36" s="38" t="s">
        <v>1093</v>
      </c>
      <c r="L36" s="38" t="s">
        <v>1094</v>
      </c>
      <c r="M36" s="38" t="s">
        <v>1095</v>
      </c>
      <c r="N36" s="38" t="s">
        <v>1096</v>
      </c>
    </row>
    <row r="37" spans="1:14" x14ac:dyDescent="0.3">
      <c r="A37" s="38" t="s">
        <v>1097</v>
      </c>
      <c r="B37" s="38" t="s">
        <v>1098</v>
      </c>
      <c r="C37" s="38" t="s">
        <v>1099</v>
      </c>
      <c r="D37" s="38" t="s">
        <v>1100</v>
      </c>
      <c r="E37" s="38" t="s">
        <v>1101</v>
      </c>
      <c r="F37" s="38" t="s">
        <v>1102</v>
      </c>
      <c r="G37" s="38" t="s">
        <v>1103</v>
      </c>
      <c r="H37" s="38" t="s">
        <v>1104</v>
      </c>
      <c r="I37" s="38" t="s">
        <v>1105</v>
      </c>
      <c r="J37" s="38" t="s">
        <v>1106</v>
      </c>
      <c r="K37" s="38" t="s">
        <v>1107</v>
      </c>
      <c r="L37" s="38" t="s">
        <v>1108</v>
      </c>
      <c r="M37" s="38" t="s">
        <v>1109</v>
      </c>
      <c r="N37" s="38" t="s">
        <v>1110</v>
      </c>
    </row>
    <row r="38" spans="1:14" x14ac:dyDescent="0.3">
      <c r="A38" s="38" t="s">
        <v>1111</v>
      </c>
      <c r="B38" s="38" t="s">
        <v>1112</v>
      </c>
      <c r="C38" s="38" t="s">
        <v>1113</v>
      </c>
      <c r="D38" s="38" t="s">
        <v>1114</v>
      </c>
      <c r="E38" s="38" t="s">
        <v>1115</v>
      </c>
      <c r="F38" s="38" t="s">
        <v>1116</v>
      </c>
      <c r="G38" s="38" t="s">
        <v>1117</v>
      </c>
      <c r="H38" s="38" t="s">
        <v>1118</v>
      </c>
      <c r="I38" s="38" t="s">
        <v>1119</v>
      </c>
      <c r="J38" s="38" t="s">
        <v>1120</v>
      </c>
      <c r="K38" s="38" t="s">
        <v>1121</v>
      </c>
      <c r="L38" s="38" t="s">
        <v>1122</v>
      </c>
      <c r="M38" s="38" t="s">
        <v>1123</v>
      </c>
      <c r="N38" s="38" t="s">
        <v>1124</v>
      </c>
    </row>
    <row r="39" spans="1:14" x14ac:dyDescent="0.3">
      <c r="A39" s="38" t="s">
        <v>1125</v>
      </c>
      <c r="B39" s="38" t="s">
        <v>1126</v>
      </c>
      <c r="C39" s="38" t="s">
        <v>1127</v>
      </c>
      <c r="D39" s="38" t="s">
        <v>1128</v>
      </c>
      <c r="E39" s="38" t="s">
        <v>1129</v>
      </c>
      <c r="F39" s="38" t="s">
        <v>1130</v>
      </c>
      <c r="G39" s="38" t="s">
        <v>1131</v>
      </c>
      <c r="H39" s="38" t="s">
        <v>1132</v>
      </c>
      <c r="I39" s="38" t="s">
        <v>1133</v>
      </c>
      <c r="J39" s="38" t="s">
        <v>1134</v>
      </c>
      <c r="K39" s="38" t="s">
        <v>1135</v>
      </c>
      <c r="L39" s="38" t="s">
        <v>1136</v>
      </c>
      <c r="M39" s="38" t="s">
        <v>1137</v>
      </c>
      <c r="N39" s="38" t="s">
        <v>1138</v>
      </c>
    </row>
    <row r="40" spans="1:14" x14ac:dyDescent="0.3">
      <c r="A40" s="38" t="s">
        <v>1139</v>
      </c>
      <c r="B40" s="38" t="s">
        <v>1140</v>
      </c>
      <c r="C40" s="38" t="s">
        <v>1141</v>
      </c>
      <c r="D40" s="38" t="s">
        <v>1142</v>
      </c>
      <c r="E40" s="38" t="s">
        <v>1143</v>
      </c>
      <c r="F40" s="38" t="s">
        <v>1144</v>
      </c>
      <c r="G40" s="38" t="s">
        <v>1145</v>
      </c>
      <c r="H40" s="38" t="s">
        <v>1146</v>
      </c>
      <c r="I40" s="38" t="s">
        <v>1147</v>
      </c>
      <c r="J40" s="38" t="s">
        <v>1148</v>
      </c>
      <c r="K40" s="38" t="s">
        <v>1149</v>
      </c>
      <c r="L40" s="38" t="s">
        <v>1150</v>
      </c>
      <c r="M40" s="38" t="s">
        <v>1151</v>
      </c>
      <c r="N40" s="38" t="s">
        <v>1152</v>
      </c>
    </row>
    <row r="41" spans="1:14" x14ac:dyDescent="0.3">
      <c r="A41" s="38" t="s">
        <v>1153</v>
      </c>
      <c r="B41" s="38" t="s">
        <v>1154</v>
      </c>
      <c r="C41" s="38" t="s">
        <v>1155</v>
      </c>
      <c r="D41" s="38" t="s">
        <v>1156</v>
      </c>
      <c r="E41" s="38" t="s">
        <v>1157</v>
      </c>
      <c r="F41" s="38" t="s">
        <v>1158</v>
      </c>
      <c r="G41" s="38" t="s">
        <v>1159</v>
      </c>
      <c r="H41" s="38" t="s">
        <v>1160</v>
      </c>
      <c r="I41" s="38" t="s">
        <v>1161</v>
      </c>
      <c r="J41" s="38" t="s">
        <v>1162</v>
      </c>
      <c r="K41" s="38" t="s">
        <v>1163</v>
      </c>
      <c r="L41" s="38" t="s">
        <v>1164</v>
      </c>
      <c r="M41" s="38" t="s">
        <v>1165</v>
      </c>
      <c r="N41" s="38" t="s">
        <v>1166</v>
      </c>
    </row>
    <row r="42" spans="1:14" x14ac:dyDescent="0.3">
      <c r="A42" s="38" t="s">
        <v>1167</v>
      </c>
      <c r="B42" s="38" t="s">
        <v>1168</v>
      </c>
      <c r="C42" s="38" t="s">
        <v>1169</v>
      </c>
      <c r="D42" s="38" t="s">
        <v>1170</v>
      </c>
      <c r="E42" s="38" t="s">
        <v>1171</v>
      </c>
      <c r="F42" s="38" t="s">
        <v>1172</v>
      </c>
      <c r="G42" s="38" t="s">
        <v>1173</v>
      </c>
      <c r="H42" s="38" t="s">
        <v>1174</v>
      </c>
      <c r="I42" s="38" t="s">
        <v>1175</v>
      </c>
      <c r="J42" s="38" t="s">
        <v>1176</v>
      </c>
      <c r="K42" s="38" t="s">
        <v>1177</v>
      </c>
      <c r="L42" s="38" t="s">
        <v>1178</v>
      </c>
      <c r="M42" s="38" t="s">
        <v>1179</v>
      </c>
      <c r="N42" s="38" t="s">
        <v>1180</v>
      </c>
    </row>
    <row r="43" spans="1:14" x14ac:dyDescent="0.3">
      <c r="A43" s="38" t="s">
        <v>1181</v>
      </c>
      <c r="B43" s="38" t="s">
        <v>1182</v>
      </c>
      <c r="C43" s="38" t="s">
        <v>1183</v>
      </c>
      <c r="D43" s="38" t="s">
        <v>1184</v>
      </c>
      <c r="E43" s="38" t="s">
        <v>1185</v>
      </c>
      <c r="F43" s="38" t="s">
        <v>1186</v>
      </c>
      <c r="G43" s="38" t="s">
        <v>1187</v>
      </c>
      <c r="H43" s="38" t="s">
        <v>1188</v>
      </c>
      <c r="I43" s="38" t="s">
        <v>1189</v>
      </c>
      <c r="J43" s="38" t="s">
        <v>1190</v>
      </c>
      <c r="K43" s="38" t="s">
        <v>1191</v>
      </c>
      <c r="L43" s="38" t="s">
        <v>1192</v>
      </c>
      <c r="M43" s="38" t="s">
        <v>1193</v>
      </c>
      <c r="N43" s="38" t="s">
        <v>1194</v>
      </c>
    </row>
    <row r="44" spans="1:14" x14ac:dyDescent="0.3">
      <c r="A44" s="38" t="s">
        <v>1195</v>
      </c>
      <c r="B44" s="38" t="s">
        <v>1196</v>
      </c>
      <c r="C44" s="38" t="s">
        <v>1197</v>
      </c>
      <c r="D44" s="38" t="s">
        <v>1198</v>
      </c>
      <c r="E44" s="38" t="s">
        <v>1199</v>
      </c>
      <c r="F44" s="38" t="s">
        <v>1200</v>
      </c>
      <c r="G44" s="38" t="s">
        <v>1201</v>
      </c>
      <c r="H44" s="38" t="s">
        <v>1202</v>
      </c>
      <c r="I44" s="38" t="s">
        <v>1203</v>
      </c>
      <c r="J44" s="38" t="s">
        <v>1204</v>
      </c>
      <c r="K44" s="38" t="s">
        <v>1205</v>
      </c>
      <c r="L44" s="38" t="s">
        <v>1206</v>
      </c>
      <c r="M44" s="38" t="s">
        <v>1207</v>
      </c>
      <c r="N44" s="38" t="s">
        <v>1208</v>
      </c>
    </row>
    <row r="45" spans="1:14" x14ac:dyDescent="0.3">
      <c r="A45" s="38" t="s">
        <v>1209</v>
      </c>
      <c r="B45" s="38" t="s">
        <v>1210</v>
      </c>
      <c r="C45" s="38" t="s">
        <v>1211</v>
      </c>
      <c r="D45" s="38" t="s">
        <v>1212</v>
      </c>
      <c r="E45" s="38" t="s">
        <v>1213</v>
      </c>
      <c r="F45" s="38" t="s">
        <v>1214</v>
      </c>
      <c r="G45" s="38" t="s">
        <v>1215</v>
      </c>
      <c r="H45" s="38" t="s">
        <v>1216</v>
      </c>
      <c r="I45" s="38" t="s">
        <v>1217</v>
      </c>
      <c r="J45" s="38" t="s">
        <v>1218</v>
      </c>
      <c r="K45" s="38" t="s">
        <v>1219</v>
      </c>
      <c r="L45" s="38" t="s">
        <v>1220</v>
      </c>
      <c r="M45" s="38" t="s">
        <v>1221</v>
      </c>
      <c r="N45" s="38" t="s">
        <v>1222</v>
      </c>
    </row>
    <row r="46" spans="1:14" x14ac:dyDescent="0.3">
      <c r="A46" s="38" t="s">
        <v>1223</v>
      </c>
      <c r="B46" s="38" t="s">
        <v>1224</v>
      </c>
      <c r="C46" s="38" t="s">
        <v>1225</v>
      </c>
      <c r="D46" s="38" t="s">
        <v>1226</v>
      </c>
      <c r="E46" s="38" t="s">
        <v>1227</v>
      </c>
      <c r="F46" s="38" t="s">
        <v>1228</v>
      </c>
      <c r="G46" s="38" t="s">
        <v>1229</v>
      </c>
      <c r="H46" s="38" t="s">
        <v>1230</v>
      </c>
      <c r="I46" s="38" t="s">
        <v>1231</v>
      </c>
      <c r="J46" s="38" t="s">
        <v>1232</v>
      </c>
      <c r="K46" s="38" t="s">
        <v>1233</v>
      </c>
      <c r="L46" s="38" t="s">
        <v>1234</v>
      </c>
      <c r="M46" s="38" t="s">
        <v>1235</v>
      </c>
      <c r="N46" s="38" t="s">
        <v>1236</v>
      </c>
    </row>
    <row r="47" spans="1:14" x14ac:dyDescent="0.3">
      <c r="A47" s="38" t="s">
        <v>1237</v>
      </c>
      <c r="B47" s="38" t="s">
        <v>1238</v>
      </c>
      <c r="C47" s="38" t="s">
        <v>1239</v>
      </c>
      <c r="D47" s="38" t="s">
        <v>1240</v>
      </c>
      <c r="E47" s="38" t="s">
        <v>1241</v>
      </c>
      <c r="F47" s="38" t="s">
        <v>1242</v>
      </c>
      <c r="G47" s="38" t="s">
        <v>1243</v>
      </c>
      <c r="H47" s="38" t="s">
        <v>1244</v>
      </c>
      <c r="I47" s="38" t="s">
        <v>1245</v>
      </c>
      <c r="J47" s="38" t="s">
        <v>1246</v>
      </c>
      <c r="K47" s="38" t="s">
        <v>1247</v>
      </c>
      <c r="L47" s="38" t="s">
        <v>1248</v>
      </c>
      <c r="M47" s="38" t="s">
        <v>1249</v>
      </c>
      <c r="N47" s="38" t="s">
        <v>1250</v>
      </c>
    </row>
    <row r="48" spans="1:14" x14ac:dyDescent="0.3">
      <c r="A48" s="38" t="s">
        <v>1251</v>
      </c>
      <c r="B48" s="38" t="s">
        <v>1252</v>
      </c>
      <c r="C48" s="38" t="s">
        <v>1253</v>
      </c>
      <c r="D48" s="38" t="s">
        <v>1254</v>
      </c>
      <c r="E48" s="38" t="s">
        <v>1255</v>
      </c>
      <c r="F48" s="38" t="s">
        <v>1256</v>
      </c>
      <c r="G48" s="38" t="s">
        <v>1257</v>
      </c>
      <c r="H48" s="38" t="s">
        <v>1258</v>
      </c>
      <c r="I48" s="38" t="s">
        <v>1259</v>
      </c>
      <c r="J48" s="38" t="s">
        <v>1260</v>
      </c>
      <c r="K48" s="38" t="s">
        <v>1261</v>
      </c>
      <c r="L48" s="38" t="s">
        <v>1262</v>
      </c>
      <c r="M48" s="38" t="s">
        <v>1263</v>
      </c>
      <c r="N48" s="38" t="s">
        <v>1264</v>
      </c>
    </row>
    <row r="49" spans="1:14" x14ac:dyDescent="0.3">
      <c r="A49" s="38" t="s">
        <v>1265</v>
      </c>
      <c r="B49" s="38" t="s">
        <v>1266</v>
      </c>
      <c r="C49" s="38" t="s">
        <v>1267</v>
      </c>
      <c r="D49" s="38" t="s">
        <v>1268</v>
      </c>
      <c r="E49" s="38" t="s">
        <v>1269</v>
      </c>
      <c r="F49" s="38" t="s">
        <v>1270</v>
      </c>
      <c r="G49" s="38" t="s">
        <v>1271</v>
      </c>
      <c r="H49" s="38" t="s">
        <v>1272</v>
      </c>
      <c r="I49" s="38" t="s">
        <v>1273</v>
      </c>
      <c r="J49" s="38" t="s">
        <v>1274</v>
      </c>
      <c r="K49" s="38" t="s">
        <v>1275</v>
      </c>
      <c r="L49" s="38" t="s">
        <v>1276</v>
      </c>
      <c r="M49" s="38" t="s">
        <v>1277</v>
      </c>
      <c r="N49" s="38" t="s">
        <v>1278</v>
      </c>
    </row>
    <row r="50" spans="1:14" x14ac:dyDescent="0.3">
      <c r="A50" s="38" t="s">
        <v>1279</v>
      </c>
      <c r="B50" s="38" t="s">
        <v>1280</v>
      </c>
      <c r="C50" s="38" t="s">
        <v>1281</v>
      </c>
      <c r="D50" s="38" t="s">
        <v>1282</v>
      </c>
      <c r="E50" s="38" t="s">
        <v>1283</v>
      </c>
      <c r="F50" s="38" t="s">
        <v>1284</v>
      </c>
      <c r="G50" s="38" t="s">
        <v>1285</v>
      </c>
      <c r="H50" s="38" t="s">
        <v>1286</v>
      </c>
      <c r="I50" s="38" t="s">
        <v>1287</v>
      </c>
      <c r="J50" s="38" t="s">
        <v>1288</v>
      </c>
      <c r="K50" s="38" t="s">
        <v>1289</v>
      </c>
      <c r="L50" s="38" t="s">
        <v>1290</v>
      </c>
      <c r="M50" s="38" t="s">
        <v>1291</v>
      </c>
      <c r="N50" s="38" t="s">
        <v>1292</v>
      </c>
    </row>
    <row r="51" spans="1:14" x14ac:dyDescent="0.3">
      <c r="A51" s="38" t="s">
        <v>1293</v>
      </c>
      <c r="B51" s="38" t="s">
        <v>1294</v>
      </c>
      <c r="C51" s="38" t="s">
        <v>1295</v>
      </c>
      <c r="D51" s="38" t="s">
        <v>1296</v>
      </c>
      <c r="E51" s="38" t="s">
        <v>1297</v>
      </c>
      <c r="F51" s="38" t="s">
        <v>1298</v>
      </c>
      <c r="G51" s="38" t="s">
        <v>1299</v>
      </c>
      <c r="H51" s="38" t="s">
        <v>1300</v>
      </c>
      <c r="I51" s="38" t="s">
        <v>1301</v>
      </c>
      <c r="J51" s="38" t="s">
        <v>1302</v>
      </c>
      <c r="K51" s="38" t="s">
        <v>1303</v>
      </c>
      <c r="L51" s="38" t="s">
        <v>1304</v>
      </c>
      <c r="M51" s="38" t="s">
        <v>1305</v>
      </c>
      <c r="N51" s="38" t="s">
        <v>1306</v>
      </c>
    </row>
    <row r="52" spans="1:14" x14ac:dyDescent="0.3">
      <c r="A52" s="38" t="s">
        <v>1307</v>
      </c>
      <c r="B52" s="38" t="s">
        <v>1308</v>
      </c>
      <c r="C52" s="38" t="s">
        <v>1309</v>
      </c>
      <c r="D52" s="38" t="s">
        <v>1310</v>
      </c>
      <c r="E52" s="38" t="s">
        <v>1311</v>
      </c>
      <c r="F52" s="38" t="s">
        <v>1312</v>
      </c>
      <c r="G52" s="38" t="s">
        <v>1313</v>
      </c>
      <c r="H52" s="38" t="s">
        <v>1314</v>
      </c>
      <c r="I52" s="38" t="s">
        <v>1315</v>
      </c>
      <c r="J52" s="38" t="s">
        <v>1316</v>
      </c>
      <c r="K52" s="38" t="s">
        <v>1317</v>
      </c>
      <c r="L52" s="38" t="s">
        <v>1318</v>
      </c>
      <c r="M52" s="38" t="s">
        <v>1319</v>
      </c>
      <c r="N52" s="38" t="s">
        <v>1320</v>
      </c>
    </row>
    <row r="53" spans="1:14" x14ac:dyDescent="0.3">
      <c r="A53" s="38" t="s">
        <v>1321</v>
      </c>
      <c r="B53" s="38" t="s">
        <v>1322</v>
      </c>
      <c r="C53" s="38" t="s">
        <v>1323</v>
      </c>
      <c r="D53" s="38" t="s">
        <v>1324</v>
      </c>
      <c r="E53" s="38" t="s">
        <v>1325</v>
      </c>
      <c r="F53" s="38" t="s">
        <v>1326</v>
      </c>
      <c r="G53" s="38" t="s">
        <v>1327</v>
      </c>
      <c r="H53" s="38" t="s">
        <v>1328</v>
      </c>
      <c r="I53" s="38" t="s">
        <v>1329</v>
      </c>
      <c r="J53" s="38" t="s">
        <v>1330</v>
      </c>
      <c r="K53" s="38" t="s">
        <v>1331</v>
      </c>
      <c r="L53" s="38" t="s">
        <v>1332</v>
      </c>
      <c r="M53" s="38" t="s">
        <v>1333</v>
      </c>
      <c r="N53" s="38" t="s">
        <v>1334</v>
      </c>
    </row>
    <row r="54" spans="1:14" x14ac:dyDescent="0.3">
      <c r="A54" s="38" t="s">
        <v>1335</v>
      </c>
      <c r="B54" s="38" t="s">
        <v>1336</v>
      </c>
      <c r="C54" s="38" t="s">
        <v>1337</v>
      </c>
      <c r="D54" s="38" t="s">
        <v>1338</v>
      </c>
      <c r="E54" s="38" t="s">
        <v>1339</v>
      </c>
      <c r="F54" s="38" t="s">
        <v>1340</v>
      </c>
      <c r="G54" s="38" t="s">
        <v>1341</v>
      </c>
      <c r="H54" s="38" t="s">
        <v>1342</v>
      </c>
      <c r="I54" s="38" t="s">
        <v>1343</v>
      </c>
      <c r="J54" s="38" t="s">
        <v>1344</v>
      </c>
      <c r="K54" s="38" t="s">
        <v>1345</v>
      </c>
      <c r="L54" s="38" t="s">
        <v>1346</v>
      </c>
      <c r="M54" s="38" t="s">
        <v>1347</v>
      </c>
      <c r="N54" s="38" t="s">
        <v>1348</v>
      </c>
    </row>
    <row r="55" spans="1:14" x14ac:dyDescent="0.3">
      <c r="A55" s="38" t="s">
        <v>1349</v>
      </c>
      <c r="B55" s="38" t="s">
        <v>1350</v>
      </c>
      <c r="C55" s="38" t="s">
        <v>1351</v>
      </c>
      <c r="D55" s="38" t="s">
        <v>1352</v>
      </c>
      <c r="E55" s="38" t="s">
        <v>1353</v>
      </c>
      <c r="F55" s="38" t="s">
        <v>1354</v>
      </c>
      <c r="G55" s="38" t="s">
        <v>1355</v>
      </c>
      <c r="H55" s="38" t="s">
        <v>1356</v>
      </c>
      <c r="I55" s="38" t="s">
        <v>1357</v>
      </c>
      <c r="J55" s="38" t="s">
        <v>1358</v>
      </c>
      <c r="K55" s="38" t="s">
        <v>1359</v>
      </c>
      <c r="L55" s="38" t="s">
        <v>1360</v>
      </c>
      <c r="M55" s="38" t="s">
        <v>1361</v>
      </c>
      <c r="N55" s="38" t="s">
        <v>1362</v>
      </c>
    </row>
    <row r="56" spans="1:14" x14ac:dyDescent="0.3">
      <c r="A56" s="38" t="s">
        <v>1363</v>
      </c>
      <c r="B56" s="38" t="s">
        <v>1364</v>
      </c>
      <c r="C56" s="38" t="s">
        <v>1365</v>
      </c>
      <c r="D56" s="38" t="s">
        <v>1366</v>
      </c>
      <c r="E56" s="38" t="s">
        <v>1367</v>
      </c>
      <c r="F56" s="38" t="s">
        <v>1368</v>
      </c>
      <c r="G56" s="38" t="s">
        <v>1369</v>
      </c>
      <c r="H56" s="38" t="s">
        <v>1370</v>
      </c>
      <c r="I56" s="38" t="s">
        <v>1371</v>
      </c>
      <c r="J56" s="38" t="s">
        <v>1372</v>
      </c>
      <c r="K56" s="38" t="s">
        <v>1373</v>
      </c>
      <c r="L56" s="38" t="s">
        <v>1374</v>
      </c>
      <c r="M56" s="38" t="s">
        <v>1375</v>
      </c>
      <c r="N56" s="38" t="s">
        <v>1376</v>
      </c>
    </row>
    <row r="57" spans="1:14" x14ac:dyDescent="0.3">
      <c r="A57" s="38" t="s">
        <v>1377</v>
      </c>
      <c r="B57" s="38" t="s">
        <v>1378</v>
      </c>
      <c r="C57" s="38" t="s">
        <v>1379</v>
      </c>
      <c r="D57" s="38" t="s">
        <v>1380</v>
      </c>
      <c r="E57" s="38" t="s">
        <v>1381</v>
      </c>
      <c r="F57" s="38" t="s">
        <v>1382</v>
      </c>
      <c r="G57" s="38" t="s">
        <v>1383</v>
      </c>
      <c r="H57" s="38" t="s">
        <v>1384</v>
      </c>
      <c r="I57" s="38" t="s">
        <v>1385</v>
      </c>
      <c r="J57" s="38" t="s">
        <v>1386</v>
      </c>
      <c r="K57" s="38" t="s">
        <v>1387</v>
      </c>
      <c r="L57" s="38" t="s">
        <v>1388</v>
      </c>
      <c r="M57" s="38" t="s">
        <v>1389</v>
      </c>
      <c r="N57" s="38" t="s">
        <v>1390</v>
      </c>
    </row>
    <row r="58" spans="1:14" x14ac:dyDescent="0.3">
      <c r="A58" s="38" t="s">
        <v>1391</v>
      </c>
      <c r="B58" s="38" t="s">
        <v>1392</v>
      </c>
      <c r="C58" s="38" t="s">
        <v>1393</v>
      </c>
      <c r="D58" s="38" t="s">
        <v>1394</v>
      </c>
      <c r="E58" s="38" t="s">
        <v>1395</v>
      </c>
      <c r="F58" s="38" t="s">
        <v>1396</v>
      </c>
      <c r="G58" s="38" t="s">
        <v>1397</v>
      </c>
      <c r="H58" s="38" t="s">
        <v>1398</v>
      </c>
      <c r="I58" s="38" t="s">
        <v>1399</v>
      </c>
      <c r="J58" s="38" t="s">
        <v>1400</v>
      </c>
      <c r="K58" s="38" t="s">
        <v>1401</v>
      </c>
      <c r="L58" s="38" t="s">
        <v>1402</v>
      </c>
      <c r="M58" s="38" t="s">
        <v>1403</v>
      </c>
      <c r="N58" s="38" t="s">
        <v>1404</v>
      </c>
    </row>
    <row r="59" spans="1:14" x14ac:dyDescent="0.3">
      <c r="A59" s="38" t="s">
        <v>1405</v>
      </c>
      <c r="B59" s="38" t="s">
        <v>1406</v>
      </c>
      <c r="C59" s="38" t="s">
        <v>1407</v>
      </c>
      <c r="D59" s="38" t="s">
        <v>1408</v>
      </c>
      <c r="E59" s="38" t="s">
        <v>1409</v>
      </c>
      <c r="F59" s="38" t="s">
        <v>1410</v>
      </c>
      <c r="G59" s="38" t="s">
        <v>1411</v>
      </c>
      <c r="H59" s="38" t="s">
        <v>1412</v>
      </c>
      <c r="I59" s="38" t="s">
        <v>1413</v>
      </c>
      <c r="J59" s="38" t="s">
        <v>1414</v>
      </c>
      <c r="K59" s="38" t="s">
        <v>1415</v>
      </c>
      <c r="L59" s="38" t="s">
        <v>1416</v>
      </c>
      <c r="M59" s="38" t="s">
        <v>1417</v>
      </c>
      <c r="N59" s="38" t="s">
        <v>1418</v>
      </c>
    </row>
    <row r="60" spans="1:14" x14ac:dyDescent="0.3">
      <c r="A60" s="38" t="s">
        <v>1419</v>
      </c>
      <c r="B60" s="38" t="s">
        <v>1420</v>
      </c>
      <c r="C60" s="38" t="s">
        <v>1421</v>
      </c>
      <c r="D60" s="38" t="s">
        <v>1422</v>
      </c>
      <c r="E60" s="38" t="s">
        <v>1423</v>
      </c>
      <c r="F60" s="38" t="s">
        <v>1424</v>
      </c>
      <c r="G60" s="38" t="s">
        <v>1425</v>
      </c>
      <c r="H60" s="38" t="s">
        <v>1426</v>
      </c>
      <c r="I60" s="38" t="s">
        <v>1427</v>
      </c>
      <c r="J60" s="38" t="s">
        <v>1428</v>
      </c>
      <c r="K60" s="38" t="s">
        <v>1429</v>
      </c>
      <c r="L60" s="38" t="s">
        <v>1430</v>
      </c>
      <c r="M60" s="38" t="s">
        <v>1431</v>
      </c>
      <c r="N60" s="38" t="s">
        <v>1432</v>
      </c>
    </row>
    <row r="61" spans="1:14" x14ac:dyDescent="0.3">
      <c r="A61" s="38" t="s">
        <v>1433</v>
      </c>
      <c r="B61" s="38" t="s">
        <v>1434</v>
      </c>
      <c r="C61" s="38" t="s">
        <v>1435</v>
      </c>
      <c r="D61" s="38" t="s">
        <v>1436</v>
      </c>
      <c r="E61" s="38" t="s">
        <v>1437</v>
      </c>
      <c r="F61" s="38" t="s">
        <v>1438</v>
      </c>
      <c r="G61" s="38" t="s">
        <v>1439</v>
      </c>
      <c r="H61" s="38" t="s">
        <v>1440</v>
      </c>
      <c r="I61" s="38" t="s">
        <v>1441</v>
      </c>
      <c r="J61" s="38" t="s">
        <v>1442</v>
      </c>
      <c r="K61" s="38" t="s">
        <v>1443</v>
      </c>
      <c r="L61" s="38" t="s">
        <v>1444</v>
      </c>
      <c r="M61" s="38" t="s">
        <v>1445</v>
      </c>
      <c r="N61" s="38" t="s">
        <v>1446</v>
      </c>
    </row>
    <row r="62" spans="1:14" x14ac:dyDescent="0.3">
      <c r="A62" s="38" t="s">
        <v>1447</v>
      </c>
      <c r="B62" s="38" t="s">
        <v>1448</v>
      </c>
      <c r="C62" s="38" t="s">
        <v>1449</v>
      </c>
      <c r="D62" s="38" t="s">
        <v>1450</v>
      </c>
      <c r="E62" s="38" t="s">
        <v>1451</v>
      </c>
      <c r="F62" s="38" t="s">
        <v>1452</v>
      </c>
      <c r="G62" s="38" t="s">
        <v>1453</v>
      </c>
      <c r="H62" s="38" t="s">
        <v>1454</v>
      </c>
      <c r="I62" s="38" t="s">
        <v>1455</v>
      </c>
      <c r="J62" s="38" t="s">
        <v>1456</v>
      </c>
      <c r="K62" s="38" t="s">
        <v>1457</v>
      </c>
      <c r="L62" s="38" t="s">
        <v>1458</v>
      </c>
      <c r="M62" s="38" t="s">
        <v>1459</v>
      </c>
      <c r="N62" s="38" t="s">
        <v>1460</v>
      </c>
    </row>
    <row r="63" spans="1:14" x14ac:dyDescent="0.3">
      <c r="A63" s="38" t="s">
        <v>1461</v>
      </c>
      <c r="B63" s="38" t="s">
        <v>1462</v>
      </c>
      <c r="C63" s="38" t="s">
        <v>1463</v>
      </c>
      <c r="D63" s="38" t="s">
        <v>1464</v>
      </c>
      <c r="E63" s="38" t="s">
        <v>1465</v>
      </c>
      <c r="F63" s="38" t="s">
        <v>1466</v>
      </c>
      <c r="G63" s="38" t="s">
        <v>1467</v>
      </c>
      <c r="H63" s="38" t="s">
        <v>1468</v>
      </c>
      <c r="I63" s="38" t="s">
        <v>1469</v>
      </c>
      <c r="J63" s="38" t="s">
        <v>1470</v>
      </c>
      <c r="K63" s="38" t="s">
        <v>1471</v>
      </c>
      <c r="L63" s="38" t="s">
        <v>1472</v>
      </c>
      <c r="M63" s="38" t="s">
        <v>1473</v>
      </c>
      <c r="N63" s="38" t="s">
        <v>1474</v>
      </c>
    </row>
    <row r="64" spans="1:14" x14ac:dyDescent="0.3">
      <c r="A64" s="38" t="s">
        <v>1475</v>
      </c>
      <c r="B64" s="38" t="s">
        <v>1476</v>
      </c>
      <c r="C64" s="38" t="s">
        <v>1477</v>
      </c>
      <c r="D64" s="38" t="s">
        <v>1478</v>
      </c>
      <c r="E64" s="38" t="s">
        <v>1479</v>
      </c>
      <c r="F64" s="38" t="s">
        <v>1480</v>
      </c>
      <c r="G64" s="38" t="s">
        <v>1481</v>
      </c>
      <c r="H64" s="38" t="s">
        <v>1482</v>
      </c>
      <c r="I64" s="38" t="s">
        <v>1483</v>
      </c>
      <c r="J64" s="38" t="s">
        <v>1484</v>
      </c>
      <c r="K64" s="38" t="s">
        <v>1485</v>
      </c>
      <c r="L64" s="38" t="s">
        <v>1486</v>
      </c>
      <c r="M64" s="38" t="s">
        <v>1487</v>
      </c>
      <c r="N64" s="38" t="s">
        <v>1488</v>
      </c>
    </row>
    <row r="65" spans="1:14" x14ac:dyDescent="0.3">
      <c r="A65" s="38" t="s">
        <v>1489</v>
      </c>
      <c r="B65" s="38" t="s">
        <v>1490</v>
      </c>
      <c r="C65" s="38" t="s">
        <v>1491</v>
      </c>
      <c r="D65" s="38" t="s">
        <v>1492</v>
      </c>
      <c r="E65" s="38" t="s">
        <v>1493</v>
      </c>
      <c r="F65" s="38" t="s">
        <v>1494</v>
      </c>
      <c r="G65" s="38" t="s">
        <v>1495</v>
      </c>
      <c r="H65" s="38" t="s">
        <v>1496</v>
      </c>
      <c r="I65" s="38" t="s">
        <v>1497</v>
      </c>
      <c r="J65" s="38" t="s">
        <v>1498</v>
      </c>
      <c r="K65" s="38" t="s">
        <v>1499</v>
      </c>
      <c r="L65" s="38" t="s">
        <v>1500</v>
      </c>
      <c r="M65" s="38" t="s">
        <v>1501</v>
      </c>
      <c r="N65" s="38" t="s">
        <v>1502</v>
      </c>
    </row>
    <row r="66" spans="1:14" x14ac:dyDescent="0.3">
      <c r="A66" s="38" t="s">
        <v>1503</v>
      </c>
      <c r="B66" s="38" t="s">
        <v>1504</v>
      </c>
      <c r="C66" s="38" t="s">
        <v>1505</v>
      </c>
      <c r="D66" s="38" t="s">
        <v>1506</v>
      </c>
      <c r="E66" s="38" t="s">
        <v>1507</v>
      </c>
      <c r="F66" s="38" t="s">
        <v>1508</v>
      </c>
      <c r="G66" s="38" t="s">
        <v>1509</v>
      </c>
      <c r="H66" s="38" t="s">
        <v>1510</v>
      </c>
      <c r="I66" s="38" t="s">
        <v>1511</v>
      </c>
      <c r="J66" s="38" t="s">
        <v>1512</v>
      </c>
      <c r="K66" s="38" t="s">
        <v>1513</v>
      </c>
      <c r="L66" s="38" t="s">
        <v>1514</v>
      </c>
      <c r="M66" s="38" t="s">
        <v>1515</v>
      </c>
      <c r="N66" s="38" t="s">
        <v>1516</v>
      </c>
    </row>
    <row r="67" spans="1:14" x14ac:dyDescent="0.3">
      <c r="A67" s="38" t="s">
        <v>1517</v>
      </c>
      <c r="B67" s="38" t="s">
        <v>1518</v>
      </c>
      <c r="C67" s="38" t="s">
        <v>1519</v>
      </c>
      <c r="D67" s="38" t="s">
        <v>1520</v>
      </c>
      <c r="E67" s="38" t="s">
        <v>1521</v>
      </c>
      <c r="F67" s="38" t="s">
        <v>1522</v>
      </c>
      <c r="G67" s="38" t="s">
        <v>1523</v>
      </c>
      <c r="H67" s="38" t="s">
        <v>1524</v>
      </c>
      <c r="I67" s="38" t="s">
        <v>1525</v>
      </c>
      <c r="J67" s="38" t="s">
        <v>1526</v>
      </c>
      <c r="K67" s="38" t="s">
        <v>1527</v>
      </c>
      <c r="L67" s="38" t="s">
        <v>1528</v>
      </c>
      <c r="M67" s="38" t="s">
        <v>1529</v>
      </c>
      <c r="N67" s="38" t="s">
        <v>1530</v>
      </c>
    </row>
    <row r="68" spans="1:14" x14ac:dyDescent="0.3">
      <c r="A68" s="38" t="s">
        <v>1531</v>
      </c>
      <c r="B68" s="38" t="s">
        <v>1532</v>
      </c>
      <c r="C68" s="38" t="s">
        <v>1533</v>
      </c>
      <c r="D68" s="38" t="s">
        <v>1534</v>
      </c>
      <c r="E68" s="38" t="s">
        <v>1535</v>
      </c>
      <c r="F68" s="38" t="s">
        <v>1536</v>
      </c>
      <c r="G68" s="38" t="s">
        <v>1537</v>
      </c>
      <c r="H68" s="38" t="s">
        <v>1538</v>
      </c>
      <c r="I68" s="38" t="s">
        <v>1539</v>
      </c>
      <c r="J68" s="38" t="s">
        <v>1540</v>
      </c>
      <c r="K68" s="38" t="s">
        <v>1541</v>
      </c>
      <c r="L68" s="38" t="s">
        <v>1542</v>
      </c>
      <c r="M68" s="38" t="s">
        <v>1543</v>
      </c>
      <c r="N68" s="38" t="s">
        <v>1544</v>
      </c>
    </row>
    <row r="69" spans="1:14" x14ac:dyDescent="0.3">
      <c r="A69" s="38" t="s">
        <v>1545</v>
      </c>
      <c r="B69" s="38" t="s">
        <v>1546</v>
      </c>
      <c r="C69" s="38" t="s">
        <v>1547</v>
      </c>
      <c r="D69" s="38" t="s">
        <v>1548</v>
      </c>
      <c r="E69" s="38" t="s">
        <v>1549</v>
      </c>
      <c r="F69" s="38" t="s">
        <v>1550</v>
      </c>
      <c r="G69" s="38" t="s">
        <v>1551</v>
      </c>
      <c r="H69" s="38" t="s">
        <v>1552</v>
      </c>
      <c r="I69" s="38" t="s">
        <v>1553</v>
      </c>
      <c r="J69" s="38" t="s">
        <v>1554</v>
      </c>
      <c r="K69" s="38" t="s">
        <v>1555</v>
      </c>
      <c r="L69" s="38" t="s">
        <v>1556</v>
      </c>
      <c r="M69" s="38" t="s">
        <v>1557</v>
      </c>
      <c r="N69" s="38" t="s">
        <v>1558</v>
      </c>
    </row>
    <row r="70" spans="1:14" x14ac:dyDescent="0.3">
      <c r="A70" s="38" t="s">
        <v>1559</v>
      </c>
      <c r="B70" s="38" t="s">
        <v>1560</v>
      </c>
      <c r="C70" s="38" t="s">
        <v>1561</v>
      </c>
      <c r="D70" s="38" t="s">
        <v>1562</v>
      </c>
      <c r="E70" s="38" t="s">
        <v>1563</v>
      </c>
      <c r="F70" s="38" t="s">
        <v>1564</v>
      </c>
      <c r="G70" s="38" t="s">
        <v>1565</v>
      </c>
      <c r="H70" s="38" t="s">
        <v>1566</v>
      </c>
      <c r="I70" s="38" t="s">
        <v>1567</v>
      </c>
      <c r="J70" s="38" t="s">
        <v>1568</v>
      </c>
      <c r="K70" s="38" t="s">
        <v>1569</v>
      </c>
      <c r="L70" s="38" t="s">
        <v>1570</v>
      </c>
      <c r="M70" s="38" t="s">
        <v>1571</v>
      </c>
      <c r="N70" s="38" t="s">
        <v>1572</v>
      </c>
    </row>
    <row r="71" spans="1:14" x14ac:dyDescent="0.3">
      <c r="A71" s="38" t="s">
        <v>1573</v>
      </c>
      <c r="B71" s="38" t="s">
        <v>1574</v>
      </c>
      <c r="C71" s="38" t="s">
        <v>1575</v>
      </c>
      <c r="D71" s="38" t="s">
        <v>1576</v>
      </c>
      <c r="E71" s="38" t="s">
        <v>1577</v>
      </c>
      <c r="F71" s="38" t="s">
        <v>1578</v>
      </c>
      <c r="G71" s="38" t="s">
        <v>1579</v>
      </c>
      <c r="H71" s="38" t="s">
        <v>1580</v>
      </c>
      <c r="I71" s="38" t="s">
        <v>1581</v>
      </c>
      <c r="J71" s="38" t="s">
        <v>1582</v>
      </c>
      <c r="K71" s="38" t="s">
        <v>1583</v>
      </c>
      <c r="L71" s="38" t="s">
        <v>1584</v>
      </c>
      <c r="M71" s="38" t="s">
        <v>1585</v>
      </c>
      <c r="N71" s="38" t="s">
        <v>1586</v>
      </c>
    </row>
    <row r="72" spans="1:14" x14ac:dyDescent="0.3">
      <c r="A72" s="38" t="s">
        <v>1587</v>
      </c>
      <c r="B72" s="38" t="s">
        <v>1588</v>
      </c>
      <c r="C72" s="38" t="s">
        <v>1589</v>
      </c>
      <c r="D72" s="38" t="s">
        <v>1590</v>
      </c>
      <c r="E72" s="38" t="s">
        <v>1591</v>
      </c>
      <c r="F72" s="38" t="s">
        <v>1592</v>
      </c>
      <c r="G72" s="38" t="s">
        <v>1593</v>
      </c>
      <c r="H72" s="38" t="s">
        <v>1594</v>
      </c>
      <c r="I72" s="38" t="s">
        <v>1595</v>
      </c>
      <c r="J72" s="38" t="s">
        <v>1596</v>
      </c>
      <c r="K72" s="38" t="s">
        <v>1597</v>
      </c>
      <c r="L72" s="38" t="s">
        <v>1598</v>
      </c>
      <c r="M72" s="38" t="s">
        <v>1599</v>
      </c>
      <c r="N72" s="38" t="s">
        <v>1600</v>
      </c>
    </row>
    <row r="73" spans="1:14" x14ac:dyDescent="0.3">
      <c r="A73" s="38" t="s">
        <v>1601</v>
      </c>
      <c r="B73" s="38" t="s">
        <v>1602</v>
      </c>
      <c r="C73" s="38" t="s">
        <v>1603</v>
      </c>
      <c r="D73" s="38" t="s">
        <v>1604</v>
      </c>
      <c r="E73" s="38" t="s">
        <v>1605</v>
      </c>
      <c r="F73" s="38" t="s">
        <v>1606</v>
      </c>
      <c r="G73" s="38" t="s">
        <v>1607</v>
      </c>
      <c r="H73" s="38" t="s">
        <v>1608</v>
      </c>
      <c r="I73" s="38" t="s">
        <v>1609</v>
      </c>
      <c r="J73" s="38" t="s">
        <v>1610</v>
      </c>
      <c r="K73" s="38" t="s">
        <v>1611</v>
      </c>
      <c r="L73" s="38" t="s">
        <v>1612</v>
      </c>
      <c r="M73" s="38" t="s">
        <v>1613</v>
      </c>
      <c r="N73" s="38" t="s">
        <v>1614</v>
      </c>
    </row>
    <row r="74" spans="1:14" x14ac:dyDescent="0.3">
      <c r="A74" s="38" t="s">
        <v>1615</v>
      </c>
      <c r="B74" s="38" t="s">
        <v>1616</v>
      </c>
      <c r="C74" s="38" t="s">
        <v>1617</v>
      </c>
      <c r="D74" s="38" t="s">
        <v>1618</v>
      </c>
      <c r="E74" s="38" t="s">
        <v>1619</v>
      </c>
      <c r="F74" s="38" t="s">
        <v>1620</v>
      </c>
      <c r="G74" s="38" t="s">
        <v>1621</v>
      </c>
      <c r="H74" s="38" t="s">
        <v>1622</v>
      </c>
      <c r="I74" s="38" t="s">
        <v>1623</v>
      </c>
      <c r="J74" s="38" t="s">
        <v>1624</v>
      </c>
      <c r="K74" s="38" t="s">
        <v>1625</v>
      </c>
      <c r="L74" s="38" t="s">
        <v>1626</v>
      </c>
      <c r="M74" s="38" t="s">
        <v>1627</v>
      </c>
      <c r="N74" s="38" t="s">
        <v>1628</v>
      </c>
    </row>
    <row r="75" spans="1:14" x14ac:dyDescent="0.3">
      <c r="A75" s="38" t="s">
        <v>1629</v>
      </c>
      <c r="B75" s="38" t="s">
        <v>1630</v>
      </c>
      <c r="C75" s="38" t="s">
        <v>1631</v>
      </c>
      <c r="D75" s="38" t="s">
        <v>1632</v>
      </c>
      <c r="E75" s="38" t="s">
        <v>1633</v>
      </c>
      <c r="F75" s="38" t="s">
        <v>1634</v>
      </c>
      <c r="G75" s="38" t="s">
        <v>1635</v>
      </c>
      <c r="H75" s="38" t="s">
        <v>1636</v>
      </c>
      <c r="I75" s="38" t="s">
        <v>1637</v>
      </c>
      <c r="J75" s="38" t="s">
        <v>1638</v>
      </c>
      <c r="K75" s="38" t="s">
        <v>1639</v>
      </c>
      <c r="L75" s="38" t="s">
        <v>1640</v>
      </c>
      <c r="M75" s="38" t="s">
        <v>1641</v>
      </c>
      <c r="N75" s="38" t="s">
        <v>1642</v>
      </c>
    </row>
    <row r="76" spans="1:14" x14ac:dyDescent="0.3">
      <c r="A76" s="38" t="s">
        <v>1643</v>
      </c>
      <c r="B76" s="38" t="s">
        <v>1644</v>
      </c>
      <c r="C76" s="38" t="s">
        <v>1645</v>
      </c>
      <c r="D76" s="38" t="s">
        <v>1646</v>
      </c>
      <c r="E76" s="38" t="s">
        <v>1647</v>
      </c>
      <c r="F76" s="38" t="s">
        <v>1648</v>
      </c>
      <c r="G76" s="38" t="s">
        <v>1649</v>
      </c>
      <c r="H76" s="38" t="s">
        <v>1650</v>
      </c>
      <c r="I76" s="38" t="s">
        <v>1651</v>
      </c>
      <c r="J76" s="38" t="s">
        <v>1652</v>
      </c>
      <c r="K76" s="38" t="s">
        <v>1653</v>
      </c>
      <c r="L76" s="38" t="s">
        <v>1654</v>
      </c>
      <c r="M76" s="38" t="s">
        <v>1655</v>
      </c>
      <c r="N76" s="38" t="s">
        <v>1656</v>
      </c>
    </row>
    <row r="77" spans="1:14" x14ac:dyDescent="0.3">
      <c r="A77" s="38" t="s">
        <v>1657</v>
      </c>
      <c r="B77" s="38" t="s">
        <v>1658</v>
      </c>
      <c r="C77" s="38" t="s">
        <v>1659</v>
      </c>
      <c r="D77" s="38" t="s">
        <v>1660</v>
      </c>
      <c r="E77" s="38" t="s">
        <v>1661</v>
      </c>
      <c r="F77" s="38" t="s">
        <v>1662</v>
      </c>
      <c r="G77" s="38" t="s">
        <v>1663</v>
      </c>
      <c r="H77" s="38" t="s">
        <v>1664</v>
      </c>
      <c r="I77" s="38" t="s">
        <v>1665</v>
      </c>
      <c r="J77" s="38" t="s">
        <v>1666</v>
      </c>
      <c r="K77" s="38" t="s">
        <v>1667</v>
      </c>
      <c r="L77" s="38" t="s">
        <v>1668</v>
      </c>
      <c r="M77" s="38" t="s">
        <v>1669</v>
      </c>
      <c r="N77" s="38" t="s">
        <v>1670</v>
      </c>
    </row>
    <row r="78" spans="1:14" x14ac:dyDescent="0.3">
      <c r="A78" s="38" t="s">
        <v>1671</v>
      </c>
      <c r="B78" s="38" t="s">
        <v>1672</v>
      </c>
      <c r="C78" s="38" t="s">
        <v>1673</v>
      </c>
      <c r="D78" s="38" t="s">
        <v>1674</v>
      </c>
      <c r="E78" s="38" t="s">
        <v>1675</v>
      </c>
      <c r="F78" s="38" t="s">
        <v>1676</v>
      </c>
      <c r="G78" s="38" t="s">
        <v>1677</v>
      </c>
      <c r="H78" s="38" t="s">
        <v>1678</v>
      </c>
      <c r="I78" s="38" t="s">
        <v>1679</v>
      </c>
      <c r="J78" s="38" t="s">
        <v>1680</v>
      </c>
      <c r="K78" s="38" t="s">
        <v>1681</v>
      </c>
      <c r="L78" s="38" t="s">
        <v>1682</v>
      </c>
      <c r="M78" s="38" t="s">
        <v>1683</v>
      </c>
      <c r="N78" s="38" t="s">
        <v>1684</v>
      </c>
    </row>
    <row r="79" spans="1:14" x14ac:dyDescent="0.3">
      <c r="A79" s="38" t="s">
        <v>1685</v>
      </c>
      <c r="B79" s="38" t="s">
        <v>1686</v>
      </c>
      <c r="C79" s="38" t="s">
        <v>1687</v>
      </c>
      <c r="D79" s="38" t="s">
        <v>1688</v>
      </c>
      <c r="E79" s="38" t="s">
        <v>1689</v>
      </c>
      <c r="F79" s="38" t="s">
        <v>1690</v>
      </c>
      <c r="G79" s="38" t="s">
        <v>1691</v>
      </c>
      <c r="H79" s="38" t="s">
        <v>1692</v>
      </c>
      <c r="I79" s="38" t="s">
        <v>1693</v>
      </c>
      <c r="J79" s="38" t="s">
        <v>1694</v>
      </c>
      <c r="K79" s="38" t="s">
        <v>1695</v>
      </c>
      <c r="L79" s="38" t="s">
        <v>1696</v>
      </c>
      <c r="M79" s="38" t="s">
        <v>1697</v>
      </c>
      <c r="N79" s="38" t="s">
        <v>1698</v>
      </c>
    </row>
    <row r="80" spans="1:14" x14ac:dyDescent="0.3">
      <c r="A80" s="38" t="s">
        <v>1699</v>
      </c>
      <c r="B80" s="38" t="s">
        <v>1700</v>
      </c>
      <c r="C80" s="38" t="s">
        <v>1701</v>
      </c>
      <c r="D80" s="38" t="s">
        <v>1702</v>
      </c>
      <c r="E80" s="38" t="s">
        <v>1703</v>
      </c>
      <c r="F80" s="38" t="s">
        <v>1704</v>
      </c>
      <c r="G80" s="38" t="s">
        <v>1705</v>
      </c>
      <c r="H80" s="38" t="s">
        <v>1706</v>
      </c>
      <c r="I80" s="38" t="s">
        <v>1707</v>
      </c>
      <c r="J80" s="38" t="s">
        <v>1708</v>
      </c>
      <c r="K80" s="38" t="s">
        <v>1709</v>
      </c>
      <c r="L80" s="38" t="s">
        <v>1710</v>
      </c>
      <c r="M80" s="38" t="s">
        <v>1711</v>
      </c>
      <c r="N80" s="38" t="s">
        <v>1712</v>
      </c>
    </row>
    <row r="81" spans="1:14" x14ac:dyDescent="0.3">
      <c r="A81" s="38" t="s">
        <v>1713</v>
      </c>
      <c r="B81" s="38" t="s">
        <v>1714</v>
      </c>
      <c r="C81" s="38" t="s">
        <v>1715</v>
      </c>
      <c r="D81" s="38" t="s">
        <v>1716</v>
      </c>
      <c r="E81" s="38" t="s">
        <v>1717</v>
      </c>
      <c r="F81" s="38" t="s">
        <v>1718</v>
      </c>
      <c r="G81" s="38" t="s">
        <v>1719</v>
      </c>
      <c r="H81" s="38" t="s">
        <v>1720</v>
      </c>
      <c r="I81" s="38" t="s">
        <v>1721</v>
      </c>
      <c r="J81" s="38" t="s">
        <v>1722</v>
      </c>
      <c r="K81" s="38" t="s">
        <v>1723</v>
      </c>
      <c r="L81" s="38" t="s">
        <v>1724</v>
      </c>
      <c r="M81" s="38" t="s">
        <v>1725</v>
      </c>
      <c r="N81" s="38" t="s">
        <v>1726</v>
      </c>
    </row>
    <row r="82" spans="1:14" x14ac:dyDescent="0.3">
      <c r="A82" s="38" t="s">
        <v>1727</v>
      </c>
      <c r="B82" s="38" t="s">
        <v>1728</v>
      </c>
      <c r="C82" s="38" t="s">
        <v>1729</v>
      </c>
      <c r="D82" s="38" t="s">
        <v>1730</v>
      </c>
      <c r="E82" s="38" t="s">
        <v>1731</v>
      </c>
      <c r="F82" s="38" t="s">
        <v>1732</v>
      </c>
      <c r="G82" s="38" t="s">
        <v>1733</v>
      </c>
      <c r="H82" s="38" t="s">
        <v>1734</v>
      </c>
      <c r="I82" s="38" t="s">
        <v>1735</v>
      </c>
      <c r="J82" s="38" t="s">
        <v>1736</v>
      </c>
      <c r="K82" s="38" t="s">
        <v>1737</v>
      </c>
      <c r="L82" s="38" t="s">
        <v>1738</v>
      </c>
      <c r="M82" s="38" t="s">
        <v>1739</v>
      </c>
      <c r="N82" s="38" t="s">
        <v>1740</v>
      </c>
    </row>
    <row r="83" spans="1:14" x14ac:dyDescent="0.3">
      <c r="A83" s="38" t="s">
        <v>1741</v>
      </c>
      <c r="B83" s="38" t="s">
        <v>1742</v>
      </c>
      <c r="C83" s="38" t="s">
        <v>1743</v>
      </c>
      <c r="D83" s="38" t="s">
        <v>1744</v>
      </c>
      <c r="E83" s="38" t="s">
        <v>1745</v>
      </c>
      <c r="F83" s="38" t="s">
        <v>1746</v>
      </c>
      <c r="G83" s="38" t="s">
        <v>1747</v>
      </c>
      <c r="H83" s="38" t="s">
        <v>1748</v>
      </c>
      <c r="I83" s="38" t="s">
        <v>1749</v>
      </c>
      <c r="J83" s="38" t="s">
        <v>1750</v>
      </c>
      <c r="K83" s="38" t="s">
        <v>1751</v>
      </c>
      <c r="L83" s="38" t="s">
        <v>1752</v>
      </c>
      <c r="M83" s="38" t="s">
        <v>1753</v>
      </c>
      <c r="N83" s="38" t="s">
        <v>1754</v>
      </c>
    </row>
    <row r="84" spans="1:14" x14ac:dyDescent="0.3">
      <c r="A84" s="38" t="s">
        <v>1755</v>
      </c>
      <c r="B84" s="38" t="s">
        <v>1756</v>
      </c>
      <c r="C84" s="38" t="s">
        <v>1757</v>
      </c>
      <c r="D84" s="38" t="s">
        <v>1758</v>
      </c>
      <c r="E84" s="38" t="s">
        <v>1759</v>
      </c>
      <c r="F84" s="38" t="s">
        <v>1760</v>
      </c>
      <c r="G84" s="38" t="s">
        <v>1761</v>
      </c>
      <c r="H84" s="38" t="s">
        <v>1762</v>
      </c>
      <c r="I84" s="38" t="s">
        <v>1763</v>
      </c>
      <c r="J84" s="38" t="s">
        <v>1764</v>
      </c>
      <c r="K84" s="38" t="s">
        <v>1765</v>
      </c>
      <c r="L84" s="38" t="s">
        <v>1766</v>
      </c>
      <c r="M84" s="38" t="s">
        <v>1767</v>
      </c>
      <c r="N84" s="38" t="s">
        <v>1768</v>
      </c>
    </row>
    <row r="85" spans="1:14" x14ac:dyDescent="0.3">
      <c r="A85" s="38" t="s">
        <v>1769</v>
      </c>
      <c r="B85" s="38" t="s">
        <v>1770</v>
      </c>
      <c r="C85" s="38" t="s">
        <v>1771</v>
      </c>
      <c r="D85" s="38" t="s">
        <v>1772</v>
      </c>
      <c r="E85" s="38" t="s">
        <v>1773</v>
      </c>
      <c r="F85" s="38" t="s">
        <v>1774</v>
      </c>
      <c r="G85" s="38" t="s">
        <v>1775</v>
      </c>
      <c r="H85" s="38" t="s">
        <v>1776</v>
      </c>
      <c r="I85" s="38" t="s">
        <v>1777</v>
      </c>
      <c r="J85" s="38" t="s">
        <v>1778</v>
      </c>
      <c r="K85" s="38" t="s">
        <v>1779</v>
      </c>
      <c r="L85" s="38" t="s">
        <v>1780</v>
      </c>
      <c r="M85" s="38" t="s">
        <v>1781</v>
      </c>
      <c r="N85" s="38" t="s">
        <v>1782</v>
      </c>
    </row>
    <row r="86" spans="1:14" x14ac:dyDescent="0.3">
      <c r="A86" s="38" t="s">
        <v>1783</v>
      </c>
      <c r="B86" s="38" t="s">
        <v>1784</v>
      </c>
      <c r="C86" s="38" t="s">
        <v>1785</v>
      </c>
      <c r="D86" s="38" t="s">
        <v>1786</v>
      </c>
      <c r="E86" s="38" t="s">
        <v>1787</v>
      </c>
      <c r="F86" s="38" t="s">
        <v>1788</v>
      </c>
      <c r="G86" s="38" t="s">
        <v>1789</v>
      </c>
      <c r="H86" s="38" t="s">
        <v>1790</v>
      </c>
      <c r="I86" s="38" t="s">
        <v>1791</v>
      </c>
      <c r="J86" s="38" t="s">
        <v>1792</v>
      </c>
      <c r="K86" s="38" t="s">
        <v>1793</v>
      </c>
      <c r="L86" s="38" t="s">
        <v>1794</v>
      </c>
      <c r="M86" s="38" t="s">
        <v>1795</v>
      </c>
      <c r="N86" s="38" t="s">
        <v>1796</v>
      </c>
    </row>
    <row r="87" spans="1:14" x14ac:dyDescent="0.3">
      <c r="A87" s="38" t="s">
        <v>1797</v>
      </c>
      <c r="B87" s="38" t="s">
        <v>1798</v>
      </c>
      <c r="C87" s="38" t="s">
        <v>1799</v>
      </c>
      <c r="D87" s="38" t="s">
        <v>1800</v>
      </c>
      <c r="E87" s="38" t="s">
        <v>1801</v>
      </c>
      <c r="F87" s="38" t="s">
        <v>1802</v>
      </c>
      <c r="G87" s="38" t="s">
        <v>1803</v>
      </c>
      <c r="H87" s="38" t="s">
        <v>1804</v>
      </c>
      <c r="I87" s="38" t="s">
        <v>1805</v>
      </c>
      <c r="J87" s="38" t="s">
        <v>1806</v>
      </c>
      <c r="K87" s="38" t="s">
        <v>1807</v>
      </c>
      <c r="L87" s="38" t="s">
        <v>1808</v>
      </c>
      <c r="M87" s="38" t="s">
        <v>1809</v>
      </c>
      <c r="N87" s="38" t="s">
        <v>1810</v>
      </c>
    </row>
    <row r="88" spans="1:14" x14ac:dyDescent="0.3">
      <c r="A88" s="38" t="s">
        <v>1811</v>
      </c>
      <c r="B88" s="38" t="s">
        <v>1812</v>
      </c>
      <c r="C88" s="38" t="s">
        <v>1813</v>
      </c>
      <c r="D88" s="38" t="s">
        <v>1814</v>
      </c>
      <c r="E88" s="38" t="s">
        <v>1815</v>
      </c>
      <c r="F88" s="38" t="s">
        <v>1816</v>
      </c>
      <c r="G88" s="38" t="s">
        <v>1817</v>
      </c>
      <c r="H88" s="38" t="s">
        <v>1818</v>
      </c>
      <c r="I88" s="38" t="s">
        <v>1819</v>
      </c>
      <c r="J88" s="38" t="s">
        <v>1820</v>
      </c>
      <c r="K88" s="38" t="s">
        <v>1821</v>
      </c>
      <c r="L88" s="38" t="s">
        <v>1822</v>
      </c>
      <c r="M88" s="38" t="s">
        <v>1823</v>
      </c>
      <c r="N88" s="38" t="s">
        <v>1824</v>
      </c>
    </row>
    <row r="89" spans="1:14" x14ac:dyDescent="0.3">
      <c r="A89" s="38" t="s">
        <v>1825</v>
      </c>
      <c r="B89" s="38" t="s">
        <v>1826</v>
      </c>
      <c r="C89" s="38" t="s">
        <v>1827</v>
      </c>
      <c r="D89" s="38" t="s">
        <v>1828</v>
      </c>
      <c r="E89" s="38" t="s">
        <v>1829</v>
      </c>
      <c r="F89" s="38" t="s">
        <v>1830</v>
      </c>
      <c r="G89" s="38" t="s">
        <v>1831</v>
      </c>
      <c r="H89" s="38" t="s">
        <v>1832</v>
      </c>
      <c r="I89" s="38" t="s">
        <v>1833</v>
      </c>
      <c r="J89" s="38" t="s">
        <v>1834</v>
      </c>
      <c r="K89" s="38" t="s">
        <v>1835</v>
      </c>
      <c r="L89" s="38" t="s">
        <v>1836</v>
      </c>
      <c r="M89" s="38" t="s">
        <v>1837</v>
      </c>
      <c r="N89" s="38" t="s">
        <v>1838</v>
      </c>
    </row>
    <row r="90" spans="1:14" x14ac:dyDescent="0.3">
      <c r="A90" s="38" t="s">
        <v>1839</v>
      </c>
      <c r="B90" s="38" t="s">
        <v>1840</v>
      </c>
      <c r="C90" s="38" t="s">
        <v>1841</v>
      </c>
      <c r="D90" s="38" t="s">
        <v>1842</v>
      </c>
      <c r="E90" s="38" t="s">
        <v>1843</v>
      </c>
      <c r="F90" s="38" t="s">
        <v>1844</v>
      </c>
      <c r="G90" s="38" t="s">
        <v>1845</v>
      </c>
      <c r="H90" s="38" t="s">
        <v>1846</v>
      </c>
      <c r="I90" s="38" t="s">
        <v>1847</v>
      </c>
      <c r="J90" s="38" t="s">
        <v>1848</v>
      </c>
      <c r="K90" s="38" t="s">
        <v>1849</v>
      </c>
      <c r="L90" s="38" t="s">
        <v>1850</v>
      </c>
      <c r="M90" s="38" t="s">
        <v>1851</v>
      </c>
      <c r="N90" s="38" t="s">
        <v>1852</v>
      </c>
    </row>
    <row r="91" spans="1:14" x14ac:dyDescent="0.3">
      <c r="A91" s="38" t="s">
        <v>1853</v>
      </c>
      <c r="B91" s="38" t="s">
        <v>1854</v>
      </c>
      <c r="C91" s="38" t="s">
        <v>1855</v>
      </c>
      <c r="D91" s="38" t="s">
        <v>1856</v>
      </c>
      <c r="E91" s="38" t="s">
        <v>1857</v>
      </c>
      <c r="F91" s="38" t="s">
        <v>1858</v>
      </c>
      <c r="G91" s="38" t="s">
        <v>1859</v>
      </c>
      <c r="H91" s="38" t="s">
        <v>1860</v>
      </c>
      <c r="I91" s="38" t="s">
        <v>1861</v>
      </c>
      <c r="J91" s="38" t="s">
        <v>1862</v>
      </c>
      <c r="K91" s="38" t="s">
        <v>1863</v>
      </c>
      <c r="L91" s="38" t="s">
        <v>1864</v>
      </c>
      <c r="M91" s="38" t="s">
        <v>1865</v>
      </c>
      <c r="N91" s="38" t="s">
        <v>1866</v>
      </c>
    </row>
    <row r="92" spans="1:14" x14ac:dyDescent="0.3">
      <c r="A92" s="38" t="s">
        <v>1867</v>
      </c>
      <c r="B92" s="38" t="s">
        <v>1868</v>
      </c>
      <c r="C92" s="38" t="s">
        <v>1869</v>
      </c>
      <c r="D92" s="38" t="s">
        <v>1870</v>
      </c>
      <c r="E92" s="38" t="s">
        <v>1871</v>
      </c>
      <c r="F92" s="38" t="s">
        <v>1872</v>
      </c>
      <c r="G92" s="38" t="s">
        <v>1873</v>
      </c>
      <c r="H92" s="38" t="s">
        <v>1874</v>
      </c>
      <c r="I92" s="38" t="s">
        <v>1875</v>
      </c>
      <c r="J92" s="38" t="s">
        <v>1876</v>
      </c>
      <c r="K92" s="38" t="s">
        <v>1877</v>
      </c>
      <c r="L92" s="38" t="s">
        <v>1878</v>
      </c>
      <c r="M92" s="38" t="s">
        <v>1879</v>
      </c>
      <c r="N92" s="38" t="s">
        <v>1880</v>
      </c>
    </row>
    <row r="93" spans="1:14" x14ac:dyDescent="0.3">
      <c r="A93" s="38" t="s">
        <v>1881</v>
      </c>
      <c r="B93" s="38" t="s">
        <v>1882</v>
      </c>
      <c r="C93" s="38" t="s">
        <v>1883</v>
      </c>
      <c r="D93" s="38" t="s">
        <v>1884</v>
      </c>
      <c r="E93" s="38" t="s">
        <v>1885</v>
      </c>
      <c r="F93" s="38" t="s">
        <v>1886</v>
      </c>
      <c r="G93" s="38" t="s">
        <v>1887</v>
      </c>
      <c r="H93" s="38" t="s">
        <v>1888</v>
      </c>
      <c r="I93" s="38" t="s">
        <v>1889</v>
      </c>
      <c r="J93" s="38" t="s">
        <v>1890</v>
      </c>
      <c r="K93" s="38" t="s">
        <v>1891</v>
      </c>
      <c r="L93" s="38" t="s">
        <v>1892</v>
      </c>
      <c r="M93" s="38" t="s">
        <v>1893</v>
      </c>
      <c r="N93" s="38" t="s">
        <v>1894</v>
      </c>
    </row>
    <row r="94" spans="1:14" x14ac:dyDescent="0.3">
      <c r="A94" s="38" t="s">
        <v>1895</v>
      </c>
      <c r="B94" s="38" t="s">
        <v>1896</v>
      </c>
      <c r="C94" s="38" t="s">
        <v>1897</v>
      </c>
      <c r="D94" s="38" t="s">
        <v>1898</v>
      </c>
      <c r="E94" s="38" t="s">
        <v>1899</v>
      </c>
      <c r="F94" s="38" t="s">
        <v>1900</v>
      </c>
      <c r="G94" s="38" t="s">
        <v>1901</v>
      </c>
      <c r="H94" s="38" t="s">
        <v>1902</v>
      </c>
      <c r="I94" s="38" t="s">
        <v>1903</v>
      </c>
      <c r="J94" s="38" t="s">
        <v>1904</v>
      </c>
      <c r="K94" s="38" t="s">
        <v>1905</v>
      </c>
      <c r="L94" s="38" t="s">
        <v>1906</v>
      </c>
      <c r="M94" s="38" t="s">
        <v>1907</v>
      </c>
      <c r="N94" s="38" t="s">
        <v>1908</v>
      </c>
    </row>
    <row r="95" spans="1:14" x14ac:dyDescent="0.3">
      <c r="A95" s="38" t="s">
        <v>1909</v>
      </c>
      <c r="B95" s="38" t="s">
        <v>1910</v>
      </c>
      <c r="C95" s="38" t="s">
        <v>1911</v>
      </c>
      <c r="D95" s="38" t="s">
        <v>1912</v>
      </c>
      <c r="E95" s="38" t="s">
        <v>1913</v>
      </c>
      <c r="F95" s="38" t="s">
        <v>1914</v>
      </c>
      <c r="G95" s="38" t="s">
        <v>1915</v>
      </c>
      <c r="H95" s="38" t="s">
        <v>1916</v>
      </c>
      <c r="I95" s="38" t="s">
        <v>1917</v>
      </c>
      <c r="J95" s="38" t="s">
        <v>1918</v>
      </c>
      <c r="K95" s="38" t="s">
        <v>1919</v>
      </c>
      <c r="L95" s="38" t="s">
        <v>1920</v>
      </c>
      <c r="M95" s="38" t="s">
        <v>1921</v>
      </c>
      <c r="N95" s="38" t="s">
        <v>1922</v>
      </c>
    </row>
    <row r="96" spans="1:14" x14ac:dyDescent="0.3">
      <c r="A96" s="38" t="s">
        <v>1923</v>
      </c>
      <c r="B96" s="38" t="s">
        <v>1924</v>
      </c>
      <c r="C96" s="38" t="s">
        <v>1925</v>
      </c>
      <c r="D96" s="38" t="s">
        <v>1926</v>
      </c>
      <c r="E96" s="38" t="s">
        <v>1927</v>
      </c>
      <c r="F96" s="38" t="s">
        <v>1928</v>
      </c>
      <c r="G96" s="38" t="s">
        <v>1929</v>
      </c>
      <c r="H96" s="38" t="s">
        <v>1930</v>
      </c>
      <c r="I96" s="38" t="s">
        <v>1931</v>
      </c>
      <c r="J96" s="38" t="s">
        <v>1932</v>
      </c>
      <c r="K96" s="38" t="s">
        <v>1933</v>
      </c>
      <c r="L96" s="38" t="s">
        <v>1934</v>
      </c>
      <c r="M96" s="38" t="s">
        <v>1935</v>
      </c>
      <c r="N96" s="38" t="s">
        <v>1936</v>
      </c>
    </row>
    <row r="97" spans="1:14" x14ac:dyDescent="0.3">
      <c r="A97" s="38" t="s">
        <v>1937</v>
      </c>
      <c r="B97" s="38" t="s">
        <v>1938</v>
      </c>
      <c r="C97" s="38" t="s">
        <v>1939</v>
      </c>
      <c r="D97" s="38" t="s">
        <v>1940</v>
      </c>
      <c r="E97" s="38" t="s">
        <v>1941</v>
      </c>
      <c r="F97" s="38" t="s">
        <v>1942</v>
      </c>
      <c r="G97" s="38" t="s">
        <v>1943</v>
      </c>
      <c r="H97" s="38" t="s">
        <v>1944</v>
      </c>
      <c r="I97" s="38" t="s">
        <v>1945</v>
      </c>
      <c r="J97" s="38" t="s">
        <v>1946</v>
      </c>
      <c r="K97" s="38" t="s">
        <v>1947</v>
      </c>
      <c r="L97" s="38" t="s">
        <v>1948</v>
      </c>
      <c r="M97" s="38" t="s">
        <v>1949</v>
      </c>
      <c r="N97" s="38" t="s">
        <v>1950</v>
      </c>
    </row>
    <row r="98" spans="1:14" x14ac:dyDescent="0.3">
      <c r="A98" s="38" t="s">
        <v>1951</v>
      </c>
      <c r="B98" s="38" t="s">
        <v>1952</v>
      </c>
      <c r="C98" s="38" t="s">
        <v>1953</v>
      </c>
      <c r="D98" s="38" t="s">
        <v>1954</v>
      </c>
      <c r="E98" s="38" t="s">
        <v>1955</v>
      </c>
      <c r="F98" s="38" t="s">
        <v>1956</v>
      </c>
      <c r="G98" s="38" t="s">
        <v>1957</v>
      </c>
      <c r="H98" s="38" t="s">
        <v>1958</v>
      </c>
      <c r="I98" s="38" t="s">
        <v>1959</v>
      </c>
      <c r="J98" s="38" t="s">
        <v>1960</v>
      </c>
      <c r="K98" s="38" t="s">
        <v>1961</v>
      </c>
      <c r="L98" s="38" t="s">
        <v>1962</v>
      </c>
      <c r="M98" s="38" t="s">
        <v>1963</v>
      </c>
      <c r="N98" s="38" t="s">
        <v>1964</v>
      </c>
    </row>
    <row r="99" spans="1:14" x14ac:dyDescent="0.3">
      <c r="A99" s="38" t="s">
        <v>1965</v>
      </c>
      <c r="B99" s="38" t="s">
        <v>1966</v>
      </c>
      <c r="C99" s="38" t="s">
        <v>1967</v>
      </c>
      <c r="D99" s="38" t="s">
        <v>1968</v>
      </c>
      <c r="E99" s="38" t="s">
        <v>1969</v>
      </c>
      <c r="F99" s="38" t="s">
        <v>1970</v>
      </c>
      <c r="G99" s="38" t="s">
        <v>1971</v>
      </c>
      <c r="H99" s="38" t="s">
        <v>1972</v>
      </c>
      <c r="I99" s="38" t="s">
        <v>1973</v>
      </c>
      <c r="J99" s="38" t="s">
        <v>1974</v>
      </c>
      <c r="K99" s="38" t="s">
        <v>1975</v>
      </c>
      <c r="L99" s="38" t="s">
        <v>1976</v>
      </c>
      <c r="M99" s="38" t="s">
        <v>1977</v>
      </c>
      <c r="N99" s="38" t="s">
        <v>1978</v>
      </c>
    </row>
    <row r="100" spans="1:14" x14ac:dyDescent="0.3">
      <c r="A100" s="38" t="s">
        <v>1979</v>
      </c>
      <c r="B100" s="38" t="s">
        <v>1980</v>
      </c>
      <c r="C100" s="38" t="s">
        <v>1981</v>
      </c>
      <c r="D100" s="38" t="s">
        <v>1982</v>
      </c>
      <c r="E100" s="38" t="s">
        <v>1983</v>
      </c>
      <c r="F100" s="38" t="s">
        <v>1984</v>
      </c>
      <c r="G100" s="38" t="s">
        <v>1985</v>
      </c>
      <c r="H100" s="38" t="s">
        <v>1986</v>
      </c>
      <c r="I100" s="38" t="s">
        <v>1987</v>
      </c>
      <c r="J100" s="38" t="s">
        <v>1988</v>
      </c>
      <c r="K100" s="38" t="s">
        <v>1989</v>
      </c>
      <c r="L100" s="38" t="s">
        <v>1990</v>
      </c>
      <c r="M100" s="38" t="s">
        <v>1991</v>
      </c>
      <c r="N100" s="38" t="s">
        <v>1992</v>
      </c>
    </row>
    <row r="101" spans="1:14" x14ac:dyDescent="0.3">
      <c r="A101" s="38" t="s">
        <v>1993</v>
      </c>
      <c r="B101" s="38" t="s">
        <v>1994</v>
      </c>
      <c r="C101" s="38" t="s">
        <v>1995</v>
      </c>
      <c r="D101" s="38" t="s">
        <v>1996</v>
      </c>
      <c r="E101" s="38" t="s">
        <v>1997</v>
      </c>
      <c r="F101" s="38" t="s">
        <v>1998</v>
      </c>
      <c r="G101" s="38" t="s">
        <v>1999</v>
      </c>
      <c r="H101" s="38" t="s">
        <v>2000</v>
      </c>
      <c r="I101" s="38" t="s">
        <v>2001</v>
      </c>
      <c r="J101" s="38" t="s">
        <v>2002</v>
      </c>
      <c r="K101" s="38" t="s">
        <v>2003</v>
      </c>
      <c r="L101" s="38" t="s">
        <v>2004</v>
      </c>
      <c r="M101" s="38" t="s">
        <v>2005</v>
      </c>
      <c r="N101" s="38" t="s">
        <v>2006</v>
      </c>
    </row>
    <row r="102" spans="1:14" x14ac:dyDescent="0.3">
      <c r="A102" s="38" t="s">
        <v>2007</v>
      </c>
      <c r="B102" s="38" t="s">
        <v>2008</v>
      </c>
      <c r="C102" s="38" t="s">
        <v>2009</v>
      </c>
      <c r="D102" s="38" t="s">
        <v>2010</v>
      </c>
      <c r="E102" s="38" t="s">
        <v>2011</v>
      </c>
      <c r="F102" s="38" t="s">
        <v>2012</v>
      </c>
      <c r="G102" s="38" t="s">
        <v>2013</v>
      </c>
      <c r="H102" s="38" t="s">
        <v>2014</v>
      </c>
      <c r="I102" s="38" t="s">
        <v>2015</v>
      </c>
      <c r="J102" s="38" t="s">
        <v>2016</v>
      </c>
      <c r="K102" s="38" t="s">
        <v>2017</v>
      </c>
      <c r="L102" s="38" t="s">
        <v>2018</v>
      </c>
      <c r="M102" s="38" t="s">
        <v>2019</v>
      </c>
      <c r="N102" s="38" t="s">
        <v>2020</v>
      </c>
    </row>
    <row r="103" spans="1:14" x14ac:dyDescent="0.3">
      <c r="A103" s="38" t="s">
        <v>2021</v>
      </c>
      <c r="B103" s="38" t="s">
        <v>2022</v>
      </c>
      <c r="C103" s="38" t="s">
        <v>2023</v>
      </c>
      <c r="D103" s="38" t="s">
        <v>2024</v>
      </c>
      <c r="E103" s="38" t="s">
        <v>2025</v>
      </c>
      <c r="F103" s="38" t="s">
        <v>2026</v>
      </c>
      <c r="G103" s="38" t="s">
        <v>2027</v>
      </c>
      <c r="H103" s="38" t="s">
        <v>2028</v>
      </c>
      <c r="I103" s="38" t="s">
        <v>2029</v>
      </c>
      <c r="J103" s="38" t="s">
        <v>2030</v>
      </c>
      <c r="K103" s="38" t="s">
        <v>2031</v>
      </c>
      <c r="L103" s="38" t="s">
        <v>2032</v>
      </c>
      <c r="M103" s="38" t="s">
        <v>2033</v>
      </c>
      <c r="N103" s="38" t="s">
        <v>2034</v>
      </c>
    </row>
    <row r="104" spans="1:14" x14ac:dyDescent="0.3">
      <c r="A104" s="38" t="s">
        <v>2035</v>
      </c>
      <c r="B104" s="38" t="s">
        <v>2036</v>
      </c>
      <c r="C104" s="38" t="s">
        <v>2037</v>
      </c>
      <c r="D104" s="38" t="s">
        <v>2038</v>
      </c>
      <c r="E104" s="38" t="s">
        <v>2039</v>
      </c>
      <c r="F104" s="38" t="s">
        <v>2040</v>
      </c>
      <c r="G104" s="38" t="s">
        <v>2041</v>
      </c>
      <c r="H104" s="38" t="s">
        <v>2042</v>
      </c>
      <c r="I104" s="38" t="s">
        <v>2043</v>
      </c>
      <c r="J104" s="38" t="s">
        <v>2044</v>
      </c>
      <c r="K104" s="38" t="s">
        <v>2045</v>
      </c>
      <c r="L104" s="38" t="s">
        <v>2046</v>
      </c>
      <c r="M104" s="38" t="s">
        <v>2047</v>
      </c>
      <c r="N104" s="38" t="s">
        <v>2048</v>
      </c>
    </row>
    <row r="105" spans="1:14" x14ac:dyDescent="0.3">
      <c r="A105" s="38" t="s">
        <v>2049</v>
      </c>
      <c r="B105" s="38" t="s">
        <v>2050</v>
      </c>
      <c r="C105" s="38" t="s">
        <v>2051</v>
      </c>
      <c r="D105" s="38" t="s">
        <v>2052</v>
      </c>
      <c r="E105" s="38" t="s">
        <v>2053</v>
      </c>
      <c r="F105" s="38" t="s">
        <v>2054</v>
      </c>
      <c r="G105" s="38" t="s">
        <v>2055</v>
      </c>
      <c r="H105" s="38" t="s">
        <v>2056</v>
      </c>
      <c r="I105" s="38" t="s">
        <v>2057</v>
      </c>
      <c r="J105" s="38" t="s">
        <v>2058</v>
      </c>
      <c r="K105" s="38" t="s">
        <v>2059</v>
      </c>
      <c r="L105" s="38" t="s">
        <v>2060</v>
      </c>
      <c r="M105" s="38" t="s">
        <v>2061</v>
      </c>
      <c r="N105" s="38" t="s">
        <v>2062</v>
      </c>
    </row>
    <row r="106" spans="1:14" x14ac:dyDescent="0.3">
      <c r="A106" s="38" t="s">
        <v>2063</v>
      </c>
      <c r="B106" s="38" t="s">
        <v>2064</v>
      </c>
      <c r="C106" s="38" t="s">
        <v>2065</v>
      </c>
      <c r="D106" s="38" t="s">
        <v>2066</v>
      </c>
      <c r="E106" s="38" t="s">
        <v>2067</v>
      </c>
      <c r="F106" s="38" t="s">
        <v>2068</v>
      </c>
      <c r="G106" s="38" t="s">
        <v>2069</v>
      </c>
      <c r="H106" s="38" t="s">
        <v>2070</v>
      </c>
      <c r="I106" s="38" t="s">
        <v>2071</v>
      </c>
      <c r="J106" s="38" t="s">
        <v>2072</v>
      </c>
      <c r="K106" s="38" t="s">
        <v>2073</v>
      </c>
      <c r="L106" s="38" t="s">
        <v>2074</v>
      </c>
      <c r="M106" s="38" t="s">
        <v>2075</v>
      </c>
      <c r="N106" s="38" t="s">
        <v>2076</v>
      </c>
    </row>
    <row r="107" spans="1:14" x14ac:dyDescent="0.3">
      <c r="A107" s="38" t="s">
        <v>2077</v>
      </c>
      <c r="B107" s="38" t="s">
        <v>2078</v>
      </c>
      <c r="C107" s="38" t="s">
        <v>2079</v>
      </c>
      <c r="D107" s="38" t="s">
        <v>2080</v>
      </c>
      <c r="E107" s="38" t="s">
        <v>2081</v>
      </c>
      <c r="F107" s="38" t="s">
        <v>2082</v>
      </c>
      <c r="G107" s="38" t="s">
        <v>2083</v>
      </c>
      <c r="H107" s="38" t="s">
        <v>2084</v>
      </c>
      <c r="I107" s="38" t="s">
        <v>2085</v>
      </c>
      <c r="J107" s="38" t="s">
        <v>2086</v>
      </c>
      <c r="K107" s="38" t="s">
        <v>2087</v>
      </c>
      <c r="L107" s="38" t="s">
        <v>2088</v>
      </c>
      <c r="M107" s="38" t="s">
        <v>2089</v>
      </c>
      <c r="N107" s="38" t="s">
        <v>2090</v>
      </c>
    </row>
    <row r="108" spans="1:14" x14ac:dyDescent="0.3">
      <c r="A108" s="38" t="s">
        <v>2091</v>
      </c>
      <c r="B108" s="38" t="s">
        <v>2092</v>
      </c>
      <c r="C108" s="38" t="s">
        <v>2093</v>
      </c>
      <c r="D108" s="38" t="s">
        <v>2094</v>
      </c>
      <c r="E108" s="38" t="s">
        <v>2095</v>
      </c>
      <c r="F108" s="38" t="s">
        <v>2096</v>
      </c>
      <c r="G108" s="38" t="s">
        <v>2097</v>
      </c>
      <c r="H108" s="38" t="s">
        <v>2098</v>
      </c>
      <c r="I108" s="38" t="s">
        <v>2099</v>
      </c>
      <c r="J108" s="38" t="s">
        <v>2100</v>
      </c>
      <c r="K108" s="38" t="s">
        <v>2101</v>
      </c>
      <c r="L108" s="38" t="s">
        <v>2102</v>
      </c>
      <c r="M108" s="38" t="s">
        <v>2103</v>
      </c>
      <c r="N108" s="38" t="s">
        <v>2104</v>
      </c>
    </row>
    <row r="109" spans="1:14" x14ac:dyDescent="0.3">
      <c r="A109" s="38" t="s">
        <v>2105</v>
      </c>
      <c r="B109" s="38" t="s">
        <v>2106</v>
      </c>
      <c r="C109" s="38" t="s">
        <v>2107</v>
      </c>
      <c r="D109" s="38" t="s">
        <v>2108</v>
      </c>
      <c r="E109" s="38" t="s">
        <v>2109</v>
      </c>
      <c r="F109" s="38" t="s">
        <v>2110</v>
      </c>
      <c r="G109" s="38" t="s">
        <v>2111</v>
      </c>
      <c r="H109" s="38" t="s">
        <v>2112</v>
      </c>
      <c r="I109" s="38" t="s">
        <v>2113</v>
      </c>
      <c r="J109" s="38" t="s">
        <v>2114</v>
      </c>
      <c r="K109" s="38" t="s">
        <v>2115</v>
      </c>
      <c r="L109" s="38" t="s">
        <v>2116</v>
      </c>
      <c r="M109" s="38" t="s">
        <v>2117</v>
      </c>
      <c r="N109" s="38" t="s">
        <v>2118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K63"/>
  <sheetViews>
    <sheetView workbookViewId="0">
      <selection activeCell="C53" sqref="C53"/>
    </sheetView>
  </sheetViews>
  <sheetFormatPr defaultRowHeight="16.5" x14ac:dyDescent="0.3"/>
  <cols>
    <col min="1" max="1" width="11.125" bestFit="1" customWidth="1"/>
  </cols>
  <sheetData>
    <row r="1" spans="1:11" x14ac:dyDescent="0.3">
      <c r="A1" t="s">
        <v>499</v>
      </c>
    </row>
    <row r="2" spans="1:11" x14ac:dyDescent="0.3">
      <c r="A2" t="s">
        <v>497</v>
      </c>
      <c r="C2" t="s">
        <v>478</v>
      </c>
      <c r="D2" t="s">
        <v>480</v>
      </c>
      <c r="E2" t="s">
        <v>482</v>
      </c>
      <c r="F2" t="s">
        <v>484</v>
      </c>
      <c r="G2" t="s">
        <v>477</v>
      </c>
      <c r="H2" t="s">
        <v>486</v>
      </c>
      <c r="I2" t="s">
        <v>488</v>
      </c>
      <c r="J2" t="s">
        <v>490</v>
      </c>
      <c r="K2" t="s">
        <v>492</v>
      </c>
    </row>
    <row r="3" spans="1:11" hidden="1" x14ac:dyDescent="0.3">
      <c r="A3" s="13">
        <v>44305</v>
      </c>
      <c r="B3" t="s">
        <v>299</v>
      </c>
      <c r="C3" s="14">
        <v>40.2776</v>
      </c>
      <c r="D3" s="14">
        <v>45.272599999999997</v>
      </c>
      <c r="E3" s="14">
        <v>47.592599999999997</v>
      </c>
      <c r="F3" s="14">
        <v>46.539700000000003</v>
      </c>
      <c r="G3" s="14">
        <v>44.703099999999999</v>
      </c>
      <c r="H3" s="14">
        <v>44.981000000000002</v>
      </c>
      <c r="I3" s="14">
        <v>41.376800000000003</v>
      </c>
      <c r="J3" s="14">
        <v>43.945099999999996</v>
      </c>
      <c r="K3" s="14">
        <v>42.0745</v>
      </c>
    </row>
    <row r="4" spans="1:11" x14ac:dyDescent="0.3">
      <c r="A4" s="13">
        <v>44305</v>
      </c>
      <c r="B4" t="s">
        <v>300</v>
      </c>
      <c r="C4" s="14">
        <v>32.9</v>
      </c>
      <c r="D4" s="14">
        <v>28.2</v>
      </c>
      <c r="E4" s="14">
        <v>26.1</v>
      </c>
      <c r="F4" s="14">
        <v>24.5</v>
      </c>
      <c r="G4" s="14">
        <v>23.5</v>
      </c>
      <c r="H4" s="14">
        <v>23.8</v>
      </c>
      <c r="I4" s="14">
        <v>25.9</v>
      </c>
      <c r="J4" s="14">
        <v>26.8</v>
      </c>
      <c r="K4" s="14">
        <v>27.6</v>
      </c>
    </row>
    <row r="5" spans="1:11" hidden="1" x14ac:dyDescent="0.3">
      <c r="A5" s="13">
        <v>44306</v>
      </c>
      <c r="B5" t="s">
        <v>495</v>
      </c>
      <c r="C5" s="14">
        <v>37.697800000000001</v>
      </c>
      <c r="D5" s="14">
        <v>38.6021</v>
      </c>
      <c r="E5" s="14">
        <v>43.091500000000003</v>
      </c>
      <c r="F5" s="14">
        <v>41.7258</v>
      </c>
      <c r="G5" s="14">
        <v>42.117800000000003</v>
      </c>
      <c r="H5" s="14">
        <v>43.5396</v>
      </c>
      <c r="I5" s="14">
        <v>50.056100000000001</v>
      </c>
      <c r="J5" s="14">
        <v>54.142899999999997</v>
      </c>
      <c r="K5" s="14">
        <v>62.869300000000003</v>
      </c>
    </row>
    <row r="6" spans="1:11" x14ac:dyDescent="0.3">
      <c r="A6" s="13">
        <v>44306</v>
      </c>
      <c r="B6" t="s">
        <v>496</v>
      </c>
      <c r="C6" s="14">
        <v>22.6</v>
      </c>
      <c r="D6" s="14">
        <v>27.2</v>
      </c>
      <c r="E6" s="14">
        <v>23.2</v>
      </c>
      <c r="F6" s="14">
        <v>22.5</v>
      </c>
      <c r="G6" s="14">
        <v>23.1</v>
      </c>
      <c r="H6" s="14">
        <v>23.9</v>
      </c>
      <c r="I6" s="14">
        <v>25.4</v>
      </c>
      <c r="J6" s="14">
        <v>28.9</v>
      </c>
      <c r="K6" s="14">
        <v>32.9</v>
      </c>
    </row>
    <row r="7" spans="1:11" hidden="1" x14ac:dyDescent="0.3">
      <c r="A7" s="13">
        <v>44307</v>
      </c>
      <c r="B7" t="s">
        <v>495</v>
      </c>
      <c r="C7" s="14">
        <v>37.565600000000003</v>
      </c>
      <c r="D7" s="14">
        <v>38.470199999999998</v>
      </c>
      <c r="E7" s="14">
        <v>42.932099999999998</v>
      </c>
      <c r="F7" s="14">
        <v>44.353299999999997</v>
      </c>
      <c r="G7" s="14">
        <v>44.960700000000003</v>
      </c>
      <c r="H7" s="14">
        <v>46.882599999999996</v>
      </c>
      <c r="I7" s="14">
        <v>50.070399999999999</v>
      </c>
      <c r="J7" s="14">
        <v>50.212400000000002</v>
      </c>
      <c r="K7" s="14">
        <v>62.846400000000003</v>
      </c>
    </row>
    <row r="8" spans="1:11" x14ac:dyDescent="0.3">
      <c r="A8" s="13">
        <v>44307</v>
      </c>
      <c r="B8" t="s">
        <v>496</v>
      </c>
      <c r="C8" s="14">
        <v>22.7</v>
      </c>
      <c r="D8" s="14">
        <v>27.4</v>
      </c>
      <c r="E8" s="14">
        <v>23.3</v>
      </c>
      <c r="F8" s="14">
        <v>22.6</v>
      </c>
      <c r="G8" s="14">
        <v>23.2</v>
      </c>
      <c r="H8" s="14">
        <v>24</v>
      </c>
      <c r="I8" s="14">
        <v>25.5</v>
      </c>
      <c r="J8" s="14">
        <v>29.1</v>
      </c>
      <c r="K8" s="14">
        <v>33.4</v>
      </c>
    </row>
    <row r="9" spans="1:11" hidden="1" x14ac:dyDescent="0.3">
      <c r="A9" s="13">
        <v>44308</v>
      </c>
      <c r="B9" t="s">
        <v>495</v>
      </c>
      <c r="C9" s="14">
        <v>37.673000000000002</v>
      </c>
      <c r="D9" s="14">
        <v>38.382399999999997</v>
      </c>
      <c r="E9" s="14">
        <v>42.695900000000002</v>
      </c>
      <c r="F9" s="14">
        <v>43.641800000000003</v>
      </c>
      <c r="G9" s="14">
        <v>43.915700000000001</v>
      </c>
      <c r="H9" s="14">
        <v>46.3825</v>
      </c>
      <c r="I9" s="14">
        <v>49.9146</v>
      </c>
      <c r="J9" s="14">
        <v>54.006900000000002</v>
      </c>
      <c r="K9" s="14">
        <v>61.738500000000002</v>
      </c>
    </row>
    <row r="10" spans="1:11" x14ac:dyDescent="0.3">
      <c r="A10" s="13">
        <v>44308</v>
      </c>
      <c r="B10" t="s">
        <v>496</v>
      </c>
      <c r="C10" s="14">
        <v>22.8</v>
      </c>
      <c r="D10" s="14">
        <v>27.4</v>
      </c>
      <c r="E10" s="14">
        <v>23.3</v>
      </c>
      <c r="F10" s="14">
        <v>22.6</v>
      </c>
      <c r="G10" s="14">
        <v>23.1</v>
      </c>
      <c r="H10" s="14">
        <v>23.9</v>
      </c>
      <c r="I10" s="14">
        <v>25.5</v>
      </c>
      <c r="J10" s="14">
        <v>29.2</v>
      </c>
      <c r="K10" s="14">
        <v>33.5</v>
      </c>
    </row>
    <row r="11" spans="1:11" hidden="1" x14ac:dyDescent="0.3">
      <c r="A11" s="13">
        <v>44309</v>
      </c>
      <c r="B11" t="s">
        <v>495</v>
      </c>
      <c r="C11" s="14">
        <v>38.061799999999998</v>
      </c>
      <c r="D11" s="14">
        <v>38.768299999999996</v>
      </c>
      <c r="E11" s="14">
        <v>43.171399999999998</v>
      </c>
      <c r="F11" s="14">
        <v>44.145099999999999</v>
      </c>
      <c r="G11" s="14">
        <v>44.612699999999997</v>
      </c>
      <c r="H11" s="14">
        <v>46.545400000000001</v>
      </c>
      <c r="I11" s="14">
        <v>49.852899999999998</v>
      </c>
      <c r="J11" s="14">
        <v>53.919499999999999</v>
      </c>
      <c r="K11" s="14">
        <v>61.687399999999997</v>
      </c>
    </row>
    <row r="12" spans="1:11" x14ac:dyDescent="0.3">
      <c r="A12" s="13">
        <v>44309</v>
      </c>
      <c r="B12" t="s">
        <v>496</v>
      </c>
      <c r="C12" s="14">
        <v>22.2</v>
      </c>
      <c r="D12" s="14">
        <v>26.7</v>
      </c>
      <c r="E12" s="14">
        <v>22.8</v>
      </c>
      <c r="F12" s="14">
        <v>22.1</v>
      </c>
      <c r="G12" s="14">
        <v>22.5</v>
      </c>
      <c r="H12" s="14">
        <v>23.5</v>
      </c>
      <c r="I12" s="14">
        <v>25.3</v>
      </c>
      <c r="J12" s="14">
        <v>28.8</v>
      </c>
      <c r="K12" s="14">
        <v>32.700000000000003</v>
      </c>
    </row>
    <row r="13" spans="1:11" hidden="1" x14ac:dyDescent="0.3">
      <c r="A13" s="13">
        <v>44312</v>
      </c>
      <c r="B13" t="s">
        <v>495</v>
      </c>
      <c r="C13" s="14">
        <v>37.791499999999999</v>
      </c>
      <c r="D13" s="14">
        <v>38.838099999999997</v>
      </c>
      <c r="E13" s="14">
        <v>43.045099999999998</v>
      </c>
      <c r="F13" s="14">
        <v>44.357500000000002</v>
      </c>
      <c r="G13" s="14">
        <v>45.023299999999999</v>
      </c>
      <c r="H13" s="14">
        <v>46.626600000000003</v>
      </c>
      <c r="I13" s="14">
        <v>49.822400000000002</v>
      </c>
      <c r="J13" s="14">
        <v>53.900199999999998</v>
      </c>
      <c r="K13" s="14">
        <v>61.688200000000002</v>
      </c>
    </row>
    <row r="14" spans="1:11" x14ac:dyDescent="0.3">
      <c r="A14" s="13">
        <v>44312</v>
      </c>
      <c r="B14" t="s">
        <v>496</v>
      </c>
      <c r="C14" s="14">
        <v>21.7</v>
      </c>
      <c r="D14" s="14">
        <v>25.9</v>
      </c>
      <c r="E14" s="14">
        <v>22.2</v>
      </c>
      <c r="F14" s="14">
        <v>21.6</v>
      </c>
      <c r="G14" s="14">
        <v>22.3</v>
      </c>
      <c r="H14" s="14">
        <v>23.4</v>
      </c>
      <c r="I14" s="14">
        <v>24.9</v>
      </c>
      <c r="J14" s="14">
        <v>28</v>
      </c>
      <c r="K14" s="14">
        <v>31.8</v>
      </c>
    </row>
    <row r="15" spans="1:11" hidden="1" x14ac:dyDescent="0.3">
      <c r="A15" s="13">
        <v>44313</v>
      </c>
      <c r="B15" t="s">
        <v>495</v>
      </c>
      <c r="C15" s="14">
        <v>38.077199999999998</v>
      </c>
      <c r="D15" s="14">
        <v>39.123800000000003</v>
      </c>
      <c r="E15" s="14">
        <v>43.518500000000003</v>
      </c>
      <c r="F15" s="14">
        <v>44.54</v>
      </c>
      <c r="G15" s="14">
        <v>45.031599999999997</v>
      </c>
      <c r="H15" s="14">
        <v>46.581800000000001</v>
      </c>
      <c r="I15" s="14">
        <v>49.483499999999999</v>
      </c>
      <c r="J15" s="14">
        <v>53.4572</v>
      </c>
      <c r="K15" s="14">
        <v>61.709499999999998</v>
      </c>
    </row>
    <row r="16" spans="1:11" x14ac:dyDescent="0.3">
      <c r="A16" s="13">
        <v>44313</v>
      </c>
      <c r="B16" t="s">
        <v>496</v>
      </c>
      <c r="C16" s="14">
        <v>21.8</v>
      </c>
      <c r="D16" s="14">
        <v>25.8</v>
      </c>
      <c r="E16" s="14">
        <v>22</v>
      </c>
      <c r="F16" s="14">
        <v>21.5</v>
      </c>
      <c r="G16" s="14">
        <v>22.5</v>
      </c>
      <c r="H16" s="14">
        <v>23.4</v>
      </c>
      <c r="I16" s="14">
        <v>24.8</v>
      </c>
      <c r="J16" s="14">
        <v>28</v>
      </c>
      <c r="K16" s="14">
        <v>31.9</v>
      </c>
    </row>
    <row r="17" spans="1:11" hidden="1" x14ac:dyDescent="0.3">
      <c r="A17" s="13">
        <v>44314</v>
      </c>
      <c r="B17" t="s">
        <v>495</v>
      </c>
      <c r="C17" s="14">
        <v>38.023800000000001</v>
      </c>
      <c r="D17" s="14">
        <v>39.066899999999997</v>
      </c>
      <c r="E17" s="14">
        <v>43.3598</v>
      </c>
      <c r="F17" s="14">
        <v>44.5246</v>
      </c>
      <c r="G17" s="14">
        <v>45.082299999999996</v>
      </c>
      <c r="H17" s="14">
        <v>46.489100000000001</v>
      </c>
      <c r="I17" s="14">
        <v>48.715000000000003</v>
      </c>
      <c r="J17" s="14">
        <v>52.344999999999999</v>
      </c>
      <c r="K17" s="14">
        <v>61.681100000000001</v>
      </c>
    </row>
    <row r="18" spans="1:11" x14ac:dyDescent="0.3">
      <c r="A18" s="13">
        <v>44314</v>
      </c>
      <c r="B18" t="s">
        <v>496</v>
      </c>
      <c r="C18" s="14">
        <v>21.5</v>
      </c>
      <c r="D18" s="14">
        <v>25.4</v>
      </c>
      <c r="E18" s="14">
        <v>21.8</v>
      </c>
      <c r="F18" s="14">
        <v>21.3</v>
      </c>
      <c r="G18" s="14">
        <v>22.3</v>
      </c>
      <c r="H18" s="14">
        <v>23.2</v>
      </c>
      <c r="I18" s="14">
        <v>24.6</v>
      </c>
      <c r="J18" s="14">
        <v>27.8</v>
      </c>
      <c r="K18" s="14">
        <v>31.5</v>
      </c>
    </row>
    <row r="19" spans="1:11" hidden="1" x14ac:dyDescent="0.3">
      <c r="A19" s="13">
        <v>44315</v>
      </c>
      <c r="B19" t="s">
        <v>495</v>
      </c>
      <c r="C19" s="14">
        <v>37.512799999999999</v>
      </c>
      <c r="D19" s="14">
        <v>38.511299999999999</v>
      </c>
      <c r="E19" s="14">
        <v>43.2012</v>
      </c>
      <c r="F19" s="14">
        <v>44.5456</v>
      </c>
      <c r="G19" s="14">
        <v>45.125399999999999</v>
      </c>
      <c r="H19" s="14">
        <v>46.497500000000002</v>
      </c>
      <c r="I19" s="14">
        <v>48.715600000000002</v>
      </c>
      <c r="J19" s="14">
        <v>52.3889</v>
      </c>
      <c r="K19" s="14">
        <v>61.398499999999999</v>
      </c>
    </row>
    <row r="20" spans="1:11" x14ac:dyDescent="0.3">
      <c r="A20" s="13">
        <v>44315</v>
      </c>
      <c r="B20" t="s">
        <v>496</v>
      </c>
      <c r="C20" s="14">
        <v>20.6</v>
      </c>
      <c r="D20" s="14">
        <v>25.5</v>
      </c>
      <c r="E20" s="14">
        <v>21</v>
      </c>
      <c r="F20" s="14">
        <v>21.1</v>
      </c>
      <c r="G20" s="14">
        <v>22.1</v>
      </c>
      <c r="H20" s="14">
        <v>22.9</v>
      </c>
      <c r="I20" s="14">
        <v>24.2</v>
      </c>
      <c r="J20" s="14">
        <v>27.5</v>
      </c>
      <c r="K20" s="14">
        <v>31.2</v>
      </c>
    </row>
    <row r="21" spans="1:11" x14ac:dyDescent="0.3">
      <c r="C21" s="14"/>
      <c r="D21" s="14"/>
      <c r="E21" s="14"/>
      <c r="F21" s="14"/>
      <c r="G21" s="14"/>
      <c r="H21" s="14"/>
      <c r="I21" s="14"/>
      <c r="J21" s="14"/>
      <c r="K21" s="14"/>
    </row>
    <row r="22" spans="1:11" x14ac:dyDescent="0.3">
      <c r="C22" s="14"/>
      <c r="D22" s="14"/>
      <c r="E22" s="14"/>
      <c r="F22" s="14"/>
      <c r="G22" s="14"/>
      <c r="H22" s="14"/>
      <c r="I22" s="14"/>
      <c r="J22" s="14"/>
      <c r="K22" s="14"/>
    </row>
    <row r="23" spans="1:11" x14ac:dyDescent="0.3">
      <c r="C23" s="14"/>
      <c r="D23" s="14"/>
      <c r="E23" s="14"/>
      <c r="F23" s="14"/>
      <c r="G23" s="14"/>
      <c r="H23" s="14"/>
      <c r="I23" s="14"/>
      <c r="J23" s="14"/>
      <c r="K23" s="14"/>
    </row>
    <row r="24" spans="1:11" x14ac:dyDescent="0.3">
      <c r="C24" s="14"/>
      <c r="D24" s="14"/>
      <c r="E24" s="14"/>
      <c r="F24" s="14"/>
      <c r="G24" s="14"/>
      <c r="H24" s="14"/>
      <c r="I24" s="14"/>
      <c r="J24" s="14"/>
      <c r="K24" s="14"/>
    </row>
    <row r="25" spans="1:11" x14ac:dyDescent="0.3">
      <c r="C25" s="14"/>
      <c r="D25" s="14"/>
      <c r="E25" s="14"/>
      <c r="F25" s="14"/>
      <c r="G25" s="14"/>
      <c r="H25" s="14"/>
      <c r="I25" s="14"/>
      <c r="J25" s="14"/>
      <c r="K25" s="14"/>
    </row>
    <row r="26" spans="1:11" x14ac:dyDescent="0.3">
      <c r="C26" s="14"/>
      <c r="D26" s="14"/>
      <c r="E26" s="14"/>
      <c r="F26" s="14"/>
      <c r="G26" s="14"/>
      <c r="H26" s="14"/>
      <c r="I26" s="14"/>
      <c r="J26" s="14"/>
      <c r="K26" s="14"/>
    </row>
    <row r="27" spans="1:11" x14ac:dyDescent="0.3">
      <c r="C27" s="14"/>
      <c r="D27" s="14"/>
      <c r="E27" s="14"/>
      <c r="F27" s="14"/>
      <c r="G27" s="14"/>
      <c r="H27" s="14"/>
      <c r="I27" s="14">
        <v>4</v>
      </c>
      <c r="J27" s="14"/>
      <c r="K27" s="14"/>
    </row>
    <row r="28" spans="1:11" x14ac:dyDescent="0.3">
      <c r="C28" s="14"/>
      <c r="D28" s="14"/>
      <c r="E28" s="14"/>
      <c r="F28" s="14" t="s">
        <v>537</v>
      </c>
      <c r="G28" s="14" t="s">
        <v>537</v>
      </c>
      <c r="H28" s="14" t="s">
        <v>537</v>
      </c>
      <c r="I28" s="14"/>
      <c r="J28" s="14"/>
      <c r="K28" s="14"/>
    </row>
    <row r="29" spans="1:11" x14ac:dyDescent="0.3">
      <c r="C29" s="14"/>
      <c r="D29" s="14"/>
      <c r="E29" s="14"/>
      <c r="F29" s="14"/>
      <c r="G29" s="14"/>
      <c r="H29" s="14"/>
      <c r="I29" s="14"/>
      <c r="J29" s="14"/>
      <c r="K29" s="14"/>
    </row>
    <row r="30" spans="1:11" x14ac:dyDescent="0.3">
      <c r="C30" s="14"/>
      <c r="D30" s="14"/>
      <c r="E30" s="14"/>
      <c r="F30" s="14"/>
      <c r="G30" s="14"/>
      <c r="H30" s="14"/>
      <c r="I30" s="14"/>
      <c r="J30" s="14"/>
      <c r="K30" s="14"/>
    </row>
    <row r="31" spans="1:11" x14ac:dyDescent="0.3">
      <c r="C31" s="14"/>
      <c r="D31" s="14"/>
      <c r="E31" s="14"/>
      <c r="F31" s="14"/>
      <c r="G31" s="14"/>
      <c r="H31" s="14"/>
      <c r="I31" s="14"/>
      <c r="J31" s="14"/>
      <c r="K31" s="14"/>
    </row>
    <row r="32" spans="1:11" x14ac:dyDescent="0.3">
      <c r="C32" s="14"/>
      <c r="D32" s="14"/>
      <c r="E32" s="14"/>
      <c r="F32" s="14"/>
      <c r="G32" s="14"/>
      <c r="H32" s="14"/>
      <c r="I32" s="14"/>
      <c r="J32" s="14"/>
      <c r="K32" s="14"/>
    </row>
    <row r="33" spans="3:11" x14ac:dyDescent="0.3">
      <c r="C33" s="14"/>
      <c r="D33" s="14"/>
      <c r="E33" s="14"/>
      <c r="F33" s="14"/>
      <c r="G33" s="14"/>
      <c r="H33" s="14"/>
      <c r="I33" s="14"/>
      <c r="J33" s="14"/>
      <c r="K33" s="14"/>
    </row>
    <row r="34" spans="3:11" x14ac:dyDescent="0.3">
      <c r="C34" s="14"/>
      <c r="D34" s="14"/>
      <c r="E34" s="14"/>
      <c r="F34" s="14"/>
      <c r="G34" s="14"/>
      <c r="H34" s="14"/>
      <c r="I34" s="14"/>
      <c r="J34" s="14"/>
      <c r="K34" s="14"/>
    </row>
    <row r="35" spans="3:11" x14ac:dyDescent="0.3">
      <c r="C35" s="14"/>
      <c r="D35" s="14"/>
      <c r="E35" s="14"/>
      <c r="F35" s="14"/>
      <c r="G35" s="14"/>
      <c r="H35" s="14"/>
      <c r="I35" s="14"/>
      <c r="J35" s="14"/>
      <c r="K35" s="14"/>
    </row>
    <row r="36" spans="3:11" x14ac:dyDescent="0.3">
      <c r="C36" s="14"/>
      <c r="D36" s="14"/>
      <c r="E36" s="14"/>
      <c r="F36" s="14"/>
      <c r="G36" s="14"/>
      <c r="H36" s="14"/>
      <c r="I36" s="14"/>
      <c r="J36" s="14"/>
      <c r="K36" s="14"/>
    </row>
    <row r="37" spans="3:11" x14ac:dyDescent="0.3">
      <c r="C37" s="14"/>
      <c r="D37" s="14"/>
      <c r="E37" s="14"/>
      <c r="F37" s="14"/>
      <c r="G37" s="14"/>
      <c r="H37" s="14"/>
      <c r="I37" s="14"/>
      <c r="J37" s="14"/>
      <c r="K37" s="14"/>
    </row>
    <row r="38" spans="3:11" x14ac:dyDescent="0.3">
      <c r="C38" s="14"/>
      <c r="D38" s="14"/>
      <c r="E38" s="14"/>
      <c r="F38" s="14"/>
      <c r="G38" s="14"/>
      <c r="H38" s="14"/>
      <c r="I38" s="14"/>
      <c r="J38" s="14"/>
      <c r="K38" s="14"/>
    </row>
    <row r="39" spans="3:11" x14ac:dyDescent="0.3">
      <c r="C39" s="14"/>
      <c r="D39" s="14"/>
      <c r="E39" s="14"/>
      <c r="F39" s="14"/>
      <c r="G39" s="14"/>
      <c r="H39" s="14"/>
      <c r="I39" s="14"/>
      <c r="J39" s="14"/>
      <c r="K39" s="14"/>
    </row>
    <row r="40" spans="3:11" x14ac:dyDescent="0.3">
      <c r="C40" s="14"/>
      <c r="D40" s="14"/>
      <c r="E40" s="14"/>
      <c r="F40" s="14"/>
      <c r="G40" s="14"/>
      <c r="H40" s="14"/>
      <c r="I40" s="14"/>
      <c r="J40" s="14"/>
      <c r="K40" s="14"/>
    </row>
    <row r="41" spans="3:11" x14ac:dyDescent="0.3">
      <c r="C41" s="14"/>
      <c r="D41" s="14"/>
      <c r="E41" s="14"/>
      <c r="F41" s="14"/>
      <c r="G41" s="14"/>
      <c r="H41" s="14"/>
      <c r="I41" s="14"/>
      <c r="J41" s="14"/>
      <c r="K41" s="14"/>
    </row>
    <row r="42" spans="3:11" x14ac:dyDescent="0.3">
      <c r="C42" s="14"/>
      <c r="D42" s="14"/>
      <c r="E42" s="14"/>
      <c r="F42" s="14"/>
      <c r="G42" s="14"/>
      <c r="H42" s="14"/>
      <c r="I42" s="14"/>
      <c r="J42" s="14"/>
      <c r="K42" s="14"/>
    </row>
    <row r="43" spans="3:11" x14ac:dyDescent="0.3">
      <c r="C43" s="14"/>
      <c r="D43" s="14"/>
      <c r="E43" s="14"/>
      <c r="F43" s="14"/>
      <c r="G43" s="14"/>
      <c r="H43" s="14"/>
      <c r="I43" s="14"/>
      <c r="J43" s="14"/>
      <c r="K43" s="14"/>
    </row>
    <row r="44" spans="3:11" x14ac:dyDescent="0.3">
      <c r="C44" s="14"/>
      <c r="D44" s="14"/>
      <c r="E44" s="14"/>
      <c r="F44" s="14"/>
      <c r="G44" s="14"/>
      <c r="H44" s="14"/>
      <c r="I44" s="14"/>
      <c r="J44" s="14"/>
      <c r="K44" s="14"/>
    </row>
    <row r="45" spans="3:11" x14ac:dyDescent="0.3">
      <c r="C45" s="14"/>
      <c r="D45" s="14"/>
      <c r="E45" s="14"/>
      <c r="F45" s="14"/>
      <c r="G45" s="14"/>
      <c r="H45" s="14"/>
      <c r="I45" s="14"/>
      <c r="J45" s="14"/>
      <c r="K45" s="14"/>
    </row>
    <row r="46" spans="3:11" x14ac:dyDescent="0.3">
      <c r="C46" s="14"/>
      <c r="D46" s="14"/>
      <c r="E46" s="14"/>
      <c r="F46" s="14"/>
      <c r="G46" s="14"/>
      <c r="H46" s="14"/>
      <c r="I46" s="14"/>
      <c r="J46" s="14"/>
      <c r="K46" s="14"/>
    </row>
    <row r="47" spans="3:11" x14ac:dyDescent="0.3">
      <c r="C47" s="14"/>
      <c r="D47" s="14"/>
      <c r="E47" s="14"/>
      <c r="F47" s="14"/>
      <c r="G47" s="14"/>
      <c r="H47" s="14"/>
      <c r="I47" s="14"/>
      <c r="J47" s="14"/>
      <c r="K47" s="14"/>
    </row>
    <row r="48" spans="3:11" x14ac:dyDescent="0.3">
      <c r="C48" s="14"/>
      <c r="D48" s="14"/>
      <c r="E48" s="14"/>
      <c r="F48" s="14"/>
      <c r="G48" s="14"/>
      <c r="H48" s="14"/>
      <c r="I48" s="14"/>
      <c r="J48" s="14"/>
      <c r="K48" s="14"/>
    </row>
    <row r="49" spans="3:11" x14ac:dyDescent="0.3">
      <c r="C49" s="14"/>
      <c r="D49" s="14"/>
      <c r="E49" s="14"/>
      <c r="F49" s="14"/>
      <c r="G49" s="14"/>
      <c r="H49" s="14"/>
      <c r="I49" s="14"/>
      <c r="J49" s="14"/>
      <c r="K49" s="14"/>
    </row>
    <row r="50" spans="3:11" x14ac:dyDescent="0.3">
      <c r="C50" s="14"/>
      <c r="D50" s="14"/>
      <c r="E50" s="14"/>
      <c r="F50" s="14"/>
      <c r="G50" s="14"/>
      <c r="H50" s="14"/>
      <c r="I50" s="14"/>
      <c r="J50" s="14"/>
      <c r="K50" s="14"/>
    </row>
    <row r="51" spans="3:11" x14ac:dyDescent="0.3">
      <c r="C51" s="14"/>
      <c r="D51" s="14"/>
      <c r="E51" s="14"/>
      <c r="F51" s="14"/>
      <c r="G51" s="14"/>
      <c r="H51" s="14"/>
      <c r="I51" s="14"/>
      <c r="J51" s="14"/>
      <c r="K51" s="14"/>
    </row>
    <row r="52" spans="3:11" x14ac:dyDescent="0.3">
      <c r="C52" s="14"/>
      <c r="D52" s="14"/>
      <c r="E52" s="14"/>
      <c r="F52" s="14"/>
      <c r="G52" s="14"/>
      <c r="H52" s="14"/>
      <c r="I52" s="14"/>
      <c r="J52" s="14"/>
      <c r="K52" s="14"/>
    </row>
    <row r="53" spans="3:11" x14ac:dyDescent="0.3">
      <c r="C53" s="14"/>
      <c r="D53" s="14"/>
      <c r="E53" s="14"/>
      <c r="F53" s="14"/>
      <c r="G53" s="14"/>
      <c r="H53" s="14"/>
      <c r="I53" s="14"/>
      <c r="J53" s="14"/>
      <c r="K53" s="14"/>
    </row>
    <row r="54" spans="3:11" x14ac:dyDescent="0.3">
      <c r="C54" s="14"/>
      <c r="D54" s="14"/>
      <c r="E54" s="14"/>
      <c r="F54" s="14"/>
      <c r="G54" s="14"/>
      <c r="H54" s="14"/>
      <c r="I54" s="14"/>
      <c r="J54" s="14"/>
      <c r="K54" s="14"/>
    </row>
    <row r="55" spans="3:11" x14ac:dyDescent="0.3">
      <c r="C55" s="14"/>
      <c r="D55" s="14"/>
      <c r="E55" s="14"/>
      <c r="F55" s="14"/>
      <c r="G55" s="14"/>
      <c r="H55" s="14"/>
      <c r="I55" s="14"/>
      <c r="J55" s="14"/>
      <c r="K55" s="14"/>
    </row>
    <row r="56" spans="3:11" x14ac:dyDescent="0.3">
      <c r="C56" s="14"/>
      <c r="D56" s="14"/>
      <c r="E56" s="14"/>
      <c r="F56" s="14"/>
      <c r="G56" s="14"/>
      <c r="H56" s="14"/>
      <c r="I56" s="14"/>
      <c r="J56" s="14"/>
      <c r="K56" s="14"/>
    </row>
    <row r="57" spans="3:11" x14ac:dyDescent="0.3">
      <c r="C57" s="14"/>
      <c r="D57" s="14"/>
      <c r="E57" s="14"/>
      <c r="F57" s="14"/>
      <c r="G57" s="14"/>
      <c r="H57" s="14"/>
      <c r="I57" s="14"/>
      <c r="J57" s="14"/>
      <c r="K57" s="14"/>
    </row>
    <row r="58" spans="3:11" x14ac:dyDescent="0.3">
      <c r="C58" s="14"/>
      <c r="D58" s="14"/>
      <c r="E58" s="14"/>
      <c r="F58" s="14"/>
      <c r="G58" s="14"/>
      <c r="H58" s="14"/>
      <c r="I58" s="14"/>
      <c r="J58" s="14"/>
      <c r="K58" s="14"/>
    </row>
    <row r="59" spans="3:11" x14ac:dyDescent="0.3">
      <c r="C59" s="14"/>
      <c r="D59" s="14"/>
      <c r="E59" s="14"/>
      <c r="F59" s="14"/>
      <c r="G59" s="14"/>
      <c r="H59" s="14"/>
      <c r="I59" s="14"/>
      <c r="J59" s="14"/>
      <c r="K59" s="14"/>
    </row>
    <row r="60" spans="3:11" x14ac:dyDescent="0.3">
      <c r="C60" s="14"/>
      <c r="D60" s="14"/>
      <c r="E60" s="14"/>
      <c r="F60" s="14"/>
      <c r="G60" s="14"/>
      <c r="H60" s="14"/>
      <c r="I60" s="14"/>
      <c r="J60" s="14"/>
      <c r="K60" s="14"/>
    </row>
    <row r="61" spans="3:11" x14ac:dyDescent="0.3">
      <c r="C61" s="14"/>
      <c r="D61" s="14"/>
      <c r="E61" s="14"/>
      <c r="F61" s="14"/>
      <c r="G61" s="14"/>
      <c r="H61" s="14"/>
      <c r="I61" s="14"/>
      <c r="J61" s="14"/>
      <c r="K61" s="14"/>
    </row>
    <row r="62" spans="3:11" x14ac:dyDescent="0.3">
      <c r="C62" s="14"/>
      <c r="D62" s="14"/>
      <c r="E62" s="14"/>
      <c r="F62" s="14"/>
      <c r="G62" s="14"/>
      <c r="H62" s="14"/>
      <c r="I62" s="14"/>
      <c r="J62" s="14"/>
      <c r="K62" s="14"/>
    </row>
    <row r="63" spans="3:11" x14ac:dyDescent="0.3">
      <c r="C63" s="14"/>
      <c r="D63" s="14"/>
      <c r="E63" s="14"/>
      <c r="F63" s="14"/>
      <c r="G63" s="14"/>
      <c r="H63" s="14"/>
      <c r="I63" s="14"/>
      <c r="J63" s="14"/>
      <c r="K63" s="14"/>
    </row>
  </sheetData>
  <autoFilter ref="A2:K20">
    <filterColumn colId="1">
      <filters>
        <filter val="Black"/>
      </filters>
    </filterColumn>
  </autoFilter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79998168889431442"/>
  </sheetPr>
  <dimension ref="A1:P15"/>
  <sheetViews>
    <sheetView zoomScale="85" zoomScaleNormal="85" workbookViewId="0">
      <selection activeCell="D32" sqref="D32"/>
    </sheetView>
  </sheetViews>
  <sheetFormatPr defaultRowHeight="16.5" x14ac:dyDescent="0.3"/>
  <cols>
    <col min="1" max="1" width="23.625" bestFit="1" customWidth="1"/>
    <col min="2" max="2" width="23.625" customWidth="1"/>
    <col min="3" max="3" width="19.5" bestFit="1" customWidth="1"/>
    <col min="4" max="4" width="19.25" bestFit="1" customWidth="1"/>
    <col min="5" max="10" width="19.75" bestFit="1" customWidth="1"/>
    <col min="11" max="15" width="20.625" bestFit="1" customWidth="1"/>
  </cols>
  <sheetData>
    <row r="1" spans="1:16" x14ac:dyDescent="0.3">
      <c r="A1" s="35" t="s">
        <v>296</v>
      </c>
      <c r="B1" s="35"/>
      <c r="C1" s="36">
        <v>44376</v>
      </c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</row>
    <row r="2" spans="1:16" x14ac:dyDescent="0.3">
      <c r="A2" t="s">
        <v>502</v>
      </c>
      <c r="B2" t="s">
        <v>516</v>
      </c>
      <c r="C2" t="str">
        <f>_xll.BDH(A2,$A$1,$C$1,$C$1)</f>
        <v>#N/A Connection</v>
      </c>
    </row>
    <row r="3" spans="1:16" x14ac:dyDescent="0.3">
      <c r="A3" t="s">
        <v>503</v>
      </c>
      <c r="B3" t="s">
        <v>517</v>
      </c>
      <c r="C3" t="str">
        <f>_xll.BDH(A3,$A$1,$C$1,$C$1)</f>
        <v>#N/A Connection</v>
      </c>
    </row>
    <row r="4" spans="1:16" x14ac:dyDescent="0.3">
      <c r="A4" t="s">
        <v>504</v>
      </c>
      <c r="B4" t="s">
        <v>518</v>
      </c>
      <c r="C4" t="str">
        <f>_xll.BDH(A4,$A$1,$C$1,$C$1)</f>
        <v>#N/A Connection</v>
      </c>
    </row>
    <row r="5" spans="1:16" x14ac:dyDescent="0.3">
      <c r="A5" t="s">
        <v>505</v>
      </c>
      <c r="B5" t="s">
        <v>519</v>
      </c>
      <c r="C5" t="str">
        <f>_xll.BDH(A5,$A$1,$C$1,$C$1)</f>
        <v>#N/A Connection</v>
      </c>
    </row>
    <row r="6" spans="1:16" x14ac:dyDescent="0.3">
      <c r="A6" t="s">
        <v>506</v>
      </c>
      <c r="B6" t="s">
        <v>520</v>
      </c>
      <c r="C6" t="str">
        <f>_xll.BDH(A6,$A$1,$C$1,$C$1)</f>
        <v>#N/A Connection</v>
      </c>
    </row>
    <row r="7" spans="1:16" x14ac:dyDescent="0.3">
      <c r="A7" t="s">
        <v>507</v>
      </c>
      <c r="B7" t="s">
        <v>521</v>
      </c>
      <c r="C7" t="str">
        <f>_xll.BDH(A7,$A$1,$C$1,$C$1)</f>
        <v>#N/A Connection</v>
      </c>
    </row>
    <row r="8" spans="1:16" x14ac:dyDescent="0.3">
      <c r="A8" t="s">
        <v>508</v>
      </c>
      <c r="B8" t="s">
        <v>522</v>
      </c>
      <c r="C8" t="str">
        <f>_xll.BDH(A8,$A$1,$C$1,$C$1)</f>
        <v>#N/A Connection</v>
      </c>
    </row>
    <row r="9" spans="1:16" x14ac:dyDescent="0.3">
      <c r="A9" t="s">
        <v>509</v>
      </c>
      <c r="B9" t="s">
        <v>523</v>
      </c>
      <c r="C9" t="str">
        <f>_xll.BDH(A9,$A$1,$C$1,$C$1)</f>
        <v>#N/A Connection</v>
      </c>
    </row>
    <row r="10" spans="1:16" x14ac:dyDescent="0.3">
      <c r="A10" t="s">
        <v>510</v>
      </c>
      <c r="B10" t="s">
        <v>524</v>
      </c>
      <c r="C10" t="str">
        <f>_xll.BDH(A10,$A$1,$C$1,$C$1)</f>
        <v>#N/A Connection</v>
      </c>
    </row>
    <row r="11" spans="1:16" x14ac:dyDescent="0.3">
      <c r="A11" t="s">
        <v>511</v>
      </c>
      <c r="B11" t="s">
        <v>525</v>
      </c>
      <c r="C11" t="str">
        <f>_xll.BDH(A11,$A$1,$C$1,$C$1)</f>
        <v>#N/A Connection</v>
      </c>
    </row>
    <row r="12" spans="1:16" x14ac:dyDescent="0.3">
      <c r="A12" t="s">
        <v>512</v>
      </c>
      <c r="B12" t="s">
        <v>526</v>
      </c>
      <c r="C12" t="str">
        <f>_xll.BDH(A12,$A$1,$C$1,$C$1)</f>
        <v>#N/A Connection</v>
      </c>
    </row>
    <row r="13" spans="1:16" x14ac:dyDescent="0.3">
      <c r="A13" t="s">
        <v>513</v>
      </c>
      <c r="B13" t="s">
        <v>527</v>
      </c>
      <c r="C13" t="str">
        <f>_xll.BDH(A13,$A$1,$C$1,$C$1)</f>
        <v>#N/A Connection</v>
      </c>
    </row>
    <row r="14" spans="1:16" x14ac:dyDescent="0.3">
      <c r="A14" t="s">
        <v>514</v>
      </c>
      <c r="B14" t="s">
        <v>528</v>
      </c>
      <c r="C14" t="str">
        <f>_xll.BDH(A14,$A$1,$C$1,$C$1)</f>
        <v>#N/A Connection</v>
      </c>
    </row>
    <row r="15" spans="1:16" x14ac:dyDescent="0.3">
      <c r="A15" t="s">
        <v>515</v>
      </c>
      <c r="B15" t="s">
        <v>529</v>
      </c>
      <c r="C15" t="str">
        <f>_xll.BDH(A15,$A$1,$C$1,$C$1)</f>
        <v>#N/A Connection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0"/>
  <sheetViews>
    <sheetView workbookViewId="0">
      <selection activeCell="H35" sqref="H35"/>
    </sheetView>
  </sheetViews>
  <sheetFormatPr defaultRowHeight="16.5" x14ac:dyDescent="0.3"/>
  <cols>
    <col min="2" max="2" width="9.75" bestFit="1" customWidth="1"/>
    <col min="3" max="3" width="28" bestFit="1" customWidth="1"/>
    <col min="4" max="10" width="18.625" bestFit="1" customWidth="1"/>
    <col min="11" max="11" width="31.5" bestFit="1" customWidth="1"/>
    <col min="12" max="14" width="19.5" bestFit="1" customWidth="1"/>
  </cols>
  <sheetData>
    <row r="1" spans="1:1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">
      <c r="A2" s="5" t="s">
        <v>174</v>
      </c>
      <c r="B2" s="6" t="s">
        <v>296</v>
      </c>
      <c r="C2" s="7">
        <v>0.8</v>
      </c>
      <c r="D2" s="7">
        <v>0.9</v>
      </c>
      <c r="E2" s="7">
        <v>0.95</v>
      </c>
      <c r="F2" s="7">
        <v>0.97499999999999998</v>
      </c>
      <c r="G2" s="7">
        <v>1</v>
      </c>
      <c r="H2" s="7">
        <v>1.0249999999999999</v>
      </c>
      <c r="I2" s="7">
        <v>1.05</v>
      </c>
      <c r="J2" s="7">
        <v>1.1000000000000001</v>
      </c>
      <c r="K2" s="7">
        <v>1.2</v>
      </c>
      <c r="L2" s="1"/>
      <c r="M2" s="1"/>
      <c r="N2" s="1"/>
    </row>
    <row r="3" spans="1:14" x14ac:dyDescent="0.2">
      <c r="A3" s="5" t="s">
        <v>175</v>
      </c>
      <c r="B3" s="6" t="s">
        <v>167</v>
      </c>
      <c r="C3" s="6" t="s">
        <v>178</v>
      </c>
      <c r="D3" s="6" t="s">
        <v>179</v>
      </c>
      <c r="E3" s="6" t="s">
        <v>180</v>
      </c>
      <c r="F3" s="6" t="s">
        <v>181</v>
      </c>
      <c r="G3" s="6" t="s">
        <v>182</v>
      </c>
      <c r="H3" s="6" t="s">
        <v>183</v>
      </c>
      <c r="I3" s="6" t="s">
        <v>184</v>
      </c>
      <c r="J3" s="6" t="s">
        <v>185</v>
      </c>
      <c r="K3" s="6" t="s">
        <v>186</v>
      </c>
      <c r="L3" s="3"/>
      <c r="M3" s="3"/>
      <c r="N3" s="3"/>
    </row>
    <row r="4" spans="1:14" x14ac:dyDescent="0.2">
      <c r="A4" s="1"/>
      <c r="B4" s="6" t="s">
        <v>294</v>
      </c>
      <c r="C4" s="6" t="s">
        <v>187</v>
      </c>
      <c r="D4" s="6" t="s">
        <v>188</v>
      </c>
      <c r="E4" s="6" t="s">
        <v>189</v>
      </c>
      <c r="F4" s="6" t="s">
        <v>190</v>
      </c>
      <c r="G4" s="6" t="s">
        <v>191</v>
      </c>
      <c r="H4" s="6" t="s">
        <v>192</v>
      </c>
      <c r="I4" s="6" t="s">
        <v>193</v>
      </c>
      <c r="J4" s="6" t="s">
        <v>194</v>
      </c>
      <c r="K4" s="6" t="s">
        <v>195</v>
      </c>
      <c r="L4" s="3"/>
      <c r="M4" s="3"/>
      <c r="N4" s="3"/>
    </row>
    <row r="5" spans="1:14" x14ac:dyDescent="0.2">
      <c r="A5" s="1"/>
      <c r="B5" s="6" t="s">
        <v>168</v>
      </c>
      <c r="C5" s="6" t="s">
        <v>196</v>
      </c>
      <c r="D5" s="6" t="s">
        <v>197</v>
      </c>
      <c r="E5" s="6" t="s">
        <v>198</v>
      </c>
      <c r="F5" s="6" t="s">
        <v>199</v>
      </c>
      <c r="G5" s="6" t="s">
        <v>200</v>
      </c>
      <c r="H5" s="6" t="s">
        <v>201</v>
      </c>
      <c r="I5" s="6" t="s">
        <v>202</v>
      </c>
      <c r="J5" s="6" t="s">
        <v>203</v>
      </c>
      <c r="K5" s="6" t="s">
        <v>204</v>
      </c>
      <c r="L5" s="3"/>
      <c r="M5" s="3"/>
      <c r="N5" s="3"/>
    </row>
    <row r="6" spans="1:14" x14ac:dyDescent="0.2">
      <c r="A6" s="1"/>
      <c r="B6" s="6" t="s">
        <v>169</v>
      </c>
      <c r="C6" s="6" t="s">
        <v>205</v>
      </c>
      <c r="D6" s="6" t="s">
        <v>206</v>
      </c>
      <c r="E6" s="6" t="s">
        <v>207</v>
      </c>
      <c r="F6" s="6" t="s">
        <v>208</v>
      </c>
      <c r="G6" s="6" t="s">
        <v>209</v>
      </c>
      <c r="H6" s="6" t="s">
        <v>210</v>
      </c>
      <c r="I6" s="6" t="s">
        <v>211</v>
      </c>
      <c r="J6" s="6" t="s">
        <v>212</v>
      </c>
      <c r="K6" s="6" t="s">
        <v>213</v>
      </c>
      <c r="L6" s="3"/>
      <c r="M6" s="3"/>
      <c r="N6" s="3"/>
    </row>
    <row r="7" spans="1:14" x14ac:dyDescent="0.2">
      <c r="A7" s="1"/>
      <c r="B7" s="6" t="s">
        <v>170</v>
      </c>
      <c r="C7" s="6" t="s">
        <v>214</v>
      </c>
      <c r="D7" s="6" t="s">
        <v>215</v>
      </c>
      <c r="E7" s="6" t="s">
        <v>216</v>
      </c>
      <c r="F7" s="6" t="s">
        <v>217</v>
      </c>
      <c r="G7" s="6" t="s">
        <v>218</v>
      </c>
      <c r="H7" s="6" t="s">
        <v>219</v>
      </c>
      <c r="I7" s="6" t="s">
        <v>220</v>
      </c>
      <c r="J7" s="6" t="s">
        <v>221</v>
      </c>
      <c r="K7" s="6" t="s">
        <v>222</v>
      </c>
      <c r="L7" s="3"/>
      <c r="M7" s="3"/>
      <c r="N7" s="3"/>
    </row>
    <row r="8" spans="1:14" x14ac:dyDescent="0.2">
      <c r="A8" s="1"/>
      <c r="B8" s="6" t="s">
        <v>155</v>
      </c>
      <c r="C8" s="6" t="s">
        <v>223</v>
      </c>
      <c r="D8" s="6" t="s">
        <v>224</v>
      </c>
      <c r="E8" s="6" t="s">
        <v>225</v>
      </c>
      <c r="F8" s="6" t="s">
        <v>226</v>
      </c>
      <c r="G8" s="6" t="s">
        <v>227</v>
      </c>
      <c r="H8" s="6" t="s">
        <v>228</v>
      </c>
      <c r="I8" s="6" t="s">
        <v>229</v>
      </c>
      <c r="J8" s="6" t="s">
        <v>230</v>
      </c>
      <c r="K8" s="6" t="s">
        <v>231</v>
      </c>
      <c r="L8" s="3"/>
      <c r="M8" s="3"/>
      <c r="N8" s="3"/>
    </row>
    <row r="9" spans="1:14" x14ac:dyDescent="0.2">
      <c r="A9" s="1"/>
      <c r="B9" s="6" t="s">
        <v>295</v>
      </c>
      <c r="C9" s="6" t="s">
        <v>232</v>
      </c>
      <c r="D9" s="6" t="s">
        <v>233</v>
      </c>
      <c r="E9" s="6" t="s">
        <v>234</v>
      </c>
      <c r="F9" s="6" t="s">
        <v>235</v>
      </c>
      <c r="G9" s="6" t="s">
        <v>236</v>
      </c>
      <c r="H9" s="6" t="s">
        <v>237</v>
      </c>
      <c r="I9" s="6" t="s">
        <v>238</v>
      </c>
      <c r="J9" s="6" t="s">
        <v>239</v>
      </c>
      <c r="K9" s="6" t="s">
        <v>240</v>
      </c>
      <c r="L9" s="3"/>
      <c r="M9" s="3"/>
      <c r="N9" s="3"/>
    </row>
    <row r="10" spans="1:14" x14ac:dyDescent="0.2">
      <c r="A10" s="1"/>
      <c r="B10" s="6" t="s">
        <v>156</v>
      </c>
      <c r="C10" s="6" t="s">
        <v>241</v>
      </c>
      <c r="D10" s="6" t="s">
        <v>242</v>
      </c>
      <c r="E10" s="6" t="s">
        <v>243</v>
      </c>
      <c r="F10" s="6" t="s">
        <v>244</v>
      </c>
      <c r="G10" s="6" t="s">
        <v>245</v>
      </c>
      <c r="H10" s="6" t="s">
        <v>246</v>
      </c>
      <c r="I10" s="6" t="s">
        <v>247</v>
      </c>
      <c r="J10" s="6" t="s">
        <v>248</v>
      </c>
      <c r="K10" s="6" t="s">
        <v>249</v>
      </c>
      <c r="L10" s="3"/>
      <c r="M10" s="3"/>
      <c r="N10" s="3"/>
    </row>
    <row r="11" spans="1:14" x14ac:dyDescent="0.2">
      <c r="A11" s="1"/>
      <c r="B11" s="6" t="s">
        <v>157</v>
      </c>
      <c r="C11" s="6" t="s">
        <v>250</v>
      </c>
      <c r="D11" s="6" t="s">
        <v>251</v>
      </c>
      <c r="E11" s="6" t="s">
        <v>252</v>
      </c>
      <c r="F11" s="6" t="s">
        <v>253</v>
      </c>
      <c r="G11" s="6" t="s">
        <v>254</v>
      </c>
      <c r="H11" s="6" t="s">
        <v>255</v>
      </c>
      <c r="I11" s="6" t="s">
        <v>256</v>
      </c>
      <c r="J11" s="6" t="s">
        <v>257</v>
      </c>
      <c r="K11" s="6" t="s">
        <v>258</v>
      </c>
      <c r="L11" s="3"/>
      <c r="M11" s="3"/>
      <c r="N11" s="3"/>
    </row>
    <row r="12" spans="1:14" x14ac:dyDescent="0.2">
      <c r="A12" s="1"/>
      <c r="B12" s="6" t="s">
        <v>158</v>
      </c>
      <c r="C12" s="6" t="s">
        <v>259</v>
      </c>
      <c r="D12" s="6" t="s">
        <v>260</v>
      </c>
      <c r="E12" s="6" t="s">
        <v>261</v>
      </c>
      <c r="F12" s="6" t="s">
        <v>262</v>
      </c>
      <c r="G12" s="6" t="s">
        <v>263</v>
      </c>
      <c r="H12" s="6" t="s">
        <v>264</v>
      </c>
      <c r="I12" s="6" t="s">
        <v>265</v>
      </c>
      <c r="J12" s="6" t="s">
        <v>266</v>
      </c>
      <c r="K12" s="6" t="s">
        <v>267</v>
      </c>
      <c r="L12" s="3"/>
      <c r="M12" s="3"/>
      <c r="N12" s="3"/>
    </row>
    <row r="13" spans="1:14" x14ac:dyDescent="0.2">
      <c r="A13" s="1"/>
      <c r="B13" s="6" t="s">
        <v>159</v>
      </c>
      <c r="C13" s="6" t="s">
        <v>268</v>
      </c>
      <c r="D13" s="6" t="s">
        <v>269</v>
      </c>
      <c r="E13" s="6" t="s">
        <v>270</v>
      </c>
      <c r="F13" s="6" t="s">
        <v>271</v>
      </c>
      <c r="G13" s="6" t="s">
        <v>272</v>
      </c>
      <c r="H13" s="6" t="s">
        <v>273</v>
      </c>
      <c r="I13" s="6" t="s">
        <v>274</v>
      </c>
      <c r="J13" s="6" t="s">
        <v>275</v>
      </c>
      <c r="K13" s="6" t="s">
        <v>276</v>
      </c>
      <c r="L13" s="3"/>
      <c r="M13" s="3"/>
      <c r="N13" s="3"/>
    </row>
    <row r="14" spans="1:14" x14ac:dyDescent="0.2">
      <c r="A14" s="1"/>
      <c r="B14" s="6" t="s">
        <v>161</v>
      </c>
      <c r="C14" s="6" t="s">
        <v>277</v>
      </c>
      <c r="D14" s="6" t="s">
        <v>278</v>
      </c>
      <c r="E14" s="6" t="s">
        <v>279</v>
      </c>
      <c r="F14" s="6" t="s">
        <v>280</v>
      </c>
      <c r="G14" s="6" t="s">
        <v>281</v>
      </c>
      <c r="H14" s="6" t="s">
        <v>282</v>
      </c>
      <c r="I14" s="6" t="s">
        <v>283</v>
      </c>
      <c r="J14" s="6" t="s">
        <v>284</v>
      </c>
      <c r="K14" s="6" t="s">
        <v>285</v>
      </c>
      <c r="L14" s="3"/>
      <c r="M14" s="3"/>
      <c r="N14" s="3"/>
    </row>
    <row r="15" spans="1:14" x14ac:dyDescent="0.2">
      <c r="A15" s="1"/>
      <c r="B15" s="6" t="s">
        <v>164</v>
      </c>
      <c r="C15" s="6" t="s">
        <v>286</v>
      </c>
      <c r="D15" s="6" t="s">
        <v>320</v>
      </c>
      <c r="E15" s="6" t="s">
        <v>287</v>
      </c>
      <c r="F15" s="6" t="s">
        <v>288</v>
      </c>
      <c r="G15" s="6" t="s">
        <v>289</v>
      </c>
      <c r="H15" s="6" t="s">
        <v>290</v>
      </c>
      <c r="I15" s="6" t="s">
        <v>291</v>
      </c>
      <c r="J15" s="6" t="s">
        <v>292</v>
      </c>
      <c r="K15" s="6" t="s">
        <v>293</v>
      </c>
      <c r="L15" s="3"/>
      <c r="M15" s="3"/>
      <c r="N15" s="3"/>
    </row>
    <row r="16" spans="1:14" x14ac:dyDescent="0.3">
      <c r="A16" s="1"/>
      <c r="B16" s="1"/>
      <c r="C16" s="66" t="s">
        <v>177</v>
      </c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</row>
    <row r="17" spans="1:14" x14ac:dyDescent="0.2">
      <c r="A17" s="5" t="s">
        <v>176</v>
      </c>
      <c r="B17" s="4">
        <v>44285</v>
      </c>
      <c r="C17" s="7">
        <v>0.8</v>
      </c>
      <c r="D17" s="7">
        <v>0.9</v>
      </c>
      <c r="E17" s="7">
        <v>0.95</v>
      </c>
      <c r="F17" s="7">
        <v>0.97499999999999998</v>
      </c>
      <c r="G17" s="7">
        <v>1</v>
      </c>
      <c r="H17" s="7">
        <v>1.0249999999999999</v>
      </c>
      <c r="I17" s="7">
        <v>1.05</v>
      </c>
      <c r="J17" s="7">
        <v>1.1000000000000001</v>
      </c>
      <c r="K17" s="7">
        <v>1.2</v>
      </c>
      <c r="L17" s="1"/>
      <c r="M17" s="1"/>
      <c r="N17" s="1"/>
    </row>
    <row r="18" spans="1:14" s="10" customFormat="1" x14ac:dyDescent="0.2">
      <c r="A18" s="67" t="s">
        <v>173</v>
      </c>
      <c r="B18" s="8" t="s">
        <v>167</v>
      </c>
      <c r="C18" s="9" t="str">
        <f>_xll.BDH(C3,$B$2,$B$17,$B$17)</f>
        <v>#N/A Connection</v>
      </c>
      <c r="D18" s="9" t="str">
        <f>_xll.BDH(D3,$B$2,$B$17,$B$17)</f>
        <v>#N/A Connection</v>
      </c>
      <c r="E18" s="9" t="str">
        <f>_xll.BDH(E3,$B$2,$B$17,$B$17)</f>
        <v>#N/A Connection</v>
      </c>
      <c r="F18" s="9" t="str">
        <f>_xll.BDH(F3,$B$2,$B$17,$B$17)</f>
        <v>#N/A Connection</v>
      </c>
      <c r="G18" s="9" t="str">
        <f>_xll.BDH(G3,$B$2,$B$17,$B$17)</f>
        <v>#N/A Connection</v>
      </c>
      <c r="H18" s="9" t="str">
        <f>_xll.BDH(H3,$B$2,$B$17,$B$17)</f>
        <v>#N/A Connection</v>
      </c>
      <c r="I18" s="9" t="str">
        <f>_xll.BDH(I3,$B$2,$B$17,$B$17)</f>
        <v>#N/A Connection</v>
      </c>
      <c r="J18" s="9" t="str">
        <f>_xll.BDH(J3,$B$2,$B$17,$B$17)</f>
        <v>#N/A Connection</v>
      </c>
      <c r="K18" s="9" t="str">
        <f>_xll.BDH(K3,$B$2,$B$17,$B$17)</f>
        <v>#N/A Connection</v>
      </c>
      <c r="L18" s="9"/>
      <c r="M18" s="9"/>
      <c r="N18" s="9"/>
    </row>
    <row r="19" spans="1:14" s="10" customFormat="1" x14ac:dyDescent="0.2">
      <c r="A19" s="67"/>
      <c r="B19" s="8" t="s">
        <v>294</v>
      </c>
      <c r="C19" s="9" t="str">
        <f>_xll.BDH(C4,$B$2,$B$17,$B$17)</f>
        <v>#N/A Connection</v>
      </c>
      <c r="D19" s="9" t="str">
        <f>_xll.BDH(D4,$B$2,$B$17,$B$17)</f>
        <v>#N/A Connection</v>
      </c>
      <c r="E19" s="9" t="str">
        <f>_xll.BDH(E4,$B$2,$B$17,$B$17)</f>
        <v>#N/A Connection</v>
      </c>
      <c r="F19" s="9" t="str">
        <f>_xll.BDH(F4,$B$2,$B$17,$B$17)</f>
        <v>#N/A Connection</v>
      </c>
      <c r="G19" s="9" t="str">
        <f>_xll.BDH(G4,$B$2,$B$17,$B$17)</f>
        <v>#N/A Connection</v>
      </c>
      <c r="H19" s="9" t="str">
        <f>_xll.BDH(H4,$B$2,$B$17,$B$17)</f>
        <v>#N/A Connection</v>
      </c>
      <c r="I19" s="9" t="str">
        <f>_xll.BDH(I4,$B$2,$B$17,$B$17)</f>
        <v>#N/A Connection</v>
      </c>
      <c r="J19" s="9" t="str">
        <f>_xll.BDH(J4,$B$2,$B$17,$B$17)</f>
        <v>#N/A Connection</v>
      </c>
      <c r="K19" s="9" t="str">
        <f>_xll.BDH(K4,$B$2,$B$17,$B$17)</f>
        <v>#N/A Connection</v>
      </c>
      <c r="L19" s="9"/>
      <c r="M19" s="9"/>
      <c r="N19" s="9"/>
    </row>
    <row r="20" spans="1:14" s="10" customFormat="1" x14ac:dyDescent="0.2">
      <c r="A20" s="67"/>
      <c r="B20" s="8" t="s">
        <v>168</v>
      </c>
      <c r="C20" s="9" t="str">
        <f>_xll.BDH(C5,$B$2,$B$17,$B$17)</f>
        <v>#N/A Connection</v>
      </c>
      <c r="D20" s="9" t="str">
        <f>_xll.BDH(D5,$B$2,$B$17,$B$17)</f>
        <v>#N/A Connection</v>
      </c>
      <c r="E20" s="9" t="str">
        <f>_xll.BDH(E5,$B$2,$B$17,$B$17)</f>
        <v>#N/A Connection</v>
      </c>
      <c r="F20" s="9" t="str">
        <f>_xll.BDH(F5,$B$2,$B$17,$B$17)</f>
        <v>#N/A Connection</v>
      </c>
      <c r="G20" s="9" t="str">
        <f>_xll.BDH(G5,$B$2,$B$17,$B$17)</f>
        <v>#N/A Connection</v>
      </c>
      <c r="H20" s="9" t="str">
        <f>_xll.BDH(H5,$B$2,$B$17,$B$17)</f>
        <v>#N/A Connection</v>
      </c>
      <c r="I20" s="9" t="str">
        <f>_xll.BDH(I5,$B$2,$B$17,$B$17)</f>
        <v>#N/A Connection</v>
      </c>
      <c r="J20" s="9" t="str">
        <f>_xll.BDH(J5,$B$2,$B$17,$B$17)</f>
        <v>#N/A Connection</v>
      </c>
      <c r="K20" s="9" t="str">
        <f>_xll.BDH(K5,$B$2,$B$17,$B$17)</f>
        <v>#N/A Connection</v>
      </c>
      <c r="L20" s="9"/>
      <c r="M20" s="9"/>
      <c r="N20" s="9"/>
    </row>
    <row r="21" spans="1:14" s="10" customFormat="1" x14ac:dyDescent="0.2">
      <c r="A21" s="67"/>
      <c r="B21" s="8" t="s">
        <v>169</v>
      </c>
      <c r="C21" s="9" t="str">
        <f>_xll.BDH(C6,$B$2,$B$17,$B$17)</f>
        <v>#N/A Connection</v>
      </c>
      <c r="D21" s="9" t="str">
        <f>_xll.BDH(D6,$B$2,$B$17,$B$17)</f>
        <v>#N/A Connection</v>
      </c>
      <c r="E21" s="9" t="str">
        <f>_xll.BDH(E6,$B$2,$B$17,$B$17)</f>
        <v>#N/A Connection</v>
      </c>
      <c r="F21" s="9" t="str">
        <f>_xll.BDH(F6,$B$2,$B$17,$B$17)</f>
        <v>#N/A Connection</v>
      </c>
      <c r="G21" s="9" t="str">
        <f>_xll.BDH(G6,$B$2,$B$17,$B$17)</f>
        <v>#N/A Connection</v>
      </c>
      <c r="H21" s="9" t="str">
        <f>_xll.BDH(H6,$B$2,$B$17,$B$17)</f>
        <v>#N/A Connection</v>
      </c>
      <c r="I21" s="9" t="str">
        <f>_xll.BDH(I6,$B$2,$B$17,$B$17)</f>
        <v>#N/A Connection</v>
      </c>
      <c r="J21" s="9" t="str">
        <f>_xll.BDH(J6,$B$2,$B$17,$B$17)</f>
        <v>#N/A Connection</v>
      </c>
      <c r="K21" s="9" t="str">
        <f>_xll.BDH(K6,$B$2,$B$17,$B$17)</f>
        <v>#N/A Connection</v>
      </c>
      <c r="L21" s="9"/>
      <c r="M21" s="9"/>
      <c r="N21" s="9"/>
    </row>
    <row r="22" spans="1:14" s="10" customFormat="1" x14ac:dyDescent="0.2">
      <c r="A22" s="67"/>
      <c r="B22" s="8" t="s">
        <v>170</v>
      </c>
      <c r="C22" s="9" t="str">
        <f>_xll.BDH(C7,$B$2,$B$17,$B$17)</f>
        <v>#N/A Connection</v>
      </c>
      <c r="D22" s="9" t="str">
        <f>_xll.BDH(D7,$B$2,$B$17,$B$17)</f>
        <v>#N/A Connection</v>
      </c>
      <c r="E22" s="9" t="str">
        <f>_xll.BDH(E7,$B$2,$B$17,$B$17)</f>
        <v>#N/A Connection</v>
      </c>
      <c r="F22" s="9" t="str">
        <f>_xll.BDH(F7,$B$2,$B$17,$B$17)</f>
        <v>#N/A Connection</v>
      </c>
      <c r="G22" s="9" t="str">
        <f>_xll.BDH(G7,$B$2,$B$17,$B$17)</f>
        <v>#N/A Connection</v>
      </c>
      <c r="H22" s="9" t="str">
        <f>_xll.BDH(H7,$B$2,$B$17,$B$17)</f>
        <v>#N/A Connection</v>
      </c>
      <c r="I22" s="9" t="str">
        <f>_xll.BDH(I7,$B$2,$B$17,$B$17)</f>
        <v>#N/A Connection</v>
      </c>
      <c r="J22" s="9" t="str">
        <f>_xll.BDH(J7,$B$2,$B$17,$B$17)</f>
        <v>#N/A Connection</v>
      </c>
      <c r="K22" s="9" t="str">
        <f>_xll.BDH(K7,$B$2,$B$17,$B$17)</f>
        <v>#N/A Connection</v>
      </c>
      <c r="L22" s="9"/>
      <c r="M22" s="9"/>
      <c r="N22" s="9"/>
    </row>
    <row r="23" spans="1:14" s="10" customFormat="1" x14ac:dyDescent="0.2">
      <c r="A23" s="67"/>
      <c r="B23" s="8" t="s">
        <v>155</v>
      </c>
      <c r="C23" s="9" t="str">
        <f>_xll.BDH(C8,$B$2,$B$17,$B$17)</f>
        <v>#N/A Connection</v>
      </c>
      <c r="D23" s="9" t="str">
        <f>_xll.BDH(D8,$B$2,$B$17,$B$17)</f>
        <v>#N/A Connection</v>
      </c>
      <c r="E23" s="9" t="str">
        <f>_xll.BDH(E8,$B$2,$B$17,$B$17)</f>
        <v>#N/A Connection</v>
      </c>
      <c r="F23" s="9" t="str">
        <f>_xll.BDH(F8,$B$2,$B$17,$B$17)</f>
        <v>#N/A Connection</v>
      </c>
      <c r="G23" s="9" t="str">
        <f>_xll.BDH(G8,$B$2,$B$17,$B$17)</f>
        <v>#N/A Connection</v>
      </c>
      <c r="H23" s="9" t="str">
        <f>_xll.BDH(H8,$B$2,$B$17,$B$17)</f>
        <v>#N/A Connection</v>
      </c>
      <c r="I23" s="9" t="str">
        <f>_xll.BDH(I8,$B$2,$B$17,$B$17)</f>
        <v>#N/A Connection</v>
      </c>
      <c r="J23" s="9" t="str">
        <f>_xll.BDH(J8,$B$2,$B$17,$B$17)</f>
        <v>#N/A Connection</v>
      </c>
      <c r="K23" s="9" t="str">
        <f>_xll.BDH(K8,$B$2,$B$17,$B$17)</f>
        <v>#N/A Connection</v>
      </c>
      <c r="L23" s="9"/>
      <c r="M23" s="9"/>
      <c r="N23" s="9"/>
    </row>
    <row r="24" spans="1:14" s="10" customFormat="1" x14ac:dyDescent="0.2">
      <c r="A24" s="67"/>
      <c r="B24" s="8" t="s">
        <v>295</v>
      </c>
      <c r="C24" s="9" t="str">
        <f>_xll.BDH(C9,$B$2,$B$17,$B$17)</f>
        <v>#N/A Connection</v>
      </c>
      <c r="D24" s="9" t="str">
        <f>_xll.BDH(D9,$B$2,$B$17,$B$17)</f>
        <v>#N/A Connection</v>
      </c>
      <c r="E24" s="9" t="str">
        <f>_xll.BDH(E9,$B$2,$B$17,$B$17)</f>
        <v>#N/A Connection</v>
      </c>
      <c r="F24" s="9" t="str">
        <f>_xll.BDH(F9,$B$2,$B$17,$B$17)</f>
        <v>#N/A Connection</v>
      </c>
      <c r="G24" s="9" t="str">
        <f>_xll.BDH(G9,$B$2,$B$17,$B$17)</f>
        <v>#N/A Connection</v>
      </c>
      <c r="H24" s="9" t="str">
        <f>_xll.BDH(H9,$B$2,$B$17,$B$17)</f>
        <v>#N/A Connection</v>
      </c>
      <c r="I24" s="9" t="str">
        <f>_xll.BDH(I9,$B$2,$B$17,$B$17)</f>
        <v>#N/A Connection</v>
      </c>
      <c r="J24" s="9" t="str">
        <f>_xll.BDH(J9,$B$2,$B$17,$B$17)</f>
        <v>#N/A Connection</v>
      </c>
      <c r="K24" s="9" t="str">
        <f>_xll.BDH(K9,$B$2,$B$17,$B$17)</f>
        <v>#N/A Connection</v>
      </c>
      <c r="L24" s="9"/>
      <c r="M24" s="9"/>
      <c r="N24" s="9"/>
    </row>
    <row r="25" spans="1:14" s="10" customFormat="1" x14ac:dyDescent="0.2">
      <c r="A25" s="67"/>
      <c r="B25" s="8" t="s">
        <v>156</v>
      </c>
      <c r="C25" s="9" t="str">
        <f>_xll.BDH(C10,$B$2,$B$17,$B$17)</f>
        <v>#N/A Connection</v>
      </c>
      <c r="D25" s="9" t="str">
        <f>_xll.BDH(D10,$B$2,$B$17,$B$17)</f>
        <v>#N/A Connection</v>
      </c>
      <c r="E25" s="9" t="str">
        <f>_xll.BDH(E10,$B$2,$B$17,$B$17)</f>
        <v>#N/A Connection</v>
      </c>
      <c r="F25" s="9" t="str">
        <f>_xll.BDH(F10,$B$2,$B$17,$B$17)</f>
        <v>#N/A Connection</v>
      </c>
      <c r="G25" s="9" t="str">
        <f>_xll.BDH(G10,$B$2,$B$17,$B$17)</f>
        <v>#N/A Connection</v>
      </c>
      <c r="H25" s="9" t="str">
        <f>_xll.BDH(H10,$B$2,$B$17,$B$17)</f>
        <v>#N/A Connection</v>
      </c>
      <c r="I25" s="9" t="str">
        <f>_xll.BDH(I10,$B$2,$B$17,$B$17)</f>
        <v>#N/A Connection</v>
      </c>
      <c r="J25" s="9" t="str">
        <f>_xll.BDH(J10,$B$2,$B$17,$B$17)</f>
        <v>#N/A Connection</v>
      </c>
      <c r="K25" s="9" t="str">
        <f>_xll.BDH(K10,$B$2,$B$17,$B$17)</f>
        <v>#N/A Connection</v>
      </c>
      <c r="L25" s="9"/>
      <c r="M25" s="9"/>
      <c r="N25" s="9"/>
    </row>
    <row r="26" spans="1:14" s="10" customFormat="1" x14ac:dyDescent="0.2">
      <c r="A26" s="67"/>
      <c r="B26" s="8" t="s">
        <v>157</v>
      </c>
      <c r="C26" s="9" t="str">
        <f>_xll.BDH(C11,$B$2,$B$17,$B$17)</f>
        <v>#N/A Connection</v>
      </c>
      <c r="D26" s="9" t="str">
        <f>_xll.BDH(D11,$B$2,$B$17,$B$17)</f>
        <v>#N/A Connection</v>
      </c>
      <c r="E26" s="9" t="str">
        <f>_xll.BDH(E11,$B$2,$B$17,$B$17)</f>
        <v>#N/A Connection</v>
      </c>
      <c r="F26" s="9" t="str">
        <f>_xll.BDH(F11,$B$2,$B$17,$B$17)</f>
        <v>#N/A Connection</v>
      </c>
      <c r="G26" s="9" t="str">
        <f>_xll.BDH(G11,$B$2,$B$17,$B$17)</f>
        <v>#N/A Connection</v>
      </c>
      <c r="H26" s="9" t="str">
        <f>_xll.BDH(H11,$B$2,$B$17,$B$17)</f>
        <v>#N/A Connection</v>
      </c>
      <c r="I26" s="9" t="str">
        <f>_xll.BDH(I11,$B$2,$B$17,$B$17)</f>
        <v>#N/A Connection</v>
      </c>
      <c r="J26" s="9" t="str">
        <f>_xll.BDH(J11,$B$2,$B$17,$B$17)</f>
        <v>#N/A Connection</v>
      </c>
      <c r="K26" s="9" t="str">
        <f>_xll.BDH(K11,$B$2,$B$17,$B$17)</f>
        <v>#N/A Connection</v>
      </c>
      <c r="L26" s="9"/>
      <c r="M26" s="9"/>
      <c r="N26" s="9"/>
    </row>
    <row r="27" spans="1:14" s="10" customFormat="1" x14ac:dyDescent="0.2">
      <c r="A27" s="67"/>
      <c r="B27" s="8" t="s">
        <v>158</v>
      </c>
      <c r="C27" s="9" t="str">
        <f>_xll.BDH(C12,$B$2,$B$17,$B$17)</f>
        <v>#N/A Connection</v>
      </c>
      <c r="D27" s="9" t="str">
        <f>_xll.BDH(D12,$B$2,$B$17,$B$17)</f>
        <v>#N/A Connection</v>
      </c>
      <c r="E27" s="9" t="str">
        <f>_xll.BDH(E12,$B$2,$B$17,$B$17)</f>
        <v>#N/A Connection</v>
      </c>
      <c r="F27" s="9" t="str">
        <f>_xll.BDH(F12,$B$2,$B$17,$B$17)</f>
        <v>#N/A Connection</v>
      </c>
      <c r="G27" s="9" t="str">
        <f>_xll.BDH(G12,$B$2,$B$17,$B$17)</f>
        <v>#N/A Connection</v>
      </c>
      <c r="H27" s="9" t="str">
        <f>_xll.BDH(H12,$B$2,$B$17,$B$17)</f>
        <v>#N/A Connection</v>
      </c>
      <c r="I27" s="9" t="str">
        <f>_xll.BDH(I12,$B$2,$B$17,$B$17)</f>
        <v>#N/A Connection</v>
      </c>
      <c r="J27" s="9" t="str">
        <f>_xll.BDH(J12,$B$2,$B$17,$B$17)</f>
        <v>#N/A Connection</v>
      </c>
      <c r="K27" s="9" t="str">
        <f>_xll.BDH(K12,$B$2,$B$17,$B$17)</f>
        <v>#N/A Connection</v>
      </c>
      <c r="L27" s="9"/>
      <c r="M27" s="9"/>
      <c r="N27" s="9"/>
    </row>
    <row r="28" spans="1:14" s="10" customFormat="1" x14ac:dyDescent="0.2">
      <c r="A28" s="67"/>
      <c r="B28" s="8" t="s">
        <v>159</v>
      </c>
      <c r="C28" s="9" t="str">
        <f>_xll.BDH(C13,$B$2,$B$17,$B$17)</f>
        <v>#N/A Connection</v>
      </c>
      <c r="D28" s="9" t="str">
        <f>_xll.BDH(D13,$B$2,$B$17,$B$17)</f>
        <v>#N/A Connection</v>
      </c>
      <c r="E28" s="9" t="str">
        <f>_xll.BDH(E13,$B$2,$B$17,$B$17)</f>
        <v>#N/A Connection</v>
      </c>
      <c r="F28" s="9" t="str">
        <f>_xll.BDH(F13,$B$2,$B$17,$B$17)</f>
        <v>#N/A Connection</v>
      </c>
      <c r="G28" s="9" t="str">
        <f>_xll.BDH(G13,$B$2,$B$17,$B$17)</f>
        <v>#N/A Connection</v>
      </c>
      <c r="H28" s="9" t="str">
        <f>_xll.BDH(H13,$B$2,$B$17,$B$17)</f>
        <v>#N/A Connection</v>
      </c>
      <c r="I28" s="9" t="str">
        <f>_xll.BDH(I13,$B$2,$B$17,$B$17)</f>
        <v>#N/A Connection</v>
      </c>
      <c r="J28" s="9" t="str">
        <f>_xll.BDH(J13,$B$2,$B$17,$B$17)</f>
        <v>#N/A Connection</v>
      </c>
      <c r="K28" s="9" t="str">
        <f>_xll.BDH(K13,$B$2,$B$17,$B$17)</f>
        <v>#N/A Connection</v>
      </c>
      <c r="L28" s="9"/>
      <c r="M28" s="9"/>
      <c r="N28" s="9"/>
    </row>
    <row r="29" spans="1:14" s="10" customFormat="1" x14ac:dyDescent="0.2">
      <c r="A29" s="67"/>
      <c r="B29" s="8" t="s">
        <v>161</v>
      </c>
      <c r="C29" s="9" t="str">
        <f>_xll.BDH(C14,$B$2,$B$17,$B$17)</f>
        <v>#N/A Connection</v>
      </c>
      <c r="D29" s="9" t="str">
        <f>_xll.BDH(D14,$B$2,$B$17,$B$17)</f>
        <v>#N/A Connection</v>
      </c>
      <c r="E29" s="9" t="str">
        <f>_xll.BDH(E14,$B$2,$B$17,$B$17)</f>
        <v>#N/A Connection</v>
      </c>
      <c r="F29" s="9" t="str">
        <f>_xll.BDH(F14,$B$2,$B$17,$B$17)</f>
        <v>#N/A Connection</v>
      </c>
      <c r="G29" s="9" t="str">
        <f>_xll.BDH(G14,$B$2,$B$17,$B$17)</f>
        <v>#N/A Connection</v>
      </c>
      <c r="H29" s="9" t="str">
        <f>_xll.BDH(H14,$B$2,$B$17,$B$17)</f>
        <v>#N/A Connection</v>
      </c>
      <c r="I29" s="9" t="str">
        <f>_xll.BDH(I14,$B$2,$B$17,$B$17)</f>
        <v>#N/A Connection</v>
      </c>
      <c r="J29" s="9" t="str">
        <f>_xll.BDH(J14,$B$2,$B$17,$B$17)</f>
        <v>#N/A Connection</v>
      </c>
      <c r="K29" s="9" t="str">
        <f>_xll.BDH(K14,$B$2,$B$17,$B$17)</f>
        <v>#N/A Connection</v>
      </c>
      <c r="L29" s="9"/>
      <c r="M29" s="9"/>
      <c r="N29" s="9"/>
    </row>
    <row r="30" spans="1:14" s="10" customFormat="1" x14ac:dyDescent="0.2">
      <c r="B30" s="8" t="s">
        <v>164</v>
      </c>
      <c r="C30" s="9" t="str">
        <f>_xll.BDH(C15,$B$2,$B$17,$B$17)</f>
        <v>#N/A Connection</v>
      </c>
      <c r="D30" s="9" t="str">
        <f>_xll.BDH(D15,$B$2,$B$17,$B$17)</f>
        <v>#N/A Connection</v>
      </c>
      <c r="E30" s="9" t="str">
        <f>_xll.BDH(E15,$B$2,$B$17,$B$17)</f>
        <v>#N/A Connection</v>
      </c>
      <c r="F30" s="9" t="str">
        <f>_xll.BDH(F15,$B$2,$B$17,$B$17)</f>
        <v>#N/A Connection</v>
      </c>
      <c r="G30" s="9" t="str">
        <f>_xll.BDH(G15,$B$2,$B$17,$B$17)</f>
        <v>#N/A Connection</v>
      </c>
      <c r="H30" s="9" t="str">
        <f>_xll.BDH(H15,$B$2,$B$17,$B$17)</f>
        <v>#N/A Connection</v>
      </c>
      <c r="I30" s="9" t="str">
        <f>_xll.BDH(I15,$B$2,$B$17,$B$17)</f>
        <v>#N/A Connection</v>
      </c>
      <c r="J30" s="9" t="str">
        <f>_xll.BDH(J15,$B$2,$B$17,$B$17)</f>
        <v>#N/A Connection</v>
      </c>
      <c r="K30" s="9" t="str">
        <f>_xll.BDH(K15,$B$2,$B$17,$B$17)</f>
        <v>#N/A Connection</v>
      </c>
    </row>
  </sheetData>
  <mergeCells count="2">
    <mergeCell ref="C16:N16"/>
    <mergeCell ref="A18:A2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8</vt:i4>
      </vt:variant>
    </vt:vector>
  </HeadingPairs>
  <TitlesOfParts>
    <vt:vector size="23" baseType="lpstr">
      <vt:lpstr>Thoery</vt:lpstr>
      <vt:lpstr>1-1)Swaption_Matrix</vt:lpstr>
      <vt:lpstr>1-1)Swaption_Matrix_prev</vt:lpstr>
      <vt:lpstr>1-1)Swaption_Matrix_Full_Normal</vt:lpstr>
      <vt:lpstr>1-1)Swaption_Full_Blck</vt:lpstr>
      <vt:lpstr>2)Swaption_Vol_TimeSeries_daily</vt:lpstr>
      <vt:lpstr>1-2)Swaption_strike_normal_skew</vt:lpstr>
      <vt:lpstr>1-2)Swaption_strike_black_skew</vt:lpstr>
      <vt:lpstr>1-3)Cap_Matrix (2)</vt:lpstr>
      <vt:lpstr>3) FX_implied_surface</vt:lpstr>
      <vt:lpstr>3)Equity_Implied_Vol</vt:lpstr>
      <vt:lpstr>Ticker_SwpationNormalVolSpread1</vt:lpstr>
      <vt:lpstr>Sheet1</vt:lpstr>
      <vt:lpstr>Sheet2</vt:lpstr>
      <vt:lpstr>2-1)Stock_VolSurface</vt:lpstr>
      <vt:lpstr>'1-1)Swaption_Full_Blck'!BlackCSV</vt:lpstr>
      <vt:lpstr>'1-1)Swaption_Matrix_Full_Normal'!BlackCSV</vt:lpstr>
      <vt:lpstr>'1-1)Swaption_Matrix_prev'!BlackCSV</vt:lpstr>
      <vt:lpstr>BlackCSV</vt:lpstr>
      <vt:lpstr>'1-1)Swaption_Full_Blck'!NormalCSV</vt:lpstr>
      <vt:lpstr>'1-1)Swaption_Matrix_Full_Normal'!NormalCSV</vt:lpstr>
      <vt:lpstr>'1-1)Swaption_Matrix_prev'!NormalCSV</vt:lpstr>
      <vt:lpstr>NormalCSV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hli6363</dc:creator>
  <cp:lastModifiedBy>hli6363</cp:lastModifiedBy>
  <dcterms:created xsi:type="dcterms:W3CDTF">2019-04-01T04:23:03Z</dcterms:created>
  <dcterms:modified xsi:type="dcterms:W3CDTF">2022-05-12T02:22:55Z</dcterms:modified>
</cp:coreProperties>
</file>